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ortfolio\Ecommerce analysis with Excel\"/>
    </mc:Choice>
  </mc:AlternateContent>
  <xr:revisionPtr revIDLastSave="0" documentId="8_{E27E2B45-2D5F-4997-998E-57F5142E3E4B}" xr6:coauthVersionLast="47" xr6:coauthVersionMax="47" xr10:uidLastSave="{00000000-0000-0000-0000-000000000000}"/>
  <bookViews>
    <workbookView xWindow="-120" yWindow="-120" windowWidth="20730" windowHeight="11160" firstSheet="12" activeTab="15" xr2:uid="{B9B5F8AF-11D7-4EA1-88E5-9078F036A6E7}"/>
  </bookViews>
  <sheets>
    <sheet name="pivot Table" sheetId="3" state="hidden" r:id="rId1"/>
    <sheet name="kpi" sheetId="4" state="hidden" r:id="rId2"/>
    <sheet name="Data set" sheetId="2" state="hidden" r:id="rId3"/>
    <sheet name="Index  of Deshboard" sheetId="5" r:id="rId4"/>
    <sheet name="KPI Deshboard" sheetId="6" r:id="rId5"/>
    <sheet name="Category Vs Analysis" sheetId="7" r:id="rId6"/>
    <sheet name="Category Vs profit" sheetId="8" r:id="rId7"/>
    <sheet name="Category Vs Sales" sheetId="9" r:id="rId8"/>
    <sheet name="Category vs Cost" sheetId="10" r:id="rId9"/>
    <sheet name="City Vs Analysis" sheetId="11" r:id="rId10"/>
    <sheet name="City Vs Profit" sheetId="12" r:id="rId11"/>
    <sheet name="Region vs analysis" sheetId="15" r:id="rId12"/>
    <sheet name="State Vs analysis" sheetId="16" r:id="rId13"/>
    <sheet name="Stats Vs profit" sheetId="17" r:id="rId14"/>
    <sheet name="Sheap Mode Vs Analysis" sheetId="18" r:id="rId15"/>
    <sheet name="Date Vs Analysis" sheetId="19" r:id="rId16"/>
  </sheets>
  <definedNames>
    <definedName name="ExternalData_1" localSheetId="2" hidden="1">'Data set'!$A$1:$Q$1335</definedName>
  </definedNames>
  <calcPr calcId="181029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6" l="1"/>
  <c r="N5" i="6"/>
  <c r="N6" i="6"/>
  <c r="N7" i="6"/>
  <c r="N8" i="6"/>
  <c r="N9" i="6"/>
  <c r="N10" i="6"/>
  <c r="N11" i="6"/>
  <c r="N12" i="6"/>
  <c r="N4" i="6"/>
  <c r="M8" i="6"/>
  <c r="M9" i="6"/>
  <c r="M10" i="6"/>
  <c r="M11" i="6"/>
  <c r="M12" i="6"/>
  <c r="M5" i="6"/>
  <c r="M6" i="6"/>
  <c r="M7" i="6"/>
  <c r="B9" i="4" l="1"/>
  <c r="B8" i="4"/>
  <c r="B7" i="4"/>
  <c r="B6" i="4"/>
  <c r="B5" i="4"/>
  <c r="B4" i="4"/>
  <c r="B3" i="4"/>
  <c r="B1" i="4"/>
  <c r="B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74609C-BF3E-49F3-8ADC-E78201308CC3}" keepAlive="1" name="Query - Ecommerce Sales analysis" description="Connection to the 'Ecommerce Sales analysis' query in the workbook." type="5" refreshedVersion="6" background="1" saveData="1">
    <dbPr connection="Provider=Microsoft.Mashup.OleDb.1;Data Source=$Workbook$;Location=Ecommerce Sales analysis;Extended Properties=&quot;&quot;" command="SELECT * FROM [Ecommerce Sales analysis]"/>
  </connection>
</connections>
</file>

<file path=xl/sharedStrings.xml><?xml version="1.0" encoding="utf-8"?>
<sst xmlns="http://schemas.openxmlformats.org/spreadsheetml/2006/main" count="15207" uniqueCount="2038">
  <si>
    <t>Order Date</t>
  </si>
  <si>
    <t>Ship Date</t>
  </si>
  <si>
    <t>Ship Mode</t>
  </si>
  <si>
    <t>Customer Name</t>
  </si>
  <si>
    <t>Segment</t>
  </si>
  <si>
    <t>Country</t>
  </si>
  <si>
    <t>City</t>
  </si>
  <si>
    <t>State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</si>
  <si>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</si>
  <si>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</si>
  <si>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</si>
  <si>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</si>
  <si>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</si>
  <si>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</si>
  <si>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</si>
  <si>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</si>
  <si>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Cost</t>
  </si>
  <si>
    <t>Second Class</t>
  </si>
  <si>
    <t>Claire Gute</t>
  </si>
  <si>
    <t>Consumer</t>
  </si>
  <si>
    <t>United States</t>
  </si>
  <si>
    <t>Henderson</t>
  </si>
  <si>
    <t>Kentucky</t>
  </si>
  <si>
    <t>South</t>
  </si>
  <si>
    <t>Furniture</t>
  </si>
  <si>
    <t>Bookcases</t>
  </si>
  <si>
    <t>Bush Somerset Collection Bookcase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</si>
  <si>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</si>
  <si>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</si>
  <si>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</si>
  <si>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</si>
  <si>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</si>
  <si>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</si>
  <si>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</si>
  <si>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Self-Adhesive Address Labels for Typewriters by Universal</t>
  </si>
  <si>
    <t>Standard Class</t>
  </si>
  <si>
    <t>Sean O'Donnell</t>
  </si>
  <si>
    <t>Fort Lauderdale</t>
  </si>
  <si>
    <t>Florida</t>
  </si>
  <si>
    <t>Tables</t>
  </si>
  <si>
    <t>Bretford CR4500 Series Slim Rectangular Table</t>
  </si>
  <si>
    <t>Brosina Hoffman</t>
  </si>
  <si>
    <t>Furnishings</t>
  </si>
  <si>
    <t>Eldon Expressions Wood and Plastic Desk Accessories, Cherry Wood</t>
  </si>
  <si>
    <t>Andrew Allen</t>
  </si>
  <si>
    <t>Concord</t>
  </si>
  <si>
    <t>North Carolina</t>
  </si>
  <si>
    <t>Paper</t>
  </si>
  <si>
    <t>Xerox 1967</t>
  </si>
  <si>
    <t>Irene Maddox</t>
  </si>
  <si>
    <t>Seattle</t>
  </si>
  <si>
    <t>Washington</t>
  </si>
  <si>
    <t>Binders</t>
  </si>
  <si>
    <t>Fellowes PB200 Plastic Comb Binding Machine</t>
  </si>
  <si>
    <t>Harold Pawlan</t>
  </si>
  <si>
    <t>Home Office</t>
  </si>
  <si>
    <t>Fort Worth</t>
  </si>
  <si>
    <t>Texas</t>
  </si>
  <si>
    <t>Central</t>
  </si>
  <si>
    <t>Appliances</t>
  </si>
  <si>
    <t>Holmes Replacement Filter for HEPA Air Cleaner, Very Large Room, HEPA Filter</t>
  </si>
  <si>
    <t>Pete Kriz</t>
  </si>
  <si>
    <t>Madison</t>
  </si>
  <si>
    <t>Wisconsin</t>
  </si>
  <si>
    <t>Storage</t>
  </si>
  <si>
    <t>Stur-D-Stor Shelving, Vertical 5-Shelf: 72"H x 36"W x 18 1/2"D</t>
  </si>
  <si>
    <t>Alejandro Grove</t>
  </si>
  <si>
    <t>West Jordan</t>
  </si>
  <si>
    <t>Utah</t>
  </si>
  <si>
    <t>Fellowes Super Stor/Drawer</t>
  </si>
  <si>
    <t>Zuschuss Donatelli</t>
  </si>
  <si>
    <t>San Francisco</t>
  </si>
  <si>
    <t>Art</t>
  </si>
  <si>
    <t>Newell 341</t>
  </si>
  <si>
    <t>Ken Black</t>
  </si>
  <si>
    <t>Fremont</t>
  </si>
  <si>
    <t>Nebraska</t>
  </si>
  <si>
    <t>Newell 318</t>
  </si>
  <si>
    <t>Sandra Flanagan</t>
  </si>
  <si>
    <t>Philadelphia</t>
  </si>
  <si>
    <t>Pennsylvania</t>
  </si>
  <si>
    <t>East</t>
  </si>
  <si>
    <t>Chairs</t>
  </si>
  <si>
    <t>Global Deluxe Stacking Chair, Gray</t>
  </si>
  <si>
    <t>Emily Burns</t>
  </si>
  <si>
    <t>Orem</t>
  </si>
  <si>
    <t>Eric Hoffmann</t>
  </si>
  <si>
    <t>Wilson Jones Active Use Binders</t>
  </si>
  <si>
    <t>Tracy Blumstein</t>
  </si>
  <si>
    <t>Riverside Palais Royal Lawyers Bookcase, Royale Cherry Finish</t>
  </si>
  <si>
    <t>Matt Abelman</t>
  </si>
  <si>
    <t>Houston</t>
  </si>
  <si>
    <t>Easy-staple paper</t>
  </si>
  <si>
    <t>Steve Nguyen</t>
  </si>
  <si>
    <t>Envelopes</t>
  </si>
  <si>
    <t>#10-4 1/8" x 9 1/2" Premium Diagonal Seam Envelopes</t>
  </si>
  <si>
    <t>Linda Cazamias</t>
  </si>
  <si>
    <t>Naperville</t>
  </si>
  <si>
    <t>Illinois</t>
  </si>
  <si>
    <t>Technology</t>
  </si>
  <si>
    <t>Phones</t>
  </si>
  <si>
    <t>Panasonic Kx-TS550</t>
  </si>
  <si>
    <t>Ruben Ausman</t>
  </si>
  <si>
    <t>Eldon Base for stackable storage shelf, platinum</t>
  </si>
  <si>
    <t>Erin Smith</t>
  </si>
  <si>
    <t>Melbourne</t>
  </si>
  <si>
    <t>Advantus 10-Drawer Portable Organizer, Chrome Metal Frame, Smoke Drawers</t>
  </si>
  <si>
    <t>First Class</t>
  </si>
  <si>
    <t>Odella Nelson</t>
  </si>
  <si>
    <t>Eagan</t>
  </si>
  <si>
    <t>Minnesota</t>
  </si>
  <si>
    <t>Accessories</t>
  </si>
  <si>
    <t>Verbatim 25 GB 6x Blu-ray Single Layer Recordable Disc, 25/Pack</t>
  </si>
  <si>
    <t>Patrick O'Donnell</t>
  </si>
  <si>
    <t>Westland</t>
  </si>
  <si>
    <t>Michigan</t>
  </si>
  <si>
    <t>Gould Plastics 9-Pocket Panel Bin, 18-3/8w x 5-1/4d x 20-1/2h, Black</t>
  </si>
  <si>
    <t>Lena Hernandez</t>
  </si>
  <si>
    <t>Dover</t>
  </si>
  <si>
    <t>Delaware</t>
  </si>
  <si>
    <t>Imation 8gb Micro Traveldrive Usb 2.0 Flash Drive</t>
  </si>
  <si>
    <t>Darren Powers</t>
  </si>
  <si>
    <t>New Albany</t>
  </si>
  <si>
    <t>Indiana</t>
  </si>
  <si>
    <t>C-Line Peel &amp; Stick Add-On Filing Pockets, 8-3/4 x 5-1/8, 10/Pack</t>
  </si>
  <si>
    <t>Janet Molinari</t>
  </si>
  <si>
    <t>New York City</t>
  </si>
  <si>
    <t>New York</t>
  </si>
  <si>
    <t>Fasteners</t>
  </si>
  <si>
    <t>Advantus Push Pins</t>
  </si>
  <si>
    <t>Ted Butterfield</t>
  </si>
  <si>
    <t>Troy</t>
  </si>
  <si>
    <t>Home/Office Personal File Carts</t>
  </si>
  <si>
    <t>Kunst Miller</t>
  </si>
  <si>
    <t>Verbatim 25 GB 6x Blu-ray Single Layer Recordable Disc, 3/Pack</t>
  </si>
  <si>
    <t>Paul Stevenson</t>
  </si>
  <si>
    <t>Chicago</t>
  </si>
  <si>
    <t>Global Value Mid-Back Manager's Chair, Gray</t>
  </si>
  <si>
    <t>Brendan Sweed</t>
  </si>
  <si>
    <t>Gilbert</t>
  </si>
  <si>
    <t>Arizona</t>
  </si>
  <si>
    <t>Hunt BOSTON Model 1606 High-Volume Electric Pencil Sharpener, Beige</t>
  </si>
  <si>
    <t>Karen Daniels</t>
  </si>
  <si>
    <t>Springfield</t>
  </si>
  <si>
    <t>Virginia</t>
  </si>
  <si>
    <t>Snap-A-Way Black Print Carbonless Ruled Speed Letter, Triplicate</t>
  </si>
  <si>
    <t>Henry MacAllister</t>
  </si>
  <si>
    <t>Avery Binding System Hidden Tab Executive Style Index Sets</t>
  </si>
  <si>
    <t>Jackson</t>
  </si>
  <si>
    <t>Telephone Message Books with Fax/Mobile Section, 5 1/2" x 3 3/16"</t>
  </si>
  <si>
    <t>Joel Eaton</t>
  </si>
  <si>
    <t>Memphis</t>
  </si>
  <si>
    <t>Tennessee</t>
  </si>
  <si>
    <t>High-Back Leather Manager's Chair</t>
  </si>
  <si>
    <t>Ken Brennan</t>
  </si>
  <si>
    <t>Economy Binders</t>
  </si>
  <si>
    <t>Eldon Expressions Desk Accessory, Wood Pencil Holder, Oak</t>
  </si>
  <si>
    <t>Stewart Carmichael</t>
  </si>
  <si>
    <t>Decatur</t>
  </si>
  <si>
    <t>Alabama</t>
  </si>
  <si>
    <t>1.7 Cubic Foot Compact "Cube" Office Refrigerators</t>
  </si>
  <si>
    <t>Duane Noonan</t>
  </si>
  <si>
    <t>Premium Writing Pencils, Soft, #2 by Central Association for the Blind</t>
  </si>
  <si>
    <t>Julie Creighton</t>
  </si>
  <si>
    <t>Durham</t>
  </si>
  <si>
    <t>Jet-Pak Recycled Peel 'N' Seal Padded Mailers</t>
  </si>
  <si>
    <t>Christopher Schild</t>
  </si>
  <si>
    <t>Safco Industrial Wire Shelving</t>
  </si>
  <si>
    <t>Columbia</t>
  </si>
  <si>
    <t>South Carolina</t>
  </si>
  <si>
    <t>Novimex Swivel Fabric Task Chair</t>
  </si>
  <si>
    <t>Paul Gonzalez</t>
  </si>
  <si>
    <t>Rochester</t>
  </si>
  <si>
    <t>Logitech LS21 Speaker System - PC Multimedia - 2.1-CH - Wired</t>
  </si>
  <si>
    <t>Gary Mitchum</t>
  </si>
  <si>
    <t>Eldon Portable Mobile Manager</t>
  </si>
  <si>
    <t>Jim Sink</t>
  </si>
  <si>
    <t>Turquoise Lead Holder with Pocket Clip</t>
  </si>
  <si>
    <t>Karl Braun</t>
  </si>
  <si>
    <t>Minneapolis</t>
  </si>
  <si>
    <t>Xerox 1999</t>
  </si>
  <si>
    <t>Roger Barcio</t>
  </si>
  <si>
    <t>Portland</t>
  </si>
  <si>
    <t>Oregon</t>
  </si>
  <si>
    <t>Flexible Leather- Look Classic Collection Ring Binder</t>
  </si>
  <si>
    <t>Parhena Norris</t>
  </si>
  <si>
    <t>9-3/4 Diameter Round Wall Clock</t>
  </si>
  <si>
    <t>Katherine Ducich</t>
  </si>
  <si>
    <t>Trimflex Flexible Post Binders</t>
  </si>
  <si>
    <t>Elpida Rittenbach</t>
  </si>
  <si>
    <t>Saint Paul</t>
  </si>
  <si>
    <t>Fellowes Basic Home/Office Series Surge Protectors</t>
  </si>
  <si>
    <t>Rick Bensley</t>
  </si>
  <si>
    <t>Avery Personal Creations Heavyweight Cards</t>
  </si>
  <si>
    <t>Gary Zandusky</t>
  </si>
  <si>
    <t>Universal Premium White Copier/Laser Paper (20Lb. and 87 Bright)</t>
  </si>
  <si>
    <t>Lena Cacioppo</t>
  </si>
  <si>
    <t>Aurora</t>
  </si>
  <si>
    <t>Colorado</t>
  </si>
  <si>
    <t>Logitech K350 2.4Ghz Wireless Keyboard</t>
  </si>
  <si>
    <t>Janet Martin</t>
  </si>
  <si>
    <t>Charlotte</t>
  </si>
  <si>
    <t>Memorex Mini Travel Drive 8 GB USB 2.0 Flash Drive</t>
  </si>
  <si>
    <t>Pete Armstrong</t>
  </si>
  <si>
    <t>Orland Park</t>
  </si>
  <si>
    <t>Logitech Gaming G510s - Keyboard</t>
  </si>
  <si>
    <t>Cynthia Voltz</t>
  </si>
  <si>
    <t>Magnifier Swing Arm Lamp</t>
  </si>
  <si>
    <t>Clay Ludtke</t>
  </si>
  <si>
    <t>Urbandale</t>
  </si>
  <si>
    <t>Iowa</t>
  </si>
  <si>
    <t>Hunt PowerHouse Electric Pencil Sharpener, Blue</t>
  </si>
  <si>
    <t>Ryan Crowe</t>
  </si>
  <si>
    <t>Columbus</t>
  </si>
  <si>
    <t>Ohio</t>
  </si>
  <si>
    <t>OIC Colored Binder Clips, Assorted Sizes</t>
  </si>
  <si>
    <t>Dave Kipp</t>
  </si>
  <si>
    <t>Hon Racetrack Conference Tables</t>
  </si>
  <si>
    <t>Greg Guthrie</t>
  </si>
  <si>
    <t>Bristol</t>
  </si>
  <si>
    <t>GBC DocuBind 300 Electric Binding Machine</t>
  </si>
  <si>
    <t>Alan Dominguez</t>
  </si>
  <si>
    <t>Global Deluxe High-Back Manager's Chair</t>
  </si>
  <si>
    <t>Philip Fox</t>
  </si>
  <si>
    <t>Bloomington</t>
  </si>
  <si>
    <t>Bevis 44 x 96 Conference Tables</t>
  </si>
  <si>
    <t>Dorothy Wardle</t>
  </si>
  <si>
    <t>Anker 36W 4-Port USB Wall Charger Travel Power Adapter for iPhone 5s 5c 5</t>
  </si>
  <si>
    <t>Lena Creighton</t>
  </si>
  <si>
    <t>Roseville</t>
  </si>
  <si>
    <t>Xerox 195</t>
  </si>
  <si>
    <t>Jonathan Doherty</t>
  </si>
  <si>
    <t>Howard Miller 13-3/4" Diameter Brushed Chrome Round Wall Clock</t>
  </si>
  <si>
    <t>Sandra Glassco</t>
  </si>
  <si>
    <t>Independence</t>
  </si>
  <si>
    <t>Missouri</t>
  </si>
  <si>
    <t>Sanyo 2.5 Cubic Foot Mid-Size Office Refrigerators</t>
  </si>
  <si>
    <t>Helen Andreada</t>
  </si>
  <si>
    <t>Pasadena</t>
  </si>
  <si>
    <t>Maureen Gastineau</t>
  </si>
  <si>
    <t>Newark</t>
  </si>
  <si>
    <t>Seth Thomas 14" Putty-Colored Wall Clock</t>
  </si>
  <si>
    <t>Justin Ellison</t>
  </si>
  <si>
    <t>Franklin</t>
  </si>
  <si>
    <t>Plantronics Cordless Phone Headset with In-line Volume - M214C</t>
  </si>
  <si>
    <t>Tamara Willingham</t>
  </si>
  <si>
    <t>Scottsdale</t>
  </si>
  <si>
    <t>Belkin 7 Outlet SurgeMaster Surge Protector with Phone Protection</t>
  </si>
  <si>
    <t>Stephanie Phelps</t>
  </si>
  <si>
    <t>San Jose</t>
  </si>
  <si>
    <t>Southworth 25% Cotton Antique Laid Paper &amp; Envelopes</t>
  </si>
  <si>
    <t>Neil Knudson</t>
  </si>
  <si>
    <t>Newell 311</t>
  </si>
  <si>
    <t>Dave Brooks</t>
  </si>
  <si>
    <t>Nora Paige</t>
  </si>
  <si>
    <t>Edmond</t>
  </si>
  <si>
    <t>Oklahoma</t>
  </si>
  <si>
    <t>Avery 519</t>
  </si>
  <si>
    <t>Ted Trevino</t>
  </si>
  <si>
    <t>Xerox 1920</t>
  </si>
  <si>
    <t>Ruben Dartt</t>
  </si>
  <si>
    <t>Carlsbad</t>
  </si>
  <si>
    <t>New Mexico</t>
  </si>
  <si>
    <t>Staple envelope</t>
  </si>
  <si>
    <t>Becky Martin</t>
  </si>
  <si>
    <t>San Antonio</t>
  </si>
  <si>
    <t>BIC Brite Liner Highlighters</t>
  </si>
  <si>
    <t>Chad Sievert</t>
  </si>
  <si>
    <t>Adams Phone Message Book, Professional, 400 Message Capacity, 5 3/6” x 11”</t>
  </si>
  <si>
    <t>Jennifer Braxton</t>
  </si>
  <si>
    <t>Kensington 7 Outlet MasterPiece HOMEOFFICE Power Control Center</t>
  </si>
  <si>
    <t>Shirley Jackson</t>
  </si>
  <si>
    <t>Acco 7-Outlet Masterpiece Power Center, Wihtout Fax/Phone Line Protection</t>
  </si>
  <si>
    <t>Padded Folding Chairs, Black, 4/Carton</t>
  </si>
  <si>
    <t>Jim Kriz</t>
  </si>
  <si>
    <t>Sanford Colorific Eraseable Coloring Pencils, 12 Count</t>
  </si>
  <si>
    <t>David Kendrick</t>
  </si>
  <si>
    <t>Tenex File Box, Personal Filing Tote with Lid, Black</t>
  </si>
  <si>
    <t>Robert Marley</t>
  </si>
  <si>
    <t>Monroe</t>
  </si>
  <si>
    <t>Louisiana</t>
  </si>
  <si>
    <t>AT&amp;T TR1909W</t>
  </si>
  <si>
    <t>Sally Knutson</t>
  </si>
  <si>
    <t>Fairfield</t>
  </si>
  <si>
    <t>Connecticut</t>
  </si>
  <si>
    <t>Avery Poly Binder Pockets</t>
  </si>
  <si>
    <t>Frank Merwin</t>
  </si>
  <si>
    <t>SanDisk Ultra 32 GB MicroSDHC Class 10 Memory Card</t>
  </si>
  <si>
    <t>Mark Packer</t>
  </si>
  <si>
    <t>Atlantic Metals Mobile 4-Shelf Bookcases, Custom Colors</t>
  </si>
  <si>
    <t>Mary Zewe</t>
  </si>
  <si>
    <t>Redlands</t>
  </si>
  <si>
    <t>Poly String Tie Envelopes</t>
  </si>
  <si>
    <t>Cassandra Brandow</t>
  </si>
  <si>
    <t>Hamilton</t>
  </si>
  <si>
    <t>Binney &amp; Smith Crayola Metallic Colored Pencils, 8-Color Set</t>
  </si>
  <si>
    <t>Valerie Mitchum</t>
  </si>
  <si>
    <t>Westfield</t>
  </si>
  <si>
    <t>New Jersey</t>
  </si>
  <si>
    <t>Decoflex Hanging Personal Folder File</t>
  </si>
  <si>
    <t>Fred Hopkins</t>
  </si>
  <si>
    <t>Pressboard Covers with Storage Hooks, 9 1/2" x 11", Light Blue</t>
  </si>
  <si>
    <t>Maria Bertelson</t>
  </si>
  <si>
    <t>Akron</t>
  </si>
  <si>
    <t>Southworth 25% Cotton Linen-Finish Paper &amp; Envelopes</t>
  </si>
  <si>
    <t>Bruce Stewart</t>
  </si>
  <si>
    <t>Denver</t>
  </si>
  <si>
    <t>BoxOffice By Design Rectangular and Half-Moon Meeting Room Tables</t>
  </si>
  <si>
    <t>Logan Currie</t>
  </si>
  <si>
    <t>Dallas</t>
  </si>
  <si>
    <t>Eureka Sanitaire  Commercial Upright</t>
  </si>
  <si>
    <t>Heather Kirkland</t>
  </si>
  <si>
    <t>Eldon 200 Class Desk Accessories, Burgundy</t>
  </si>
  <si>
    <t>Laurel Elliston</t>
  </si>
  <si>
    <t>Whittier</t>
  </si>
  <si>
    <t>Nortel Business Series Terminal T7208 Digital phone</t>
  </si>
  <si>
    <t>Joseph Holt</t>
  </si>
  <si>
    <t>Saginaw</t>
  </si>
  <si>
    <t>Tennsco Lockers, Gray</t>
  </si>
  <si>
    <t>Michael Stewart</t>
  </si>
  <si>
    <t>Memorex Micro Travel Drive 8 GB</t>
  </si>
  <si>
    <t>Victoria Wilson</t>
  </si>
  <si>
    <t>Medina</t>
  </si>
  <si>
    <t>Avery 505</t>
  </si>
  <si>
    <t>Jonathan Howell</t>
  </si>
  <si>
    <t>Personal Filing Tote with Lid, Black/Gray</t>
  </si>
  <si>
    <t>Joni Blumstein</t>
  </si>
  <si>
    <t>Dublin</t>
  </si>
  <si>
    <t>OIC Bulk Pack Metal Binder Clips</t>
  </si>
  <si>
    <t>David Smith</t>
  </si>
  <si>
    <t>Detroit</t>
  </si>
  <si>
    <t>Sanford Uni-Blazer View Highlighters, Chisel Tip, Yellow</t>
  </si>
  <si>
    <t>Valerie Dominguez</t>
  </si>
  <si>
    <t>Global Low Back Tilter Chair</t>
  </si>
  <si>
    <t>Erin Ashbrook</t>
  </si>
  <si>
    <t>GBC Instant Index System for Binding Systems</t>
  </si>
  <si>
    <t>Tampa</t>
  </si>
  <si>
    <t>Bush Advantage Collection Round Conference Table</t>
  </si>
  <si>
    <t>Ken Lonsdale</t>
  </si>
  <si>
    <t>Xerox 1957</t>
  </si>
  <si>
    <t>Dianna Wilson</t>
  </si>
  <si>
    <t>Lakeville</t>
  </si>
  <si>
    <t>Logan Haushalter</t>
  </si>
  <si>
    <t>Global Leather Highback Executive Chair with Pneumatic Height Adjustment, Black</t>
  </si>
  <si>
    <t>Kelly Collister</t>
  </si>
  <si>
    <t>San Diego</t>
  </si>
  <si>
    <t>Wirebound Message Books, Two 4 1/4" x 5" Forms per Page</t>
  </si>
  <si>
    <t>Dan Reichenbach</t>
  </si>
  <si>
    <t>Eldon 100 Class Desk Accessories</t>
  </si>
  <si>
    <t>Craig Carreira</t>
  </si>
  <si>
    <t>Sabrent 4-Port USB 2.0 Hub</t>
  </si>
  <si>
    <t>Dorris liebe</t>
  </si>
  <si>
    <t>Eureka Disposable Bags for Sanitaire Vibra Groomer I Upright Vac</t>
  </si>
  <si>
    <t>Sean Braxton</t>
  </si>
  <si>
    <t>Machines</t>
  </si>
  <si>
    <t>Lexmark MX611dhe Monochrome Laser Printer</t>
  </si>
  <si>
    <t>Roy Collins</t>
  </si>
  <si>
    <t>Cisco Small Business SPA 502G VoIP phone</t>
  </si>
  <si>
    <t>Alan Hwang</t>
  </si>
  <si>
    <t>Brentwood</t>
  </si>
  <si>
    <t>Microsoft Sculpt Comfort Mouse</t>
  </si>
  <si>
    <t>Morristown</t>
  </si>
  <si>
    <t>Bagged Rubber Bands</t>
  </si>
  <si>
    <t>Christine Abelman</t>
  </si>
  <si>
    <t>Cincinnati</t>
  </si>
  <si>
    <t>Safco Commercial Shelving</t>
  </si>
  <si>
    <t>Kristen Hastings</t>
  </si>
  <si>
    <t>Adjustable Depth Letter/Legal Cart</t>
  </si>
  <si>
    <t>Logitech 910-002974 M325 Wireless Mouse for Web Scrolling</t>
  </si>
  <si>
    <t>Andrew Gjertsen</t>
  </si>
  <si>
    <t>Post-it “Important Message” Note Pad, Neon Colors, 50 Sheets/Pad</t>
  </si>
  <si>
    <t>Steven Cartwright</t>
  </si>
  <si>
    <t>Round Ring Binders</t>
  </si>
  <si>
    <t>Alan Haines</t>
  </si>
  <si>
    <t>Tamarac</t>
  </si>
  <si>
    <t>GBC VeloBinder Electric Binding Machine</t>
  </si>
  <si>
    <t>Belleville</t>
  </si>
  <si>
    <t>Xerox 223</t>
  </si>
  <si>
    <t>BPI Conference Tables</t>
  </si>
  <si>
    <t>Alan Schoenberger</t>
  </si>
  <si>
    <t>Electrix 20W Halogen Replacement Bulb for Zoom-In Desk Lamp</t>
  </si>
  <si>
    <t>Taylor</t>
  </si>
  <si>
    <t>Newell 350</t>
  </si>
  <si>
    <t>Shahid Hopkins</t>
  </si>
  <si>
    <t>Arlington</t>
  </si>
  <si>
    <t>Faber Castell Col-Erase Pencils</t>
  </si>
  <si>
    <t>Ben Peterman</t>
  </si>
  <si>
    <t>Arvada</t>
  </si>
  <si>
    <t>C-Line Cubicle Keepers Polyproplyene Holder With Velcro Backings</t>
  </si>
  <si>
    <t>Thomas Seio</t>
  </si>
  <si>
    <t>Hackensack</t>
  </si>
  <si>
    <t>Deflect-o SuperTray Unbreakable Stackable Tray, Letter, Black</t>
  </si>
  <si>
    <t>Andy Gerbode</t>
  </si>
  <si>
    <t>Saint Petersburg</t>
  </si>
  <si>
    <t>AT&amp;T 1070 Corded Phone</t>
  </si>
  <si>
    <t>Sung Pak</t>
  </si>
  <si>
    <t>Boston School Pro Electric Pencil Sharpener, 1670</t>
  </si>
  <si>
    <t>Nathan Mautz</t>
  </si>
  <si>
    <t>DMI Arturo Collection Mission-style Design Wood Chair</t>
  </si>
  <si>
    <t>Frank Atkinson</t>
  </si>
  <si>
    <t>Long Beach</t>
  </si>
  <si>
    <t>OIC Binder Clips</t>
  </si>
  <si>
    <t>Grace Kelly</t>
  </si>
  <si>
    <t>Hesperia</t>
  </si>
  <si>
    <t>Ibico Laser Imprintable Binding System Covers</t>
  </si>
  <si>
    <t>Don Jones</t>
  </si>
  <si>
    <t>Murfreesboro</t>
  </si>
  <si>
    <t>Telescoping Adjustable Floor Lamp</t>
  </si>
  <si>
    <t>Patrick O'Brill</t>
  </si>
  <si>
    <t>Aastra 57i VoIP phone</t>
  </si>
  <si>
    <t>John Lucas</t>
  </si>
  <si>
    <t>AT&amp;T 841000 Phone</t>
  </si>
  <si>
    <t>Doug Bickford</t>
  </si>
  <si>
    <t>Storex Dura Pro Binders</t>
  </si>
  <si>
    <t>Alyssa Crouse</t>
  </si>
  <si>
    <t>Tuff Stuff Recycled Round Ring Binders</t>
  </si>
  <si>
    <t>Layton</t>
  </si>
  <si>
    <t>OIC Binder Clips, Mini, 1/4" Capacity, Black</t>
  </si>
  <si>
    <t>Newell 314</t>
  </si>
  <si>
    <t>Austin</t>
  </si>
  <si>
    <t>Clay Cheatham</t>
  </si>
  <si>
    <t>Tamara Dahlen</t>
  </si>
  <si>
    <t>Lowell</t>
  </si>
  <si>
    <t>Massachusetts</t>
  </si>
  <si>
    <t>Binney &amp; Smith inkTank Erasable Desk Highlighter, Chisel Tip, Yellow, 12/Box</t>
  </si>
  <si>
    <t>Adam Bellavance</t>
  </si>
  <si>
    <t>Jeremy Lonsdale</t>
  </si>
  <si>
    <t>Sauder Barrister Bookcases</t>
  </si>
  <si>
    <t>Victoria Brennan</t>
  </si>
  <si>
    <t>Georgia</t>
  </si>
  <si>
    <t>Belkin 8 Outlet SurgeMaster II Gold Surge Protector with Phone Protection</t>
  </si>
  <si>
    <t>Katrina Willman</t>
  </si>
  <si>
    <t>Avery Address/Shipping Labels for Typewriters, 4" x 2"</t>
  </si>
  <si>
    <t>Julia Dunbar</t>
  </si>
  <si>
    <t>Same Day</t>
  </si>
  <si>
    <t>Michael Kennedy</t>
  </si>
  <si>
    <t>Manchester</t>
  </si>
  <si>
    <t>Wilson Jones “Snap” Scratch Pad Binder Tool for Ring Binders</t>
  </si>
  <si>
    <t>Guy Thornton</t>
  </si>
  <si>
    <t>Harlingen</t>
  </si>
  <si>
    <t>Xerox 1930</t>
  </si>
  <si>
    <t>Arthur Gainer</t>
  </si>
  <si>
    <t>Tucson</t>
  </si>
  <si>
    <t>Wilson Jones Custom Binder Spines &amp; Labels</t>
  </si>
  <si>
    <t>Muhammed MacIntyre</t>
  </si>
  <si>
    <t>Quincy</t>
  </si>
  <si>
    <t>Xerox 1960</t>
  </si>
  <si>
    <t>Allen Rosenblatt</t>
  </si>
  <si>
    <t>Office Impressions End Table, 20-1/2"H x 24"W x 20"D</t>
  </si>
  <si>
    <t>Alejandro Savely</t>
  </si>
  <si>
    <t>Southworth Structures Collection</t>
  </si>
  <si>
    <t>Laura Armstrong</t>
  </si>
  <si>
    <t>Sony 32GB Class 10 Micro SDHC R40 Memory Card</t>
  </si>
  <si>
    <t>Denny Ordway</t>
  </si>
  <si>
    <t>Pembroke Pines</t>
  </si>
  <si>
    <t>Hon Practical Foundations 30 x 60 Training Table, Light Gray/Charcoal</t>
  </si>
  <si>
    <t>Dean Katz</t>
  </si>
  <si>
    <t>Lexmark MarkNet N8150 Wireless Print Server</t>
  </si>
  <si>
    <t>Nathan Gelder</t>
  </si>
  <si>
    <t>Crayola Colored Pencils</t>
  </si>
  <si>
    <t>Mike Vittorini</t>
  </si>
  <si>
    <t>Angle-D Binders with Locking Rings, Label Holders</t>
  </si>
  <si>
    <t>Jack Garza</t>
  </si>
  <si>
    <t>Des Moines</t>
  </si>
  <si>
    <t>Nortel Meridian M3904 Professional Digital phone</t>
  </si>
  <si>
    <t>Bart Pistole</t>
  </si>
  <si>
    <t>Peoria</t>
  </si>
  <si>
    <t>Wilson Jones Century Plastic Molded Ring Binders</t>
  </si>
  <si>
    <t>Victor Preis</t>
  </si>
  <si>
    <t>Las Vegas</t>
  </si>
  <si>
    <t>Nevada</t>
  </si>
  <si>
    <t>Tuf-Vin Binders</t>
  </si>
  <si>
    <t>Saphhira Shifley</t>
  </si>
  <si>
    <t>Warwick</t>
  </si>
  <si>
    <t>Rhode Island</t>
  </si>
  <si>
    <t>2300 Heavy-Duty Transfer File Systems by Perma</t>
  </si>
  <si>
    <t>Supplies</t>
  </si>
  <si>
    <t>Acme 10" Easy Grip Assistive Scissors</t>
  </si>
  <si>
    <t>Anna Gayman</t>
  </si>
  <si>
    <t>Super Decoflex Portable Personal File</t>
  </si>
  <si>
    <t>Luke Foster</t>
  </si>
  <si>
    <t>Miami</t>
  </si>
  <si>
    <t>Xerox 1974</t>
  </si>
  <si>
    <t>Wilmington</t>
  </si>
  <si>
    <t>Avery Hi-Liter EverBold Pen Style Fluorescent Highlighters, 4/Pack</t>
  </si>
  <si>
    <t>Roy Französisch</t>
  </si>
  <si>
    <t>Staple holder</t>
  </si>
  <si>
    <t>Keith Herrera</t>
  </si>
  <si>
    <t>Sony 64GB Class 10 Micro SDHC R40 Memory Card</t>
  </si>
  <si>
    <t>Kimberly Carter</t>
  </si>
  <si>
    <t>Xerox 191</t>
  </si>
  <si>
    <t>Caroline Jumper</t>
  </si>
  <si>
    <t>Huntington Beach</t>
  </si>
  <si>
    <t>Bulldog Vacuum Base Pencil Sharpener</t>
  </si>
  <si>
    <t>Philip Brown</t>
  </si>
  <si>
    <t>Bevis Steel Folding Chairs</t>
  </si>
  <si>
    <t>Richmond</t>
  </si>
  <si>
    <t>Xerox 1987</t>
  </si>
  <si>
    <t>American Pencil</t>
  </si>
  <si>
    <t>Louisville</t>
  </si>
  <si>
    <t>KeyTronic 6101 Series - Keyboard - Black</t>
  </si>
  <si>
    <t>Natalie Fritzler</t>
  </si>
  <si>
    <t>Mississippi</t>
  </si>
  <si>
    <t>Hon Multipurpose Stacking Arm Chairs</t>
  </si>
  <si>
    <t>Canton</t>
  </si>
  <si>
    <t>Coloredge Poster Frame</t>
  </si>
  <si>
    <t>Shirley Daniels</t>
  </si>
  <si>
    <t>New Rochelle</t>
  </si>
  <si>
    <t>Epson WorkForce WF-2530 All-in-One Printer, Copier Scanner</t>
  </si>
  <si>
    <t>Ken Heidel</t>
  </si>
  <si>
    <t>Design Ebony Sketching Pencil</t>
  </si>
  <si>
    <t>Ross Baird</t>
  </si>
  <si>
    <t>Gastonia</t>
  </si>
  <si>
    <t>GBC ProClick 150 Presentation Binding System</t>
  </si>
  <si>
    <t>Letter Size Cart</t>
  </si>
  <si>
    <t>Mike Kennedy</t>
  </si>
  <si>
    <t>Jacksonville</t>
  </si>
  <si>
    <t>Insertable Tab Post Binder Dividers</t>
  </si>
  <si>
    <t>Philisse Overcash</t>
  </si>
  <si>
    <t>Canon Color ImageCLASS MF8580Cdw Wireless Laser All-In-One Printer, Copier, Scanner</t>
  </si>
  <si>
    <t>Brenda Bowman</t>
  </si>
  <si>
    <t>Xerox 1897</t>
  </si>
  <si>
    <t>Global Deluxe Steno Chair</t>
  </si>
  <si>
    <t>Troy Blackwell</t>
  </si>
  <si>
    <t>GE General Purpose, Extra Long Life, Showcase &amp; Floodlight Incandescent Bulbs</t>
  </si>
  <si>
    <t>Raymond Buch</t>
  </si>
  <si>
    <t>Auburn</t>
  </si>
  <si>
    <t>Newell 345</t>
  </si>
  <si>
    <t>Ed Braxton</t>
  </si>
  <si>
    <t>Chromcraft Rectangular Conference Tables</t>
  </si>
  <si>
    <t>Sanjit Chand</t>
  </si>
  <si>
    <t>Global Geo Office Task Chair, Gray</t>
  </si>
  <si>
    <t>3M Office Air Cleaner</t>
  </si>
  <si>
    <t>Joni Sundaresam</t>
  </si>
  <si>
    <t>Park Ridge</t>
  </si>
  <si>
    <t>Eldon ClusterMat Chair Mat with Cordless Antistatic Protection</t>
  </si>
  <si>
    <t>Amarillo</t>
  </si>
  <si>
    <t>Bush Mission Pointe Library</t>
  </si>
  <si>
    <t>Jeremy Pistek</t>
  </si>
  <si>
    <t>SAFCO Boltless Steel Shelving</t>
  </si>
  <si>
    <t>Cisco SPA525G2 IP Phone - Wireless</t>
  </si>
  <si>
    <t>Jeremy Ellison</t>
  </si>
  <si>
    <t>John Grady</t>
  </si>
  <si>
    <t>Prang Colored Pencils</t>
  </si>
  <si>
    <t>Xylona Preis</t>
  </si>
  <si>
    <t>Imation USB 2.0 Swivel Flash Drive USB flash drive - 4 GB - Pink</t>
  </si>
  <si>
    <t>Michelle Tran</t>
  </si>
  <si>
    <t>Alphabetical Labels for Top Tab Filing</t>
  </si>
  <si>
    <t>Sue Ann Reed</t>
  </si>
  <si>
    <t>Apple iPhone 5S</t>
  </si>
  <si>
    <t>Carl Weiss</t>
  </si>
  <si>
    <t>Huntsville</t>
  </si>
  <si>
    <t>Square Credit Card Reader</t>
  </si>
  <si>
    <t>Sonia Sunley</t>
  </si>
  <si>
    <t>Sony Micro Vault Click 8 GB USB 2.0 Flash Drive</t>
  </si>
  <si>
    <t>Rose O'Brian</t>
  </si>
  <si>
    <t>Balt Solid Wood Rectangular Table</t>
  </si>
  <si>
    <t>Costa Mesa</t>
  </si>
  <si>
    <t>Clear Mylar Reinforcing Strips</t>
  </si>
  <si>
    <t>Maribeth Yedwab</t>
  </si>
  <si>
    <t>Parker</t>
  </si>
  <si>
    <t>Vinyl Sectional Post Binders</t>
  </si>
  <si>
    <t>Avery Durable Slant Ring Binders, No Labels</t>
  </si>
  <si>
    <t>Christopher Martinez</t>
  </si>
  <si>
    <t>Atlanta</t>
  </si>
  <si>
    <t>Rogers Handheld Barrel Pencil Sharpener</t>
  </si>
  <si>
    <t>Lynn Smith</t>
  </si>
  <si>
    <t>Gladstone</t>
  </si>
  <si>
    <t>Executive Impressions Supervisor Wall Clock</t>
  </si>
  <si>
    <t>Bradley Nguyen</t>
  </si>
  <si>
    <t>Newell 327</t>
  </si>
  <si>
    <t>Great Falls</t>
  </si>
  <si>
    <t>Montana</t>
  </si>
  <si>
    <t>Copiers</t>
  </si>
  <si>
    <t>Canon Image Class D660 Copier</t>
  </si>
  <si>
    <t>Dean Braden</t>
  </si>
  <si>
    <t>Matt Connell</t>
  </si>
  <si>
    <t>Motorola HK250 Universal Bluetooth Headset</t>
  </si>
  <si>
    <t>Brian Dahlen</t>
  </si>
  <si>
    <t>Lawrence</t>
  </si>
  <si>
    <t>Staples</t>
  </si>
  <si>
    <t>Patricia Hirasaki</t>
  </si>
  <si>
    <t>Lakeland</t>
  </si>
  <si>
    <t>Global Commerce Series High-Back Swivel/Tilt Chairs</t>
  </si>
  <si>
    <t>Mike Gockenbach</t>
  </si>
  <si>
    <t>Eldon Gobal File Keepers</t>
  </si>
  <si>
    <t>Karen Bern</t>
  </si>
  <si>
    <t>Safco Contoured Stacking Chairs</t>
  </si>
  <si>
    <t>Jasper Cacioppo</t>
  </si>
  <si>
    <t>Tenex Chairmats For Use With Carpeted Floors</t>
  </si>
  <si>
    <t>Rob Lucas</t>
  </si>
  <si>
    <t>Montgomery</t>
  </si>
  <si>
    <t>Panasonic KX-TG9471B</t>
  </si>
  <si>
    <t>Allen Armold</t>
  </si>
  <si>
    <t>Mesa</t>
  </si>
  <si>
    <t>Sterilite Officeware Hinged File Box</t>
  </si>
  <si>
    <t>Emily Phan</t>
  </si>
  <si>
    <t>Premier Elliptical Ring Binder, Black</t>
  </si>
  <si>
    <t>Cardinal Poly Pocket Divider Pockets for Ring Binders</t>
  </si>
  <si>
    <t>Darren Koutras</t>
  </si>
  <si>
    <t>Eureka The Boss Cordless Rechargeable Stick Vac</t>
  </si>
  <si>
    <t>Bradley Drucker</t>
  </si>
  <si>
    <t>Green Bay</t>
  </si>
  <si>
    <t>Enermax Aurora Lite Keyboard</t>
  </si>
  <si>
    <t>LG Electronics Tone+ HBS-730 Bluetooth Headset</t>
  </si>
  <si>
    <t>Liz MacKendrick</t>
  </si>
  <si>
    <t>Fellowes Officeware Wire Shelving</t>
  </si>
  <si>
    <t>SanDisk Cruzer 64 GB USB Flash Drive</t>
  </si>
  <si>
    <t>Adrian Shami</t>
  </si>
  <si>
    <t>Avery Printable Repositionable Plastic Tabs</t>
  </si>
  <si>
    <t>Bill Donatelli</t>
  </si>
  <si>
    <t>HON 5400 Series Task Chairs for Big and Tall</t>
  </si>
  <si>
    <t>Howard Miller 11-1/2" Diameter Grantwood Wall Clock</t>
  </si>
  <si>
    <t>Anaheim</t>
  </si>
  <si>
    <t>Tennsco 16-Compartment Lockers with Coat Rack</t>
  </si>
  <si>
    <t>Ashley Jarboe</t>
  </si>
  <si>
    <t>Zebra Zazzle Fluorescent Highlighters</t>
  </si>
  <si>
    <t>Cynthia Arntzen</t>
  </si>
  <si>
    <t>Sanitaire Vibra Groomer IR Commercial Upright Vacuum, Replacement Belts</t>
  </si>
  <si>
    <t>Jeremy Farry</t>
  </si>
  <si>
    <t>Alliance Big Bands Rubber Bands, 12/Pack</t>
  </si>
  <si>
    <t>Frank Preis</t>
  </si>
  <si>
    <t>Cisco SPA301</t>
  </si>
  <si>
    <t>Jennifer Ferguson</t>
  </si>
  <si>
    <t>Avery 473</t>
  </si>
  <si>
    <t>Sarah Foster</t>
  </si>
  <si>
    <t>Marysville</t>
  </si>
  <si>
    <t>Newell 332</t>
  </si>
  <si>
    <t>Trudy Glocke</t>
  </si>
  <si>
    <t>Personal Creations Ink Jet Cards and Labels</t>
  </si>
  <si>
    <t>Carlos Soltero</t>
  </si>
  <si>
    <t>Trav-L-File Heavy-Duty Shuttle II, Black</t>
  </si>
  <si>
    <t>Charles Crestani</t>
  </si>
  <si>
    <t>Martin-Yale Premier Letter Opener</t>
  </si>
  <si>
    <t>Dianna Vittorini</t>
  </si>
  <si>
    <t>GE 30524EE4</t>
  </si>
  <si>
    <t>Bruce Degenhardt</t>
  </si>
  <si>
    <t>Novimex High-Tech Fabric Mesh Task Chair</t>
  </si>
  <si>
    <t>Zuschuss Carroll</t>
  </si>
  <si>
    <t>Salem</t>
  </si>
  <si>
    <t>i.Sound Portable Power - 8000 mAh</t>
  </si>
  <si>
    <t>Melanie Seite</t>
  </si>
  <si>
    <t>Laredo</t>
  </si>
  <si>
    <t>Newell 312</t>
  </si>
  <si>
    <t>Lena Radford</t>
  </si>
  <si>
    <t>Fellowes Superior 10 Outlet Split Surge Protector</t>
  </si>
  <si>
    <t>Chloris Kastensmidt</t>
  </si>
  <si>
    <t>Mophie Juice Pack Helium for iPhone</t>
  </si>
  <si>
    <t>Alan Shonely</t>
  </si>
  <si>
    <t>Hot File 7-Pocket, Floor Stand</t>
  </si>
  <si>
    <t>Andrew Roberts</t>
  </si>
  <si>
    <t>Angle-D Ring Binders</t>
  </si>
  <si>
    <t>Nona Balk</t>
  </si>
  <si>
    <t>Giulietta Dortch</t>
  </si>
  <si>
    <t>Xerox 1972</t>
  </si>
  <si>
    <t>Clytie Kelty</t>
  </si>
  <si>
    <t>Grove City</t>
  </si>
  <si>
    <t>PureGear Roll-On Screen Protector</t>
  </si>
  <si>
    <t>Christina Anderson</t>
  </si>
  <si>
    <t>Cardinal Slant-D Ring Binder, Heavy Gauge Vinyl</t>
  </si>
  <si>
    <t>Sylvia Foulston</t>
  </si>
  <si>
    <t>Dearborn</t>
  </si>
  <si>
    <t>Global Manager's Adjustable Task Chair, Storm</t>
  </si>
  <si>
    <t>Annie Thurman</t>
  </si>
  <si>
    <t>Belkin Premiere Surge Master II 8-outlet surge protector</t>
  </si>
  <si>
    <t>Verbatim 25 GB 6x Blu-ray Single Layer Recordable Disc, 1/Pack</t>
  </si>
  <si>
    <t>Denny Joy</t>
  </si>
  <si>
    <t>Warner Robins</t>
  </si>
  <si>
    <t>Office Star - Mesh Screen back chair with Vinyl seat</t>
  </si>
  <si>
    <t>Max Engle</t>
  </si>
  <si>
    <t>Premium Transparent Presentation Covers by GBC</t>
  </si>
  <si>
    <t>Vallejo</t>
  </si>
  <si>
    <t>Luxo Professional Fluorescent Magnifier Lamp with Clamp-Mount Base</t>
  </si>
  <si>
    <t>Justin Deggeller</t>
  </si>
  <si>
    <t>Eldon 200 Class Desk Accessories</t>
  </si>
  <si>
    <t>John Lee</t>
  </si>
  <si>
    <t>Mission Viejo</t>
  </si>
  <si>
    <t>Economy Rollaway Files</t>
  </si>
  <si>
    <t>Sean Christensen</t>
  </si>
  <si>
    <t>Rochester Hills</t>
  </si>
  <si>
    <t>Imation 16GB Mini TravelDrive USB 2.0 Flash Drive</t>
  </si>
  <si>
    <t>Plainfield</t>
  </si>
  <si>
    <t>Xerox 1993</t>
  </si>
  <si>
    <t>Chuck Clark</t>
  </si>
  <si>
    <t>Eureka The Boss Plus 12-Amp Hard Box Upright Vacuum, Red</t>
  </si>
  <si>
    <t>Barry Blumstein</t>
  </si>
  <si>
    <t>Sierra Vista</t>
  </si>
  <si>
    <t>Anthony Rawles</t>
  </si>
  <si>
    <t>Vancouver</t>
  </si>
  <si>
    <t>3M Hangers With Command Adhesive</t>
  </si>
  <si>
    <t>Xerox 1943</t>
  </si>
  <si>
    <t>Craig Reiter</t>
  </si>
  <si>
    <t>Tripp Lite Isotel 8 Ultra 8 Outlet Metal Surge</t>
  </si>
  <si>
    <t>Eugene Hildebrand</t>
  </si>
  <si>
    <t>Global Troy Executive Leather Low-Back Tilter</t>
  </si>
  <si>
    <t>Sibella Parks</t>
  </si>
  <si>
    <t>Gould Plastics 18-Pocket Panel Bin, 34w x 5-1/4d x 20-1/2h</t>
  </si>
  <si>
    <t>Tiffany House</t>
  </si>
  <si>
    <t>Acme Tagit Stainless Steel Antibacterial Scissors</t>
  </si>
  <si>
    <t>Newell 331</t>
  </si>
  <si>
    <t>Rob Beeghly</t>
  </si>
  <si>
    <t>Kensington 6 Outlet Guardian Standard Surge Protector</t>
  </si>
  <si>
    <t>Carol Darley</t>
  </si>
  <si>
    <t>Tyler</t>
  </si>
  <si>
    <t>Hoover Portapower Portable Vacuum</t>
  </si>
  <si>
    <t>Grant Thornton</t>
  </si>
  <si>
    <t>Burlington</t>
  </si>
  <si>
    <t>Cubify CubeX 3D Printer Triple Head Print</t>
  </si>
  <si>
    <t>Michael Chen</t>
  </si>
  <si>
    <t>NETGEAR AC1750 Dual Band Gigabit Smart WiFi Router</t>
  </si>
  <si>
    <t>Naresj Patel</t>
  </si>
  <si>
    <t>Waynesboro</t>
  </si>
  <si>
    <t>Luxo Professional Magnifying Clamp-On Fluorescent Lamps</t>
  </si>
  <si>
    <t>Alan Barnes</t>
  </si>
  <si>
    <t>Imation Bio 8GB USB Flash Drive Imation Corp</t>
  </si>
  <si>
    <t>Jesus Ocampo</t>
  </si>
  <si>
    <t>Chester</t>
  </si>
  <si>
    <t>Tenex "The Solids" Textured Chair Mats</t>
  </si>
  <si>
    <t>Jay Kimmel</t>
  </si>
  <si>
    <t>Laminate Occasional Tables</t>
  </si>
  <si>
    <t>David Philippe</t>
  </si>
  <si>
    <t>Tracy Hopkins</t>
  </si>
  <si>
    <t>Eaton Premium Continuous-Feed Paper, 25% Cotton, Letter Size, White, 1000 Shts/Box</t>
  </si>
  <si>
    <t>Arthur Prichep</t>
  </si>
  <si>
    <t>Palm Coast</t>
  </si>
  <si>
    <t>#10- 4 1/8" x 9 1/2" Security-Tint Envelopes</t>
  </si>
  <si>
    <t>Roland Schwarz</t>
  </si>
  <si>
    <t>Mount Vernon</t>
  </si>
  <si>
    <t>Bionaire Personal Warm Mist Humidifier/Vaporizer</t>
  </si>
  <si>
    <t>Cardinal Holdit Business Card Pockets</t>
  </si>
  <si>
    <t>Seth Vernon</t>
  </si>
  <si>
    <t>DAX Value U-Channel Document Frames, Easel Back</t>
  </si>
  <si>
    <t>Howard Miller 13" Diameter Pewter Finish Round Wall Clock</t>
  </si>
  <si>
    <t>Christine Kargatis</t>
  </si>
  <si>
    <t>GBC Standard Therm-A-Bind Covers</t>
  </si>
  <si>
    <t>Ross DeVincentis</t>
  </si>
  <si>
    <t>Tops Green Bar Computer Printout Paper</t>
  </si>
  <si>
    <t>Michael Paige</t>
  </si>
  <si>
    <t>Chromcraft Bull-Nose Wood Oval Conference Tables &amp; Bases</t>
  </si>
  <si>
    <t>Mathew Reese</t>
  </si>
  <si>
    <t>Seth Thomas 16" Steel Case Clock</t>
  </si>
  <si>
    <t>Steve Chapman</t>
  </si>
  <si>
    <t>Hialeah</t>
  </si>
  <si>
    <t>Acme Softgrip Scissors</t>
  </si>
  <si>
    <t>Jay Fein</t>
  </si>
  <si>
    <t>Manila Recycled Extra-Heavyweight Clasp Envelopes, 6" x 9"</t>
  </si>
  <si>
    <t>Emily Grady</t>
  </si>
  <si>
    <t>Oceanside</t>
  </si>
  <si>
    <t>Xerox 1964</t>
  </si>
  <si>
    <t>Phillina Ober</t>
  </si>
  <si>
    <t>Avery 508</t>
  </si>
  <si>
    <t>Peter Bühler</t>
  </si>
  <si>
    <t>Evanston</t>
  </si>
  <si>
    <t>Belkin iPhone and iPad Lightning Cable</t>
  </si>
  <si>
    <t>Roland Fjeld</t>
  </si>
  <si>
    <t>Trenton</t>
  </si>
  <si>
    <t>GBC Durable Plastic Covers</t>
  </si>
  <si>
    <t>Yoseph Carroll</t>
  </si>
  <si>
    <t>Hewlett Packard 610 Color Digital Copier / Printer</t>
  </si>
  <si>
    <t>12-1/2 Diameter Round Wall Clock</t>
  </si>
  <si>
    <t>Debra Catini</t>
  </si>
  <si>
    <t>Cottage Grove</t>
  </si>
  <si>
    <t>Recycled Eldon Regeneration Jumbo File</t>
  </si>
  <si>
    <t>Christine Phan</t>
  </si>
  <si>
    <t>Barry Französisch</t>
  </si>
  <si>
    <t>Adams Telephone Message Book W/Dividers/Space For Phone Numbers, 5 1/4"X8 1/2", 200/Messages</t>
  </si>
  <si>
    <t>Xerox 226</t>
  </si>
  <si>
    <t>Chris Selesnick</t>
  </si>
  <si>
    <t>Bossier City</t>
  </si>
  <si>
    <t>Anthony Johnson</t>
  </si>
  <si>
    <t>Electrix Halogen Magnifier Lamp</t>
  </si>
  <si>
    <t>Hon 4070 Series Pagoda Round Back Stacking Chairs</t>
  </si>
  <si>
    <t>Nick Zandusky</t>
  </si>
  <si>
    <t>Hon GuestStacker Chair</t>
  </si>
  <si>
    <t>Bryan Mills</t>
  </si>
  <si>
    <t>Acco D-Ring Binder w/DublLock</t>
  </si>
  <si>
    <t>Cameo Buff Policy Envelopes</t>
  </si>
  <si>
    <t>Lancaster</t>
  </si>
  <si>
    <t>Heavy-Duty E-Z-D Binders</t>
  </si>
  <si>
    <t>Liz Thompson</t>
  </si>
  <si>
    <t>Lifetime Advantage Folding Chairs, 4/Carton</t>
  </si>
  <si>
    <t>GBC VeloBinder Manual Binding System</t>
  </si>
  <si>
    <t>Joe Kamberova</t>
  </si>
  <si>
    <t>Asheville</t>
  </si>
  <si>
    <t>Cisco Unified IP Phone 7945G VoIP phone</t>
  </si>
  <si>
    <t>Erica Smith</t>
  </si>
  <si>
    <t>Avery 499</t>
  </si>
  <si>
    <t>David Bremer</t>
  </si>
  <si>
    <t>Xerox 1887</t>
  </si>
  <si>
    <t>Helen Wasserman</t>
  </si>
  <si>
    <t>Executive Impressions 14" Contract Wall Clock</t>
  </si>
  <si>
    <t>Belkin 7 Outlet SurgeMaster II</t>
  </si>
  <si>
    <t>Mike Caudle</t>
  </si>
  <si>
    <t>Xerox 218</t>
  </si>
  <si>
    <t>Gary McGarr</t>
  </si>
  <si>
    <t>Eldon Stackable Tray, Side-Load, Legal, Smoke</t>
  </si>
  <si>
    <t>Russell Applegate</t>
  </si>
  <si>
    <t>Model L Table or Wall-Mount Pencil Sharpener</t>
  </si>
  <si>
    <t>Edmonds</t>
  </si>
  <si>
    <t>Newell 32</t>
  </si>
  <si>
    <t>Pauline Johnson</t>
  </si>
  <si>
    <t>Santa Ana</t>
  </si>
  <si>
    <t>Bart Watters</t>
  </si>
  <si>
    <t>Milwaukee</t>
  </si>
  <si>
    <t>Xerox 205</t>
  </si>
  <si>
    <t>Xerox 1995</t>
  </si>
  <si>
    <t>Toby Ritter</t>
  </si>
  <si>
    <t>Razer Kraken PRO Over Ear PC and Music Headset</t>
  </si>
  <si>
    <t>Greg Tran</t>
  </si>
  <si>
    <t>Advantus Plastic Paper Clips</t>
  </si>
  <si>
    <t>Florence</t>
  </si>
  <si>
    <t>Global Airflow Leather Mesh Back Chair, Black</t>
  </si>
  <si>
    <t>Boston 16801 Nautilus Battery Pencil Sharpener</t>
  </si>
  <si>
    <t>Belkin Grip Candy Sheer Case / Cover for iPhone 5 and 5S</t>
  </si>
  <si>
    <t>Brian Moss</t>
  </si>
  <si>
    <t>Boston 19500 Mighty Mite Electric Pencil Sharpener</t>
  </si>
  <si>
    <t>Eudokia Martin</t>
  </si>
  <si>
    <t>Fellowes Binding Cases</t>
  </si>
  <si>
    <t>Art Foster</t>
  </si>
  <si>
    <t>I Need's 3d Hello Kitty Hybrid Silicone Case Cover for HTC One X 4g with 3d Hello Kitty Stylus Pen Green/pink</t>
  </si>
  <si>
    <t>Guy Armstrong</t>
  </si>
  <si>
    <t>Lorain</t>
  </si>
  <si>
    <t>Linden 10" Round Wall Clock, Black</t>
  </si>
  <si>
    <t>Cyma Kinney</t>
  </si>
  <si>
    <t>Linden</t>
  </si>
  <si>
    <t>Maxell DVD-RAM Discs</t>
  </si>
  <si>
    <t>Berenike Kampe</t>
  </si>
  <si>
    <t>Xerox 1884</t>
  </si>
  <si>
    <t>Sanjit Jacobs</t>
  </si>
  <si>
    <t>New Brunswick</t>
  </si>
  <si>
    <t>Chuck Magee</t>
  </si>
  <si>
    <t>Staple remover</t>
  </si>
  <si>
    <t>Logitech MX Performance Wireless Mouse</t>
  </si>
  <si>
    <t>Linda Southworth</t>
  </si>
  <si>
    <t>Avery 483</t>
  </si>
  <si>
    <t>Guy Phonely</t>
  </si>
  <si>
    <t>Large Capacity Hanging Post Binders</t>
  </si>
  <si>
    <t>Paul Knutson</t>
  </si>
  <si>
    <t>GBC Ibimaster 500 Manual ProClick Binding System</t>
  </si>
  <si>
    <t>Sally Matthias</t>
  </si>
  <si>
    <t>Adams Write n' Stick Phone Message Book, 11" X 5 1/4", 200 Messages</t>
  </si>
  <si>
    <t>Xerox 1910</t>
  </si>
  <si>
    <t>New Hampshire</t>
  </si>
  <si>
    <t>Tenex Contemporary Contur Chairmats for Low and Medium Pile Carpet, Computer, 39" x 49"</t>
  </si>
  <si>
    <t>Lock-Up Easel 'Spel-Binder'</t>
  </si>
  <si>
    <t>Decoflex Hanging Personal Folder File, Blue</t>
  </si>
  <si>
    <t>Binney &amp; Smith Crayola Metallic Crayons, 16-Color Pack</t>
  </si>
  <si>
    <t>Peter McVee</t>
  </si>
  <si>
    <t>Lauren Leatherbury</t>
  </si>
  <si>
    <t>Dax Clear Box Frame</t>
  </si>
  <si>
    <t>Jill Stevenson</t>
  </si>
  <si>
    <t>Fellowes Black Plastic Comb Bindings</t>
  </si>
  <si>
    <t>Olvera Toch</t>
  </si>
  <si>
    <t>Eldon Shelf Savers Cubes and Bins</t>
  </si>
  <si>
    <t xml:space="preserve">Anker Ultrathin Bluetooth Wireless Keyboard Aluminum Cover with Stand </t>
  </si>
  <si>
    <t>Pamela Coakley</t>
  </si>
  <si>
    <t>File Shuttle I and Handi-File</t>
  </si>
  <si>
    <t>Hunter Lopez</t>
  </si>
  <si>
    <t>Maribeth Schnelling</t>
  </si>
  <si>
    <t>George Bell</t>
  </si>
  <si>
    <t>Things To Do Today Pad</t>
  </si>
  <si>
    <t>Justin Ritter</t>
  </si>
  <si>
    <t>Wilson Jones Hanging Recycled Pressboard Data Binders</t>
  </si>
  <si>
    <t>Bush Westfield Collection Bookcases, Fully Assembled</t>
  </si>
  <si>
    <t>Sample Company A</t>
  </si>
  <si>
    <t>Norwich</t>
  </si>
  <si>
    <t>Howard Miller 13" Diameter Goldtone Round Wall Clock</t>
  </si>
  <si>
    <t>Kelly Lampkin</t>
  </si>
  <si>
    <t>Lesro Sheffield Collection Coffee Table, End Table, Center Table, Corner Table</t>
  </si>
  <si>
    <t>Rob Williams</t>
  </si>
  <si>
    <t>Alexandria</t>
  </si>
  <si>
    <t>Sanjit Engle</t>
  </si>
  <si>
    <t>Maxell 4.7GB DVD-R</t>
  </si>
  <si>
    <t>Adam Hart</t>
  </si>
  <si>
    <t>Jessica Myrick</t>
  </si>
  <si>
    <t>Xerox 1985</t>
  </si>
  <si>
    <t>Ralph Kennedy</t>
  </si>
  <si>
    <t>RSVP Cards &amp; Envelopes, Blank White, 8-1/2" X 11", 24 Cards/25 Envelopes/Set</t>
  </si>
  <si>
    <t>Catherine Glotzbach</t>
  </si>
  <si>
    <t>Wirebound Message Books, 2 7/8" x 5", 3 Forms per Page</t>
  </si>
  <si>
    <t>Farmington</t>
  </si>
  <si>
    <t>Rachel Payne</t>
  </si>
  <si>
    <t>Riverside</t>
  </si>
  <si>
    <t>Xerox 213</t>
  </si>
  <si>
    <t>Karen Carlisle</t>
  </si>
  <si>
    <t>Message Book, Standard Line "While You Were Out", 5 1/2" X 4", 200 Sets/Book</t>
  </si>
  <si>
    <t>Bevis Boat-Shaped Conference Table</t>
  </si>
  <si>
    <t>Katherine Hughes</t>
  </si>
  <si>
    <t>Staple-based wall hangings</t>
  </si>
  <si>
    <t>Greg Hansen</t>
  </si>
  <si>
    <t>Round Rock</t>
  </si>
  <si>
    <t>Stanley Bostitch Contemporary Electric Pencil Sharpeners</t>
  </si>
  <si>
    <t>Scott Williamson</t>
  </si>
  <si>
    <t>Joseph Airdo</t>
  </si>
  <si>
    <t>Phoenix</t>
  </si>
  <si>
    <t>Logitech B530 USB Headset - headset - Full size, Binaural</t>
  </si>
  <si>
    <t>Lindsay Williams</t>
  </si>
  <si>
    <t>Thomas Brumley</t>
  </si>
  <si>
    <t>Fayetteville</t>
  </si>
  <si>
    <t>Arkansas</t>
  </si>
  <si>
    <t>Zipper Ring Binder Pockets</t>
  </si>
  <si>
    <t>White Business Envelopes with Contemporary Seam, Recycled White Business Envelopes</t>
  </si>
  <si>
    <t>Bryan Spruell</t>
  </si>
  <si>
    <t>Color-Coded Legal Exhibit Labels</t>
  </si>
  <si>
    <t>Delfina Latchford</t>
  </si>
  <si>
    <t>DAX Black Cherry Wood-Tone Poster Frame</t>
  </si>
  <si>
    <t>Wilson Jones Easy Flow II Sheet Lifters</t>
  </si>
  <si>
    <t>Robert Waldorf</t>
  </si>
  <si>
    <t>Office Star - Contemporary Task Swivel Chair</t>
  </si>
  <si>
    <t>Tracy Zic</t>
  </si>
  <si>
    <t>BIC Brite Liner Grip Highlighters, Assorted, 5/Pack</t>
  </si>
  <si>
    <t>Ann Steele</t>
  </si>
  <si>
    <t>Toby Swindell</t>
  </si>
  <si>
    <t>Acco Suede Grain Vinyl Round Ring Binder</t>
  </si>
  <si>
    <t>Sara Luxemburg</t>
  </si>
  <si>
    <t>Hon 4070 Series Pagoda Armless Upholstered Stacking Chairs</t>
  </si>
  <si>
    <t>Advantus SlideClip Paper Clips</t>
  </si>
  <si>
    <t>Mitch Willingham</t>
  </si>
  <si>
    <t>Virginia Beach</t>
  </si>
  <si>
    <t>Fellowes PB300 Plastic Comb Binding Machine</t>
  </si>
  <si>
    <t>Rob Dowd</t>
  </si>
  <si>
    <t>Laser &amp; Ink Jet Business Envelopes</t>
  </si>
  <si>
    <t>Ryan Akin</t>
  </si>
  <si>
    <t>Murrieta</t>
  </si>
  <si>
    <t>Fellowes Super Stor/Drawer Files</t>
  </si>
  <si>
    <t>Meg O'Connel</t>
  </si>
  <si>
    <t>Xerox 216</t>
  </si>
  <si>
    <t>Kalyca Meade</t>
  </si>
  <si>
    <t>G.E. Halogen Desk Lamp Bulbs</t>
  </si>
  <si>
    <t>District of Columbia</t>
  </si>
  <si>
    <t>Staples in misc. colors</t>
  </si>
  <si>
    <t>Peel &amp; Seel Envelopes</t>
  </si>
  <si>
    <t>Hallie Redmond</t>
  </si>
  <si>
    <t>GBC Plastic Binding Combs</t>
  </si>
  <si>
    <t>Deanra Eno</t>
  </si>
  <si>
    <t>Xerox 2</t>
  </si>
  <si>
    <t>Allen Goldenen</t>
  </si>
  <si>
    <t>Southworth 25% Cotton Granite Paper &amp; Envelopes</t>
  </si>
  <si>
    <t>Ed Ludwig</t>
  </si>
  <si>
    <t>Jefferson City</t>
  </si>
  <si>
    <t>Eldon Advantage Chair Mats for Low to Medium Pile Carpets</t>
  </si>
  <si>
    <t>Jennifer Jackson</t>
  </si>
  <si>
    <t>Aluminum Screw Posts</t>
  </si>
  <si>
    <t>Jennifer Halladay</t>
  </si>
  <si>
    <t>Newell 336</t>
  </si>
  <si>
    <t>Mary O'Rourke</t>
  </si>
  <si>
    <t>Maxell 4.7GB DVD+RW 3/Pack</t>
  </si>
  <si>
    <t>Rockford</t>
  </si>
  <si>
    <t>Global Stack Chair without Arms, Black</t>
  </si>
  <si>
    <t>Plantronics HL10 Handset Lifter</t>
  </si>
  <si>
    <t>Deirdre Greer</t>
  </si>
  <si>
    <t>Eldon Antistatic Chair Mats for Low to Medium Pile Carpets</t>
  </si>
  <si>
    <t>Nicole Fjeld</t>
  </si>
  <si>
    <t>DIXON Ticonderoga Erasable Checking Pencils</t>
  </si>
  <si>
    <t>Avery Hole Reinforcements</t>
  </si>
  <si>
    <t>Matthew Grinstein</t>
  </si>
  <si>
    <t>Stockwell Gold Paper Clips</t>
  </si>
  <si>
    <t>Theresa Swint</t>
  </si>
  <si>
    <t>Toledo</t>
  </si>
  <si>
    <t>Belkin F9H710-06 7 Outlet SurgeMaster Surge Protector</t>
  </si>
  <si>
    <t>Charles McCrossin</t>
  </si>
  <si>
    <t>Brownsville</t>
  </si>
  <si>
    <t>GBC Premium Transparent Covers with Diagonal Lined Pattern</t>
  </si>
  <si>
    <t>Erica Hernandez</t>
  </si>
  <si>
    <t>Xerox 1881</t>
  </si>
  <si>
    <t>Maurice Satty</t>
  </si>
  <si>
    <t>Avery Durable Slant Ring Binders With Label Holder</t>
  </si>
  <si>
    <t>Chad Cunningham</t>
  </si>
  <si>
    <t>Newell 328</t>
  </si>
  <si>
    <t>Don Weiss</t>
  </si>
  <si>
    <t>Belkin 8 Outlet SurgeMaster II Gold Surge Protector</t>
  </si>
  <si>
    <t>Yonkers</t>
  </si>
  <si>
    <t>Chromcraft Round Conference Tables</t>
  </si>
  <si>
    <t>Xerox 224</t>
  </si>
  <si>
    <t>Craig Yedwab</t>
  </si>
  <si>
    <t>Oakland</t>
  </si>
  <si>
    <t>Nokia Lumia 521 (T-Mobile)</t>
  </si>
  <si>
    <t>Stanley Contemporary Battery Pencil Sharpeners</t>
  </si>
  <si>
    <t>Penelope Sewall</t>
  </si>
  <si>
    <t>Fellowes Mobile File Cart, Black</t>
  </si>
  <si>
    <t>Noel Staavos</t>
  </si>
  <si>
    <t>Hon 4060 Series Tables</t>
  </si>
  <si>
    <t>Paul Van Hugh</t>
  </si>
  <si>
    <t>Newell 326</t>
  </si>
  <si>
    <t>Resi Pölking</t>
  </si>
  <si>
    <t>Avery Non-Stick Binders</t>
  </si>
  <si>
    <t>Neoma Murray</t>
  </si>
  <si>
    <t>Rediform Wirebound "Phone Memo" Message Book, 11 x 5-3/4</t>
  </si>
  <si>
    <t>Dionis Lloyd</t>
  </si>
  <si>
    <t>Self-Adhesive Removable Labels</t>
  </si>
  <si>
    <t>Jonesboro</t>
  </si>
  <si>
    <t>Apple iPhone 5C</t>
  </si>
  <si>
    <t>50 Colored Long Pencils</t>
  </si>
  <si>
    <t>KI Adjustable-Height Table</t>
  </si>
  <si>
    <t>Antioch</t>
  </si>
  <si>
    <t>Homestead</t>
  </si>
  <si>
    <t>Steel Personal Filing/Posting Tote</t>
  </si>
  <si>
    <t>Frank Hawley</t>
  </si>
  <si>
    <t>La Porte</t>
  </si>
  <si>
    <t>Tyvek  Top-Opening Peel &amp; Seel  Envelopes, Gray</t>
  </si>
  <si>
    <t>Nat Carroll</t>
  </si>
  <si>
    <t>Lansing</t>
  </si>
  <si>
    <t>Hoover Shoulder Vac Commercial Portable Vacuum</t>
  </si>
  <si>
    <t>Claudia Bergmann</t>
  </si>
  <si>
    <t>Cuyahoga Falls</t>
  </si>
  <si>
    <t>Eldon Regeneration Recycled Desk Accessories, Smoke</t>
  </si>
  <si>
    <t>Harrisonburg</t>
  </si>
  <si>
    <t>SAFCO Commercial Wire Shelving, 72h</t>
  </si>
  <si>
    <t>Hon Deluxe Fabric Upholstered Stacking Chairs</t>
  </si>
  <si>
    <t>Alex Avila</t>
  </si>
  <si>
    <t>Belkin 325VA UPS Surge Protector, 6'</t>
  </si>
  <si>
    <t>Larry Tron</t>
  </si>
  <si>
    <t>Escondido</t>
  </si>
  <si>
    <t>BOSTON Model 1800 Electric Pencil Sharpeners, Putty/Woodgrain</t>
  </si>
  <si>
    <t>Anne Pryor</t>
  </si>
  <si>
    <t>PowerGen Dual USB Car Charger</t>
  </si>
  <si>
    <t>Paul MacIntyre</t>
  </si>
  <si>
    <t>Royal Oak</t>
  </si>
  <si>
    <t>Geographics Note Cards, Blank, White, 8 1/2" x 11"</t>
  </si>
  <si>
    <t>ACCOHIDE Binder by Acco</t>
  </si>
  <si>
    <t>GBC Instant Report Kit</t>
  </si>
  <si>
    <t>Dave Poirier</t>
  </si>
  <si>
    <t>Avery 3 1/2" Diskette Storage Pages, 10/Pack</t>
  </si>
  <si>
    <t>Rockville</t>
  </si>
  <si>
    <t>Maryland</t>
  </si>
  <si>
    <t>Harbour Creations Steel Folding Chair</t>
  </si>
  <si>
    <t>Tyvek  Top-Opening Peel &amp; Seel Envelopes, Plain White</t>
  </si>
  <si>
    <t>Harold Ryan</t>
  </si>
  <si>
    <t>Peel &amp; Stick Add-On Corner Pockets</t>
  </si>
  <si>
    <t>Bradley Talbott</t>
  </si>
  <si>
    <t>Nat Gilpin</t>
  </si>
  <si>
    <t>Coral Springs</t>
  </si>
  <si>
    <t>Xerox 21</t>
  </si>
  <si>
    <t>Larry Hughes</t>
  </si>
  <si>
    <t>Nortel Networks T7316 E Nt8 B27</t>
  </si>
  <si>
    <t>Steven Ward</t>
  </si>
  <si>
    <t>Personal Folder Holder, Ebony</t>
  </si>
  <si>
    <t>Stefania Perrino</t>
  </si>
  <si>
    <t>Ben Ferrer</t>
  </si>
  <si>
    <t>Patrick Gardner</t>
  </si>
  <si>
    <t>Boynton Beach</t>
  </si>
  <si>
    <t>24-Hour Round Wall Clock</t>
  </si>
  <si>
    <t>GBC DocuBind P100 Manual Binding Machine</t>
  </si>
  <si>
    <t>Eva Jacobs</t>
  </si>
  <si>
    <t>Gulfport</t>
  </si>
  <si>
    <t>Fashion Color Clasp Envelopes</t>
  </si>
  <si>
    <t>Nora Preis</t>
  </si>
  <si>
    <t>Fresno</t>
  </si>
  <si>
    <t>Hon Non-Folding Utility Tables</t>
  </si>
  <si>
    <t>Doug Jacobs</t>
  </si>
  <si>
    <t>Mick Hernandez</t>
  </si>
  <si>
    <t>Newell 337</t>
  </si>
  <si>
    <t>GBC Linen Binding Covers</t>
  </si>
  <si>
    <t>Jocasta Rupert</t>
  </si>
  <si>
    <t>Wilson SignalBoost 841262 DB PRO Amplifier Kit</t>
  </si>
  <si>
    <t>Christine Sundaresam</t>
  </si>
  <si>
    <t>Brooke Gillingham</t>
  </si>
  <si>
    <t>Aluminum Document Frame</t>
  </si>
  <si>
    <t>Dan Campbell</t>
  </si>
  <si>
    <t>Ampad Phone Message Book, Recycled, 400 Message Capacity, 5 ¾” x 11”</t>
  </si>
  <si>
    <t>Xerox 212</t>
  </si>
  <si>
    <t>Bryan Davis</t>
  </si>
  <si>
    <t>Panasonic KP-380BK Classic Electric Pencil Sharpener</t>
  </si>
  <si>
    <t>Macon</t>
  </si>
  <si>
    <t>Memorex Froggy Flash Drive 4 GB</t>
  </si>
  <si>
    <t>Cedar Rapids</t>
  </si>
  <si>
    <t>Geemarc AmpliPOWER60</t>
  </si>
  <si>
    <t>Gene McClure</t>
  </si>
  <si>
    <t>Providence</t>
  </si>
  <si>
    <t>Woodgrain Magazine Files by Perma</t>
  </si>
  <si>
    <t>Colorific Watercolor Pencils</t>
  </si>
  <si>
    <t>Todd Boyes</t>
  </si>
  <si>
    <t>Luxo Economy Swing Arm Lamp</t>
  </si>
  <si>
    <t>Fiskars Softgrip Scissors</t>
  </si>
  <si>
    <t>Justin Hirsh</t>
  </si>
  <si>
    <t>Pueblo</t>
  </si>
  <si>
    <t>Kensington 4 Outlet MasterPiece Compact Power Control Center</t>
  </si>
  <si>
    <t>Quincy Jones</t>
  </si>
  <si>
    <t>Tenex Personal Project File with Scoop Front Design, Black</t>
  </si>
  <si>
    <t>Electrix Architect's Clamp-On Swing Arm Lamp, Black</t>
  </si>
  <si>
    <t>Tracy Collins</t>
  </si>
  <si>
    <t>Sauder Cornerstone Collection Library</t>
  </si>
  <si>
    <t>Chuck Sachs</t>
  </si>
  <si>
    <t>Westinghouse Floor Lamp with Metal Mesh Shade, Black</t>
  </si>
  <si>
    <t>Xerox 1898</t>
  </si>
  <si>
    <t>Henry Goldwyn</t>
  </si>
  <si>
    <t>Eureka Recycled Copy Paper 8 1/2" x 11", Ream</t>
  </si>
  <si>
    <t>Laurel Workman</t>
  </si>
  <si>
    <t>Deltona</t>
  </si>
  <si>
    <t>Matt Collins</t>
  </si>
  <si>
    <t>Liz Preis</t>
  </si>
  <si>
    <t>Murray</t>
  </si>
  <si>
    <t>Acco 6 Outlet Guardian Premium Surge Suppressor</t>
  </si>
  <si>
    <t>Evan Bailliet</t>
  </si>
  <si>
    <t>Avoid Verbal Orders Carbonless Minifold Book</t>
  </si>
  <si>
    <t>Fellowes Presentation Covers for Comb Binding Machines</t>
  </si>
  <si>
    <t>Eldon Expressions Punched Metal &amp; Wood Desk Accessories, Pewter &amp; Cherry</t>
  </si>
  <si>
    <t>Cathy Prescott</t>
  </si>
  <si>
    <t>Xerox 188</t>
  </si>
  <si>
    <t>Frank Gastineau</t>
  </si>
  <si>
    <t>Panasonic KP-310 Heavy-Duty Electric Pencil Sharpener</t>
  </si>
  <si>
    <t>Lisa DeCherney</t>
  </si>
  <si>
    <t>Eldon Image Series Desk Accessories, Ebony</t>
  </si>
  <si>
    <t>Alejandro Ballentine</t>
  </si>
  <si>
    <t>Cush Cases Heavy Duty Rugged Cover Case for Samsung Galaxy S5 - Purple</t>
  </si>
  <si>
    <t>Michael Nguyen</t>
  </si>
  <si>
    <t>Wilson Jones Legal Size Ring Binders</t>
  </si>
  <si>
    <t>Chad McGuire</t>
  </si>
  <si>
    <t>Tensor Computer Mounted Lamp</t>
  </si>
  <si>
    <t>Aaron Smayling</t>
  </si>
  <si>
    <t>Cisco CP-7937G Unified IP Conference Station Phone</t>
  </si>
  <si>
    <t>Freeport</t>
  </si>
  <si>
    <t>Boston 16701 Slimline Battery Pencil Sharpener</t>
  </si>
  <si>
    <t>Beth Paige</t>
  </si>
  <si>
    <t>Global High-Back Leather Tilter, Burgundy</t>
  </si>
  <si>
    <t>Hanging Personal Folder File</t>
  </si>
  <si>
    <t>Motorola L804</t>
  </si>
  <si>
    <t>Kean Takahito</t>
  </si>
  <si>
    <t>Leather Task Chair, Black</t>
  </si>
  <si>
    <t>Harry Marie</t>
  </si>
  <si>
    <t>Sam Zeldin</t>
  </si>
  <si>
    <t>Pico Rivera</t>
  </si>
  <si>
    <t>Jim Radford</t>
  </si>
  <si>
    <t>Colorado Springs</t>
  </si>
  <si>
    <t>Michael Granlund</t>
  </si>
  <si>
    <t>Clinton</t>
  </si>
  <si>
    <t>Logitech Desktop MK120 Mouse and keyboard Combo</t>
  </si>
  <si>
    <t>Avery 490</t>
  </si>
  <si>
    <t>Paul Prost</t>
  </si>
  <si>
    <t>Smyrna</t>
  </si>
  <si>
    <t>Carina 42"Hx23 3/4"W Media Storage Unit</t>
  </si>
  <si>
    <t>Bevis Oval Conference Table, Walnut</t>
  </si>
  <si>
    <t>Katherine Murray</t>
  </si>
  <si>
    <t>LF Elite 3D Dazzle Designer Hard Case Cover, Lf Stylus Pen and Wiper For Apple Iphone 5c Mini Lite</t>
  </si>
  <si>
    <t>Bush Andora Conference Table, Maple/Graphite Gray Finish</t>
  </si>
  <si>
    <t>Beth Thompson</t>
  </si>
  <si>
    <t>Logitech G13 Programmable Gameboard with LCD Display</t>
  </si>
  <si>
    <t>Strathmore Photo Mount Cards</t>
  </si>
  <si>
    <t>Plantronics Audio 995 Wireless Stereo Headset</t>
  </si>
  <si>
    <t>Pauline Webber</t>
  </si>
  <si>
    <t>Adams Phone Message Book, 200 Message Capacity, 8 1/16” x 11”</t>
  </si>
  <si>
    <t>Mitel MiVoice 5330e IP Phone</t>
  </si>
  <si>
    <t>Belkin 19" Vented Equipment Shelf, Black</t>
  </si>
  <si>
    <t>Wilson Jones Suede Grain Vinyl Binders</t>
  </si>
  <si>
    <t>OtterBox Defender Series Case - iPhone 5c</t>
  </si>
  <si>
    <t>Thais Sissman</t>
  </si>
  <si>
    <t>Wilson Jones DublLock D-Ring Binders</t>
  </si>
  <si>
    <t>Mark Cousins</t>
  </si>
  <si>
    <t>Mobile</t>
  </si>
  <si>
    <t>Shaun Chance</t>
  </si>
  <si>
    <t>New Bedford</t>
  </si>
  <si>
    <t>Mick Brown</t>
  </si>
  <si>
    <t>Vineland</t>
  </si>
  <si>
    <t>Glendale</t>
  </si>
  <si>
    <t>Eldon Delta Triangular Chair Mat, 52" x 58", Clear</t>
  </si>
  <si>
    <t>Newell 320</t>
  </si>
  <si>
    <t>Nora Pelletier</t>
  </si>
  <si>
    <t>Niagara Falls</t>
  </si>
  <si>
    <t>Newell 340</t>
  </si>
  <si>
    <t>Avery 506</t>
  </si>
  <si>
    <t>Westminster</t>
  </si>
  <si>
    <t>Xerox 192</t>
  </si>
  <si>
    <t>WD My Passport Ultra 500GB Portable External Hard Drive</t>
  </si>
  <si>
    <t>Maxwell Schwartz</t>
  </si>
  <si>
    <t>Corinna Mitchell</t>
  </si>
  <si>
    <t>Cisco IP Phone 7961G-GE VoIP phone</t>
  </si>
  <si>
    <t>Corey-Lock</t>
  </si>
  <si>
    <t>Avery 488</t>
  </si>
  <si>
    <t>Jane Waco</t>
  </si>
  <si>
    <t>Magna Visual Magnetic Picture Hangers</t>
  </si>
  <si>
    <t>Avery Durable Plastic 1" Binders</t>
  </si>
  <si>
    <t>Wirebound Message Books, 5-1/2 x 4 Forms, 2 or 4 Forms per Page</t>
  </si>
  <si>
    <t>Pauline Chand</t>
  </si>
  <si>
    <t>Prang Dustless Chalk Sticks</t>
  </si>
  <si>
    <t>Nicole Hansen</t>
  </si>
  <si>
    <t>Pomona</t>
  </si>
  <si>
    <t>Boston Heavy-Duty Trimline Electric Pencil Sharpeners</t>
  </si>
  <si>
    <t>Safco Steel Mobile File Cart</t>
  </si>
  <si>
    <t>Tom Boeckenhauer</t>
  </si>
  <si>
    <t>Acco Pressboard Covers with Storage Hooks, 14 7/8" x 11", Dark Blue</t>
  </si>
  <si>
    <t>Paul Lucas</t>
  </si>
  <si>
    <t>Newell 325</t>
  </si>
  <si>
    <t>Rubber Band Ball</t>
  </si>
  <si>
    <t>Tempe</t>
  </si>
  <si>
    <t>Neat Ideas Personal Hanging Folder Files, Black</t>
  </si>
  <si>
    <t>Eldon Wave Desk Accessories</t>
  </si>
  <si>
    <t>Deborah Brumfield</t>
  </si>
  <si>
    <t>GBC Recycled Grain Textured Covers</t>
  </si>
  <si>
    <t>Xerox 1915</t>
  </si>
  <si>
    <t>Ivan Gibson</t>
  </si>
  <si>
    <t>Xerox 1934</t>
  </si>
  <si>
    <t>Appleton</t>
  </si>
  <si>
    <t>Avery 481</t>
  </si>
  <si>
    <t>Bobby Odegard</t>
  </si>
  <si>
    <t>Julia West</t>
  </si>
  <si>
    <t>Avery 518</t>
  </si>
  <si>
    <t>Sheri Gordon</t>
  </si>
  <si>
    <t>Sensible Storage WireTech Storage Systems</t>
  </si>
  <si>
    <t>Wireless Extenders zBoost YX545 SOHO Signal Booster</t>
  </si>
  <si>
    <t>White Dual Perf Computer Printout Paper, 2700 Sheets, 1 Part, Heavyweight, 20 lbs., 14 7/8 x 11</t>
  </si>
  <si>
    <t>Mick Crebagga</t>
  </si>
  <si>
    <t>El Paso</t>
  </si>
  <si>
    <t>ARKON Windshield Dashboard Air Vent Car Mount Holder</t>
  </si>
  <si>
    <t>Dan Lawera</t>
  </si>
  <si>
    <t>Conquest 14 Commercial Heavy-Duty Upright Vacuum, Collection System, Accessory Kit</t>
  </si>
  <si>
    <t>Vivek Grady</t>
  </si>
  <si>
    <t>Muhammed Yedwab</t>
  </si>
  <si>
    <t>Grapevine</t>
  </si>
  <si>
    <t>Dixon Ticonderoga Erasable Colored Pencil Set, 12-Color</t>
  </si>
  <si>
    <t>Rick Duston</t>
  </si>
  <si>
    <t>Olympia</t>
  </si>
  <si>
    <t>Pyle PRT45 Retro Home Telephone</t>
  </si>
  <si>
    <t>Spiral Phone Message Books with Labels by Adams</t>
  </si>
  <si>
    <t>Dennis Pardue</t>
  </si>
  <si>
    <t>Sauder Inglewood Library Bookcases</t>
  </si>
  <si>
    <t>Maribeth Dona</t>
  </si>
  <si>
    <t>Global Chrome Stack Chair</t>
  </si>
  <si>
    <t>Tenex 46" x 60" Computer Anti-Static Chairmat, Rectangular Shaped</t>
  </si>
  <si>
    <t>Jas O'Carroll</t>
  </si>
  <si>
    <t>V7 USB Numeric Keypad</t>
  </si>
  <si>
    <t>Cleveland</t>
  </si>
  <si>
    <t>Stacking Tray, Side-Loading, Legal, Smoke</t>
  </si>
  <si>
    <t>Smead Adjustable Mobile File Trolley with Lockable Top</t>
  </si>
  <si>
    <t>Natalie Webber</t>
  </si>
  <si>
    <t>Tigard</t>
  </si>
  <si>
    <t>Deluxe Rollaway Locking File with Drawer</t>
  </si>
  <si>
    <t>Catalog Binders with Expanding Posts</t>
  </si>
  <si>
    <t>Hilary Holden</t>
  </si>
  <si>
    <t>Xerox 1940</t>
  </si>
  <si>
    <t>Polycom SoundPoint IP 450 VoIP phone</t>
  </si>
  <si>
    <t>Michael Moore</t>
  </si>
  <si>
    <t>Bush Advantage Collection Racetrack Conference Table</t>
  </si>
  <si>
    <t>Robert Barroso</t>
  </si>
  <si>
    <t>North Las Vegas</t>
  </si>
  <si>
    <t>Logitech ClearChat Comfort/USB Headset H390</t>
  </si>
  <si>
    <t>Troy Staebel</t>
  </si>
  <si>
    <t>Plano</t>
  </si>
  <si>
    <t>Memorex Mini Travel Drive 4 GB USB 2.0 Flash Drive</t>
  </si>
  <si>
    <t>Natalie DeCherney</t>
  </si>
  <si>
    <t>GBC Standard Recycled Report Covers, Clear Plastic Sheets</t>
  </si>
  <si>
    <t>Rediform Voice Mail Log Books</t>
  </si>
  <si>
    <t>O'Sullivan Manor Hill 2-Door Library in Brianna Oak</t>
  </si>
  <si>
    <t>Avanti 4.4 Cu. Ft. Refrigerator</t>
  </si>
  <si>
    <t>Filia McAdams</t>
  </si>
  <si>
    <t>SAFCO PlanMaster Heigh-Adjustable Drafting Table Base, 43w x 30d x 30-37h, Black</t>
  </si>
  <si>
    <t>Micro Innovations USB RF Wireless Keyboard with Mouse</t>
  </si>
  <si>
    <t>Fellowes Strictly Business Drawer File, Letter/Legal Size</t>
  </si>
  <si>
    <t>Holmes HEPA Air Purifier</t>
  </si>
  <si>
    <t>Sanford Liquid Accent Highlighters</t>
  </si>
  <si>
    <t>Erin Mull</t>
  </si>
  <si>
    <t>Acco Translucent Poly Ring Binders</t>
  </si>
  <si>
    <t>Dianna Arnett</t>
  </si>
  <si>
    <t>Raymond Messe</t>
  </si>
  <si>
    <t>Max Ludwig</t>
  </si>
  <si>
    <t>Suffolk</t>
  </si>
  <si>
    <t>Craig Carroll</t>
  </si>
  <si>
    <t>Greensboro</t>
  </si>
  <si>
    <t>Baltimore</t>
  </si>
  <si>
    <t>Acco Data Flex Cable Posts For Top &amp; Bottom Load Binders, 6" Capacity</t>
  </si>
  <si>
    <t>Xerox 1919</t>
  </si>
  <si>
    <t>Micropad Numeric Keypads</t>
  </si>
  <si>
    <t>Tops Wirebound Message Log Books</t>
  </si>
  <si>
    <t>Roy Phan</t>
  </si>
  <si>
    <t>Kenosha</t>
  </si>
  <si>
    <t>Innergie mMini Combo Duo USB Travel Charging Kit</t>
  </si>
  <si>
    <t>Thomas Boland</t>
  </si>
  <si>
    <t>Companion Letter/Legal File, Black</t>
  </si>
  <si>
    <t>Iris Project Case</t>
  </si>
  <si>
    <t>Jill Fjeld</t>
  </si>
  <si>
    <t>Phillip Breyer</t>
  </si>
  <si>
    <t>Tulsa</t>
  </si>
  <si>
    <t>Mediabridge Sport Armband iPhone 5s</t>
  </si>
  <si>
    <t>Frank Olsen</t>
  </si>
  <si>
    <t>KI Conference Tables</t>
  </si>
  <si>
    <t>Avery 501</t>
  </si>
  <si>
    <t>Avery 513</t>
  </si>
  <si>
    <t>Janet Lee</t>
  </si>
  <si>
    <t>Harmony Air Purifier</t>
  </si>
  <si>
    <t>Honeywell Enviracaire Portable Air Cleaner for up to 8 x 10 Room</t>
  </si>
  <si>
    <t>Cathy Hwang</t>
  </si>
  <si>
    <t>Raleigh</t>
  </si>
  <si>
    <t>Samsung Galaxy S4 Mini</t>
  </si>
  <si>
    <t>Apple iPhone 5</t>
  </si>
  <si>
    <t>Bady BDG101FRU Card Printer</t>
  </si>
  <si>
    <t>Meriden</t>
  </si>
  <si>
    <t>Roswell</t>
  </si>
  <si>
    <t>Kensington 7 Outlet MasterPiece Power Center</t>
  </si>
  <si>
    <t>Katharine Harms</t>
  </si>
  <si>
    <t>Bowling Green</t>
  </si>
  <si>
    <t>Hon Olson Stacker Stools</t>
  </si>
  <si>
    <t>Round Specialty Laser Printer Labels</t>
  </si>
  <si>
    <t>Giulietta Weimer</t>
  </si>
  <si>
    <t>Imation 8GB Mini TravelDrive USB 2.0 Flash Drive</t>
  </si>
  <si>
    <t>South Bend</t>
  </si>
  <si>
    <t>Multi-Use Personal File Cart and Caster Set, Three Stacking Bins</t>
  </si>
  <si>
    <t>Fellowes Bankers Box Stor/Drawer Steel Plus</t>
  </si>
  <si>
    <t>Sauder Forest Hills Library with Doors, Woodland Oak Finish</t>
  </si>
  <si>
    <t>Noah Childs</t>
  </si>
  <si>
    <t>Hon 5100 Series Wood Tables</t>
  </si>
  <si>
    <t>Howard Miller 12" Round Wall Clock</t>
  </si>
  <si>
    <t>Xerox 211</t>
  </si>
  <si>
    <t>Xerox 1931</t>
  </si>
  <si>
    <t>Michelle Ellison</t>
  </si>
  <si>
    <t>Newell 334</t>
  </si>
  <si>
    <t>Benjamin Patterson</t>
  </si>
  <si>
    <t>Spokane</t>
  </si>
  <si>
    <t>Safco Drafting Table</t>
  </si>
  <si>
    <t>John Castell</t>
  </si>
  <si>
    <t>Missoula</t>
  </si>
  <si>
    <t>Ibico Hi-Tech Manual Binding System</t>
  </si>
  <si>
    <t>Jiffy Padded Mailers with Self-Seal Closure</t>
  </si>
  <si>
    <t>Damala Kotsonis</t>
  </si>
  <si>
    <t>Apopka</t>
  </si>
  <si>
    <t>Pressboard Hanging Data Binders for Unburst Sheets</t>
  </si>
  <si>
    <t>Xerox 1891</t>
  </si>
  <si>
    <t>Erica Hackney</t>
  </si>
  <si>
    <t>Helen Abelman</t>
  </si>
  <si>
    <t>Panasonic KX T7736-B Digital phone</t>
  </si>
  <si>
    <t>Edward Hooks</t>
  </si>
  <si>
    <t>Watertown</t>
  </si>
  <si>
    <t>GBC DocuBind TL200 Manual Binding Machine</t>
  </si>
  <si>
    <t>Scot Coram</t>
  </si>
  <si>
    <t>Cisco SPA 502G IP Phone</t>
  </si>
  <si>
    <t>Logitech Wireless Headset h800</t>
  </si>
  <si>
    <t>Rick Hansen</t>
  </si>
  <si>
    <t>Xerox 214</t>
  </si>
  <si>
    <t>Lafayette</t>
  </si>
  <si>
    <t>O'Sullivan 2-Shelf Heavy-Duty Bookcases</t>
  </si>
  <si>
    <t>Ultra Door Push Plate</t>
  </si>
  <si>
    <t>Carrollton</t>
  </si>
  <si>
    <t>Logitech Trackman Marble Mouse</t>
  </si>
  <si>
    <t>Paterson</t>
  </si>
  <si>
    <t>Jabra SPEAK 410</t>
  </si>
  <si>
    <t>Blackstonian Pencils</t>
  </si>
  <si>
    <t>Newell 321</t>
  </si>
  <si>
    <t>Belkin F9G930V10-GRY 9 Outlet Surge</t>
  </si>
  <si>
    <t>Adam Shillingsburg</t>
  </si>
  <si>
    <t>Binder Posts</t>
  </si>
  <si>
    <t>Neil Ducich</t>
  </si>
  <si>
    <t>Chesapeake</t>
  </si>
  <si>
    <t>Avery 480</t>
  </si>
  <si>
    <t>Jamie Frazer</t>
  </si>
  <si>
    <t>Johnson City</t>
  </si>
  <si>
    <t>Newell 310</t>
  </si>
  <si>
    <t>Rick Huthwaite</t>
  </si>
  <si>
    <t>Marc Crier</t>
  </si>
  <si>
    <t>Safco Value Mate Series Steel Bookcases, Baked Enamel Finish on Steel, Gray</t>
  </si>
  <si>
    <t>Bozeman</t>
  </si>
  <si>
    <t>Wirebound Service Call Books, 5 1/2" x 4"</t>
  </si>
  <si>
    <t>Skye Norling</t>
  </si>
  <si>
    <t>Xerox 1922</t>
  </si>
  <si>
    <t>GBC Personal VeloBind Strips</t>
  </si>
  <si>
    <t>Xerox 203</t>
  </si>
  <si>
    <t>Plantronics Audio 478 Stereo USB Headset</t>
  </si>
  <si>
    <t>Floodlight Indoor Halogen Bulbs, 1 Bulb per Pack, 60 Watts</t>
  </si>
  <si>
    <t>Computer Printout Paper with Letter-Trim Perforations</t>
  </si>
  <si>
    <t>Emily Ducich</t>
  </si>
  <si>
    <t>Avery 4027 File Folder Labels for Dot Matrix Printers, 5000 Labels per Box, White</t>
  </si>
  <si>
    <t>Rancho Cucamonga</t>
  </si>
  <si>
    <t>Avery 507</t>
  </si>
  <si>
    <t>Magdelene Morse</t>
  </si>
  <si>
    <t>GBC Standard Plastic Binding Systems Combs</t>
  </si>
  <si>
    <t>Newell 349</t>
  </si>
  <si>
    <t>Kean Thornton</t>
  </si>
  <si>
    <t>Tennsco 6- and 18-Compartment Lockers</t>
  </si>
  <si>
    <t>Adrian Hane</t>
  </si>
  <si>
    <t>Office Star - Ergonomically Designed Knee Chair</t>
  </si>
  <si>
    <t>Xerox 1888</t>
  </si>
  <si>
    <t>Ben Wallace</t>
  </si>
  <si>
    <t>Xerox 217</t>
  </si>
  <si>
    <t>Ormond Beach</t>
  </si>
  <si>
    <t>O'Sullivan 4-Shelf Bookcase in Odessa Pine</t>
  </si>
  <si>
    <t>Randy Ferguson</t>
  </si>
  <si>
    <t>Acco 6 Outlet Guardian Basic Surge Suppressor</t>
  </si>
  <si>
    <t>Trudy Brown</t>
  </si>
  <si>
    <t>Grand Prairie</t>
  </si>
  <si>
    <t>Eldon Expressions Wood Desk Accessories, Oak</t>
  </si>
  <si>
    <t>William Brown</t>
  </si>
  <si>
    <t>Spigen Samsung Galaxy S5 Case Wallet</t>
  </si>
  <si>
    <t>Flat Face Poster Frame</t>
  </si>
  <si>
    <t>Panasonic KP-350BK Electric Pencil Sharpener with Auto Stop</t>
  </si>
  <si>
    <t>Karen Ferguson</t>
  </si>
  <si>
    <t>Manteca</t>
  </si>
  <si>
    <t>Multicolor Computer Printout Paper</t>
  </si>
  <si>
    <t>John Huston</t>
  </si>
  <si>
    <t>Kent</t>
  </si>
  <si>
    <t>Ivan Liston</t>
  </si>
  <si>
    <t>Wilson Jones data.warehouse D-Ring Binders with DublLock</t>
  </si>
  <si>
    <t>Lindsay Shagiari</t>
  </si>
  <si>
    <t>GBC VeloBind Cover Sets</t>
  </si>
  <si>
    <t>Corey Catlett</t>
  </si>
  <si>
    <t>Eldon ProFile File 'N Store Portable File Tub Letter/Legal Size Black</t>
  </si>
  <si>
    <t>GBC Twin Loop Wire Binding Elements, 9/16" Spine, Black</t>
  </si>
  <si>
    <t>Boston Model 1800 Electric Pencil Sharpener, Gray</t>
  </si>
  <si>
    <t>Arthur Wiediger</t>
  </si>
  <si>
    <t>Newell Chalk Holder</t>
  </si>
  <si>
    <t>Maris LaWare</t>
  </si>
  <si>
    <t>Polycom SoundPoint Pro SE-225 Corded phone</t>
  </si>
  <si>
    <t>Lincoln Park</t>
  </si>
  <si>
    <t>Euro-Pro Shark Turbo Vacuum</t>
  </si>
  <si>
    <t>Neola Schneider</t>
  </si>
  <si>
    <t>Dennis Kane</t>
  </si>
  <si>
    <t>Marion</t>
  </si>
  <si>
    <t>Polycom SoundStation2 EX Conference phone</t>
  </si>
  <si>
    <t>Xerox 1991</t>
  </si>
  <si>
    <t>Greg Matthias</t>
  </si>
  <si>
    <t>Chromcraft Bull-Nose Wood 48" x 96" Rectangular Conference Tables</t>
  </si>
  <si>
    <t>GBC DocuBind 200 Manual Binding Machine</t>
  </si>
  <si>
    <t>Recycled Steel Personal File for Hanging File Folders</t>
  </si>
  <si>
    <t>Carol Triggs</t>
  </si>
  <si>
    <t>Indianapolis</t>
  </si>
  <si>
    <t>Fellowes Stor/Drawer Steel Plus Storage Drawers</t>
  </si>
  <si>
    <t>Eldon Cleatmat Chair Mats for Medium Pile Carpets</t>
  </si>
  <si>
    <t>Justin MacKendrick</t>
  </si>
  <si>
    <t>Xerox 1959</t>
  </si>
  <si>
    <t>Holmes Odor Grabber</t>
  </si>
  <si>
    <t>Mitch Webber</t>
  </si>
  <si>
    <t>Mark Van Huff</t>
  </si>
  <si>
    <t>Bush Andora Bookcase, Maple/Graphite Gray Finish</t>
  </si>
  <si>
    <t>Sean Miller</t>
  </si>
  <si>
    <t>Xerox 1989</t>
  </si>
  <si>
    <t>Xerox 227</t>
  </si>
  <si>
    <t>Deflect-o Glass Clear Studded Chair Mats</t>
  </si>
  <si>
    <t>Southaven</t>
  </si>
  <si>
    <t>New Castle</t>
  </si>
  <si>
    <t>Eureka Sanitaire  Multi-Pro Heavy-Duty Upright, Disposable Bags</t>
  </si>
  <si>
    <t>Ricardo Sperren</t>
  </si>
  <si>
    <t>Balt Solid Wood Round Tables</t>
  </si>
  <si>
    <t>Pyle PMP37LED</t>
  </si>
  <si>
    <t>Susan Vittorini</t>
  </si>
  <si>
    <t>Jim Karlsson</t>
  </si>
  <si>
    <t>Nu-Dell Executive Frame</t>
  </si>
  <si>
    <t>Carl Ludwig</t>
  </si>
  <si>
    <t>Belkin 5 Outlet SurgeMaster Power Centers</t>
  </si>
  <si>
    <t>TOPS Carbonless Receipt Book, Four 2-3/4 x 7-1/4 Money Receipts per Page</t>
  </si>
  <si>
    <t>Scott Cohen</t>
  </si>
  <si>
    <t>Atlantic Metals Mobile 3-Shelf Bookcases, Custom Colors</t>
  </si>
  <si>
    <t>Bretford Rectangular Conference Table Tops</t>
  </si>
  <si>
    <t>HP Office Recycled Paper (20Lb. and 87 Bright)</t>
  </si>
  <si>
    <t>Rubbermaid ClusterMat Chairmats, Mat Size- 66" x 60", Lip 20" x 11" -90 Degree Angle</t>
  </si>
  <si>
    <t>GBC DocuBind P50 Personal Binding Machine</t>
  </si>
  <si>
    <t>Brad Eason</t>
  </si>
  <si>
    <t>Advantus T-Pin Paper Clips</t>
  </si>
  <si>
    <t>Christina VanderZanden</t>
  </si>
  <si>
    <t>Acco Smartsocket Color-Coded Six-Outlet AC Adapter Model Surge Protectors</t>
  </si>
  <si>
    <t>Speros Goranitis</t>
  </si>
  <si>
    <t>Xerox 219</t>
  </si>
  <si>
    <t>Malden</t>
  </si>
  <si>
    <t>Patrick Jones</t>
  </si>
  <si>
    <t>Imation Clip USB flash drive - 8 GB</t>
  </si>
  <si>
    <t>Avery File Folder Labels</t>
  </si>
  <si>
    <t>O'Sullivan Plantations 2-Door Library in Landvery Oak</t>
  </si>
  <si>
    <t>Logitech G19 Programmable Gaming Keyboard</t>
  </si>
  <si>
    <t>Acco Clips to Go Binder Clips, 24 Clips in Two Sizes</t>
  </si>
  <si>
    <t>Eleni McCrary</t>
  </si>
  <si>
    <t>3-ring staple pack</t>
  </si>
  <si>
    <t>Global Leather &amp; Oak Executive Chair, Burgundy</t>
  </si>
  <si>
    <t>Holyoke</t>
  </si>
  <si>
    <t>Matt Collister</t>
  </si>
  <si>
    <t>Coachella</t>
  </si>
  <si>
    <t>Safco Wire Cube Shelving System, For Use as 4 or 5 14" Cubes, Black</t>
  </si>
  <si>
    <t>Clay Rozendal</t>
  </si>
  <si>
    <t>Elmhurst</t>
  </si>
  <si>
    <t>Annie Zypern</t>
  </si>
  <si>
    <t>Iceberg Nesting Folding Chair, 19w x 6d x 43h</t>
  </si>
  <si>
    <t>Tenex Traditional Chairmats for Medium Pile Carpet, Standard Lip, 36" x 48"</t>
  </si>
  <si>
    <t>Pierre Wener</t>
  </si>
  <si>
    <t>Bevis Rectangular Conference Tables</t>
  </si>
  <si>
    <t>Shaun Weien</t>
  </si>
  <si>
    <t>C-Line Magnetic Cubicle Keepers, Clear Polypropylene</t>
  </si>
  <si>
    <t>Denny Blanton</t>
  </si>
  <si>
    <t>Avery 496</t>
  </si>
  <si>
    <t>James Galang</t>
  </si>
  <si>
    <t>Fellowes Premier Superior Surge Suppressor, 10-Outlet, With Phone and Remote</t>
  </si>
  <si>
    <t>Newport News</t>
  </si>
  <si>
    <t>Black Print Carbonless Snap-Off Rapid Letter, 8 1/2" x 7"</t>
  </si>
  <si>
    <t>Office Impressions Heavy Duty Welded Shelving &amp; Multimedia Storage Drawers</t>
  </si>
  <si>
    <t>Kristina Nunn</t>
  </si>
  <si>
    <t>Anker 24W Portable Micro USB Car Charger</t>
  </si>
  <si>
    <t>John Murray</t>
  </si>
  <si>
    <t>Jamestown</t>
  </si>
  <si>
    <t>Sonia Cooley</t>
  </si>
  <si>
    <t>Mishawaka</t>
  </si>
  <si>
    <t>Richard Bierner</t>
  </si>
  <si>
    <t>Belkin 8 Outlet Surge Protector</t>
  </si>
  <si>
    <t>Oklahoma City</t>
  </si>
  <si>
    <t>Tennsco Snap-Together Open Shelving Units, Starter Sets and Add-On Units</t>
  </si>
  <si>
    <t>Daniel Byrd</t>
  </si>
  <si>
    <t>Ames Color-File Green Diamond Border X-ray Mailers</t>
  </si>
  <si>
    <t>Xerox 210</t>
  </si>
  <si>
    <t>Tennsco Single-Tier Lockers</t>
  </si>
  <si>
    <t>Hon 2090 “Pillow Soft” Series Mid Back Swivel/Tilt Chairs</t>
  </si>
  <si>
    <t>Newell 346</t>
  </si>
  <si>
    <t>Contemporary Wood/Metal Frame</t>
  </si>
  <si>
    <t>Woodstock</t>
  </si>
  <si>
    <t>Crayola Anti Dust Chalk, 12/Pack</t>
  </si>
  <si>
    <t>Chris McAfee</t>
  </si>
  <si>
    <t>Logitech diNovo Edge Keyboard</t>
  </si>
  <si>
    <t>GE General Use Halogen Bulbs, 100 Watts, 1 Bulb per Pack</t>
  </si>
  <si>
    <t>Barry Franz</t>
  </si>
  <si>
    <t>Perma STOR-ALL Hanging File Box, 13 1/8"W x 12 1/4"D x 10 1/2"H</t>
  </si>
  <si>
    <t>Tyvek Side-Opening Peel &amp; Seel Expanding Envelopes</t>
  </si>
  <si>
    <t>Tripp Lite Isotel 6 Outlet Surge Protector with Fax/Modem Protection</t>
  </si>
  <si>
    <t>Berol Giant Pencil Sharpener</t>
  </si>
  <si>
    <t>Tim Taslimi</t>
  </si>
  <si>
    <t>Sarah Bern</t>
  </si>
  <si>
    <t>TOPS Voice Message Log Book, Flash Format</t>
  </si>
  <si>
    <t>Hot Springs</t>
  </si>
  <si>
    <t>Provo</t>
  </si>
  <si>
    <t>Nancy Lomonaco</t>
  </si>
  <si>
    <t>Ralph Arnett</t>
  </si>
  <si>
    <t>Ibico Presentation Index for Binding Systems</t>
  </si>
  <si>
    <t>Bobby Elias</t>
  </si>
  <si>
    <t>Xerox 1912</t>
  </si>
  <si>
    <t>Hewlett-Packard Deskjet 6540 Color Inkjet Printer</t>
  </si>
  <si>
    <t>Computer Room Manger, 14"</t>
  </si>
  <si>
    <t>Plantronics Voyager Pro HD - Bluetooth Headset</t>
  </si>
  <si>
    <t>Cary</t>
  </si>
  <si>
    <t>Fred Harton</t>
  </si>
  <si>
    <t>Joe Elijah</t>
  </si>
  <si>
    <t>Las Cruces</t>
  </si>
  <si>
    <t>Fred McMath</t>
  </si>
  <si>
    <t>Logitech G700s Rechargeable Gaming Mouse</t>
  </si>
  <si>
    <t>Tamara Manning</t>
  </si>
  <si>
    <t>Vacaville</t>
  </si>
  <si>
    <t>Advantus Rolling Drawer Organizers</t>
  </si>
  <si>
    <t>Belkin F9M820V08 8 Outlet Surge</t>
  </si>
  <si>
    <t>Michael Oakman</t>
  </si>
  <si>
    <t>APC 7 Outlet Network SurgeArrest Surge Protector</t>
  </si>
  <si>
    <t>Bakersfield</t>
  </si>
  <si>
    <t>Sauder Camden County Collection Libraries, Planked Cherry Finish</t>
  </si>
  <si>
    <t>Cynthia Delaney</t>
  </si>
  <si>
    <t>Hon Every-Day Series Multi-Task Chairs</t>
  </si>
  <si>
    <t>Omaha</t>
  </si>
  <si>
    <t>Denise Leinenbach</t>
  </si>
  <si>
    <t>Metal Folding Chairs, Beige, 4/Carton</t>
  </si>
  <si>
    <t>Michelle Huthwaite</t>
  </si>
  <si>
    <t>Plymouth Boxed Rubber Bands by Plymouth</t>
  </si>
  <si>
    <t>Mike Pelletier</t>
  </si>
  <si>
    <t>Brian DeCherney</t>
  </si>
  <si>
    <t>Adtran 1202752G1</t>
  </si>
  <si>
    <t>Xerox 1954</t>
  </si>
  <si>
    <t>Carina Mini System Audio Rack, Model AR050B</t>
  </si>
  <si>
    <t>Toby Carlisle</t>
  </si>
  <si>
    <t>Tallahassee</t>
  </si>
  <si>
    <t>Xerox 1945</t>
  </si>
  <si>
    <t>KeyTronic KT800P2 - Keyboard - Black</t>
  </si>
  <si>
    <t>Anthony Jacobs</t>
  </si>
  <si>
    <t>Carina Double Wide Media Storage Towers in Natural &amp; Black</t>
  </si>
  <si>
    <t>Vicky Freymann</t>
  </si>
  <si>
    <t>Sioux Falls</t>
  </si>
  <si>
    <t>South Dakota</t>
  </si>
  <si>
    <t>Avery 498</t>
  </si>
  <si>
    <t>Orlando</t>
  </si>
  <si>
    <t>Xerox 2000</t>
  </si>
  <si>
    <t>Global Super Steno Chair</t>
  </si>
  <si>
    <t>Dean percer</t>
  </si>
  <si>
    <t>Quality Park Security Envelopes</t>
  </si>
  <si>
    <t>Harry Greene</t>
  </si>
  <si>
    <t>Lake Charles</t>
  </si>
  <si>
    <t>Xerox 1969</t>
  </si>
  <si>
    <t>Peel-Off China Markers</t>
  </si>
  <si>
    <t>Erica Bern</t>
  </si>
  <si>
    <t>Hewlett Packard 310 Color Digital Copier</t>
  </si>
  <si>
    <t>Highland Park</t>
  </si>
  <si>
    <t>Wirebound Message Books, Four 2 3/4 x 5 White Forms per Page</t>
  </si>
  <si>
    <t>Maria Etezadi</t>
  </si>
  <si>
    <t>Global Highback Leather Tilter in Burgundy</t>
  </si>
  <si>
    <t>Eldon 400 Class Desk Accessories, Black Carbon</t>
  </si>
  <si>
    <t>GE DSL Phone Line Filter</t>
  </si>
  <si>
    <t>Mount Pleasant</t>
  </si>
  <si>
    <t>Giulietta Baptist</t>
  </si>
  <si>
    <t>Xerox 1997</t>
  </si>
  <si>
    <t>Julia Barnett</t>
  </si>
  <si>
    <t>Eldon Expressions Mahogany Wood Desk Collection</t>
  </si>
  <si>
    <t>Matthew Clasen</t>
  </si>
  <si>
    <t>SanDisk Ultra 16 GB MicroSDHC Class 10 Memory Card</t>
  </si>
  <si>
    <t>Max Jones</t>
  </si>
  <si>
    <t>Eldon Fold 'N Roll Cart System</t>
  </si>
  <si>
    <t>Eau Claire</t>
  </si>
  <si>
    <t>Surelock Post Binders</t>
  </si>
  <si>
    <t>Rick Reed</t>
  </si>
  <si>
    <t>Sharelle Roach</t>
  </si>
  <si>
    <t>Pharr</t>
  </si>
  <si>
    <t>Gresham</t>
  </si>
  <si>
    <t>BlackBerry Q10</t>
  </si>
  <si>
    <t>Kingston Digital DataTraveler 16GB USB 2.0</t>
  </si>
  <si>
    <t>Richard Eichhorn</t>
  </si>
  <si>
    <t>Important Message Pads, 50 4-1/4 x 5-1/2 Forms per Pad</t>
  </si>
  <si>
    <t>Binding Machine Supplies</t>
  </si>
  <si>
    <t>Jim Epp</t>
  </si>
  <si>
    <t>Jennifer Patt</t>
  </si>
  <si>
    <t>G.E. Longer-Life Indoor Recessed Floodlight Bulbs</t>
  </si>
  <si>
    <t>BIC Brite Liner Highlighters, Chisel Tip</t>
  </si>
  <si>
    <t>Suzanne McNair</t>
  </si>
  <si>
    <t>Maple Grove</t>
  </si>
  <si>
    <t>Ibico Ibimaster 300 Manual Binding System</t>
  </si>
  <si>
    <t>Tenex Personal Self-Stacking Standard File Box, Black/Gray</t>
  </si>
  <si>
    <t>Novimex Fabric Task Chair</t>
  </si>
  <si>
    <t>Daniel Raglin</t>
  </si>
  <si>
    <t>Sterilite Show Offs Storage Containers</t>
  </si>
  <si>
    <t>Jack Lebron</t>
  </si>
  <si>
    <t>Prestige Round Ring Binders</t>
  </si>
  <si>
    <t>Alliance Super-Size Bands, Assorted Sizes</t>
  </si>
  <si>
    <t>Toby Braunhardt</t>
  </si>
  <si>
    <t>BlueLounge Milo Smartphone Stand, White/Metallic</t>
  </si>
  <si>
    <t>Logitech G500s Laser Gaming Mouse with Adjustable Weight Tuning</t>
  </si>
  <si>
    <t>Satellite Sectional Post Binders</t>
  </si>
  <si>
    <t>David Wiener</t>
  </si>
  <si>
    <t>Global Wood Trimmed Manager's Task Chair, Khaki</t>
  </si>
  <si>
    <t>Grand Rapids</t>
  </si>
  <si>
    <t>Hon 61000 Series Interactive Training Tables</t>
  </si>
  <si>
    <t>Candace McMahon</t>
  </si>
  <si>
    <t>Xerox 221</t>
  </si>
  <si>
    <t>Case Logic 2.4GHz Wireless Keyboard</t>
  </si>
  <si>
    <t>Maxell 4.7GB DVD-R 5/Pack</t>
  </si>
  <si>
    <t>Sarah Jordon</t>
  </si>
  <si>
    <t>Maya Herman</t>
  </si>
  <si>
    <t>Master Caster Door Stop, Brown</t>
  </si>
  <si>
    <t>Julie Prescott</t>
  </si>
  <si>
    <t>Muskogee</t>
  </si>
  <si>
    <t>Newell 351</t>
  </si>
  <si>
    <t>Fellowes Powershred HS-440 4-Sheet High Security Shredder</t>
  </si>
  <si>
    <t>Cardinal EasyOpen D-Ring Binders</t>
  </si>
  <si>
    <t>Wilson Jones 1" Hanging DublLock Ring Binders</t>
  </si>
  <si>
    <t>Yucaipa</t>
  </si>
  <si>
    <t>Rush Hierlooms Collection 1" Thick Stackable Bookcases</t>
  </si>
  <si>
    <t>Liz Carlisle</t>
  </si>
  <si>
    <t>Sauder Facets Collection Library, Sky Alder Finish</t>
  </si>
  <si>
    <t>Duane Benoit</t>
  </si>
  <si>
    <t>Xerox 1953</t>
  </si>
  <si>
    <t>Laurel Beltran</t>
  </si>
  <si>
    <t>Greg Maxwell</t>
  </si>
  <si>
    <t>Strathmore Photo Frame Cards</t>
  </si>
  <si>
    <t>Jack O'Briant</t>
  </si>
  <si>
    <t>Anna Häberlin</t>
  </si>
  <si>
    <t>Tim Brockman</t>
  </si>
  <si>
    <t>GBC Recycled VeloBinder Covers</t>
  </si>
  <si>
    <t>Holmes Replacement Filter for HEPA Air Cleaner, Medium Room</t>
  </si>
  <si>
    <t>Shui Tom</t>
  </si>
  <si>
    <t>XtraLife ClearVue Slant-D Ring Binder, White, 3"</t>
  </si>
  <si>
    <t>Nashville</t>
  </si>
  <si>
    <t>Binney &amp; Smith inkTank Desk Highlighter, Chisel Tip, Yellow, 12/Box</t>
  </si>
  <si>
    <t>Dearborn Heights</t>
  </si>
  <si>
    <t>Global Ergonomic Managers Chair</t>
  </si>
  <si>
    <t>Avery Reinforcements for Hole-Punch Pages</t>
  </si>
  <si>
    <t>Rob Haberlin</t>
  </si>
  <si>
    <t>Carol Stream</t>
  </si>
  <si>
    <t>Saint Cloud</t>
  </si>
  <si>
    <t>KeyTronic E03601U1 - Keyboard - Beige</t>
  </si>
  <si>
    <t>Russell D'Ascenzo</t>
  </si>
  <si>
    <t>Xerox 1894</t>
  </si>
  <si>
    <t>George Ashbrook</t>
  </si>
  <si>
    <t>AT&amp;T 1080 Phone</t>
  </si>
  <si>
    <t>Ativa MDM8000 8-Sheet Micro-Cut Shredder</t>
  </si>
  <si>
    <t>DIXON Oriole Pencils</t>
  </si>
  <si>
    <t>Xerox 200</t>
  </si>
  <si>
    <t>Robert Dilbeck</t>
  </si>
  <si>
    <t>Joni Wasserman</t>
  </si>
  <si>
    <t>Quartet Omega Colored Chalk, 12/Pack</t>
  </si>
  <si>
    <t>North Miami</t>
  </si>
  <si>
    <t>Adams Telephone Message Books, 5 1/4” x 11”</t>
  </si>
  <si>
    <t>Avery Hanging File Binders</t>
  </si>
  <si>
    <t>Sally Hughsby</t>
  </si>
  <si>
    <t>Edward Becker</t>
  </si>
  <si>
    <t>Plantation</t>
  </si>
  <si>
    <t>Convenience Packs of Business Envelopes</t>
  </si>
  <si>
    <t>Tony Chapman</t>
  </si>
  <si>
    <t>Tenex V2T-RE Standard Weight Series Chair Mat, 45" x 53", Lip 25" x 12"</t>
  </si>
  <si>
    <t>Dave Hallsten</t>
  </si>
  <si>
    <t>Newell 31</t>
  </si>
  <si>
    <t>Rock Hill</t>
  </si>
  <si>
    <t>Advantus Map Pennant Flags and Round Head Tacks</t>
  </si>
  <si>
    <t>Eldon Mobile Mega Data Cart  Mega Stackable  Add-On Trays</t>
  </si>
  <si>
    <t>Jason Gross</t>
  </si>
  <si>
    <t>Odessa</t>
  </si>
  <si>
    <t>Newell 34</t>
  </si>
  <si>
    <t>West Allis</t>
  </si>
  <si>
    <t>O'Sullivan Living Dimensions 2-Shelf Bookcases</t>
  </si>
  <si>
    <t>Avery Hidden Tab Dividers for Binding Systems</t>
  </si>
  <si>
    <t>Bretford “Just In Time” Height-Adjustable Multi-Task Work Tables</t>
  </si>
  <si>
    <t>Acco Banker's Clasps, 5 3/4"-Long</t>
  </si>
  <si>
    <t>Chula Vista</t>
  </si>
  <si>
    <t>Bill Tyler</t>
  </si>
  <si>
    <t>Altoona</t>
  </si>
  <si>
    <t>Avery 515</t>
  </si>
  <si>
    <t>Jabra SPEAK 410 Multidevice Speakerphone</t>
  </si>
  <si>
    <t>Fellowes Personal Hanging Folder Files, Navy</t>
  </si>
  <si>
    <t>Jim Mitchum</t>
  </si>
  <si>
    <t>Binder Clips by OIC</t>
  </si>
  <si>
    <t>Katrina Edelman</t>
  </si>
  <si>
    <t>Situations Contoured Folding Chairs, 4/Set</t>
  </si>
  <si>
    <t>Darrin Martin</t>
  </si>
  <si>
    <t>Julie Kriz</t>
  </si>
  <si>
    <t>Chromcraft 48" x 96" Racetrack Double Pedestal Table</t>
  </si>
  <si>
    <t>WD My Passport Ultra 2TB Portable External Hard Drive</t>
  </si>
  <si>
    <t>Knoxville</t>
  </si>
  <si>
    <t>Newell 322</t>
  </si>
  <si>
    <t>GBC Clear Cover, 8-1/2 x 11, unpunched, 25 covers per pack</t>
  </si>
  <si>
    <t>Bolingbrook</t>
  </si>
  <si>
    <t>Avery Framed View Binder, EZD Ring (Locking), Navy, 1 1/2"</t>
  </si>
  <si>
    <t>Baytown</t>
  </si>
  <si>
    <t>Micro Innovations Wireless Classic Keyboard with Mouse</t>
  </si>
  <si>
    <t>Maureen Gnade</t>
  </si>
  <si>
    <t>Buffalo</t>
  </si>
  <si>
    <t>Compact Automatic Electric Letter Opener</t>
  </si>
  <si>
    <t>GBC ProClick Spines for 32-Hole Punch</t>
  </si>
  <si>
    <t>Avery Heavy-Duty EZD View Binder with Locking Rings</t>
  </si>
  <si>
    <t>Denise Monton</t>
  </si>
  <si>
    <t>Sterling Heights</t>
  </si>
  <si>
    <t>Christopher Conant</t>
  </si>
  <si>
    <t>Global Leather Task Chair, Black</t>
  </si>
  <si>
    <t>Charles Sheldon</t>
  </si>
  <si>
    <t>Ultra Door Kickplate, 8"H x 34"W</t>
  </si>
  <si>
    <t>Dana Kaydos</t>
  </si>
  <si>
    <t>Anna Andreadi</t>
  </si>
  <si>
    <t>Gear Head AU3700S Headset</t>
  </si>
  <si>
    <t>Cari Sayre</t>
  </si>
  <si>
    <t>Prang Drawing Pencil Set</t>
  </si>
  <si>
    <t>Tom Prescott</t>
  </si>
  <si>
    <t>Self-Adhesive Ring Binder Labels</t>
  </si>
  <si>
    <t>Sacramento</t>
  </si>
  <si>
    <t>Mitel 5320 IP Phone VoIP phone</t>
  </si>
  <si>
    <t>Dorothy Dickinson</t>
  </si>
  <si>
    <t>Keith Dawkins</t>
  </si>
  <si>
    <t>Deer Park</t>
  </si>
  <si>
    <t>Midland</t>
  </si>
  <si>
    <t>GBC Wire Binding Strips</t>
  </si>
  <si>
    <t>Tracy Poddar</t>
  </si>
  <si>
    <t>Bruce Geld</t>
  </si>
  <si>
    <t>BOSTON Ranger #55 Pencil Sharpener, Black</t>
  </si>
  <si>
    <t>Avery 486</t>
  </si>
  <si>
    <t>Anne McFarland</t>
  </si>
  <si>
    <t>Cranston</t>
  </si>
  <si>
    <t>Lumber Crayons</t>
  </si>
  <si>
    <t>Ann Blume</t>
  </si>
  <si>
    <t>Smead Alpha-Z Color-Coded Second Alphabetical Labels and Starter Set</t>
  </si>
  <si>
    <t>Nick Crebassa</t>
  </si>
  <si>
    <t>Safco Value Mate Steel Bookcase, Baked Enamel Finish on Steel, Black</t>
  </si>
  <si>
    <t>Steven Roelle</t>
  </si>
  <si>
    <t>Ink Jet Note and Greeting Cards, 8-1/2" x 5-1/2" Card Size</t>
  </si>
  <si>
    <t>Bill Shonely</t>
  </si>
  <si>
    <t>Lakewood</t>
  </si>
  <si>
    <t>3D Systems Cube Printer, 2nd Generation, Magenta</t>
  </si>
  <si>
    <t>GBC Twin Loop Wire Binding Elements</t>
  </si>
  <si>
    <t>Samsung Galaxy Mega 6.3</t>
  </si>
  <si>
    <t>The Colony</t>
  </si>
  <si>
    <t>Angele Hood</t>
  </si>
  <si>
    <t>Airmail Envelopes</t>
  </si>
  <si>
    <t>Dixon Ticonderoga Maple Cedar Pencil, #2</t>
  </si>
  <si>
    <t>Xerox 208</t>
  </si>
  <si>
    <t>Vivian Mathis</t>
  </si>
  <si>
    <t>Portage</t>
  </si>
  <si>
    <t>Global Leather Executive Chair</t>
  </si>
  <si>
    <t>San Gabriel</t>
  </si>
  <si>
    <t>SANFORD Major Accent Highlighters</t>
  </si>
  <si>
    <t>Staple-on labels</t>
  </si>
  <si>
    <t>Erin Creighton</t>
  </si>
  <si>
    <t>Newell 3-Hole Punched Plastic Slotted Magazine Holders for Binders</t>
  </si>
  <si>
    <t>Margate</t>
  </si>
  <si>
    <t>Sandy Springs</t>
  </si>
  <si>
    <t>Acco Six-Outlet Power Strip, 4' Cord Length</t>
  </si>
  <si>
    <t>Martin Yale Chadless Opener Electric Letter Opener</t>
  </si>
  <si>
    <t>Boise</t>
  </si>
  <si>
    <t>Idaho</t>
  </si>
  <si>
    <t>ACCOHIDE 3-Ring Binder, Blue, 1"</t>
  </si>
  <si>
    <t>Carlos Daly</t>
  </si>
  <si>
    <t>Xerox 190</t>
  </si>
  <si>
    <t>24 Capacity Maxi Data Binder Racks, Pearl</t>
  </si>
  <si>
    <t>Enermax Briskie RF Wireless Keyboard and Mouse Combo</t>
  </si>
  <si>
    <t>Roger Demir</t>
  </si>
  <si>
    <t>Global Push Button Manager's Chair, Indigo</t>
  </si>
  <si>
    <t>Avery 5</t>
  </si>
  <si>
    <t>Executive Impressions 13" Chairman Wall Clock</t>
  </si>
  <si>
    <t>Lewiston</t>
  </si>
  <si>
    <t>Anthony Garverick</t>
  </si>
  <si>
    <t>Hampton</t>
  </si>
  <si>
    <t>Hattiesburg</t>
  </si>
  <si>
    <t>XtraLife ClearVue Slant-D Ring Binders by Cardinal</t>
  </si>
  <si>
    <t>Everett</t>
  </si>
  <si>
    <t>Polycom VoiceStation 500 Conference phone</t>
  </si>
  <si>
    <t>Canon PC-428 Personal Copier</t>
  </si>
  <si>
    <t>Becky Castell</t>
  </si>
  <si>
    <t>Ellis Ballard</t>
  </si>
  <si>
    <t>Ampad Poly Cover Wirebound Steno Book, 6" x 9" Assorted Colors, Gregg Ruled</t>
  </si>
  <si>
    <t>Waterbury</t>
  </si>
  <si>
    <t>Acme Forged Steel Scissors with Black Enamel Handles</t>
  </si>
  <si>
    <t>Avery Round Ring Poly Binders</t>
  </si>
  <si>
    <t>Tennsco Stur-D-Stor Boltless Shelving, 5 Shelves, 24" Deep, Sand</t>
  </si>
  <si>
    <t>Athens</t>
  </si>
  <si>
    <t>Avery 493</t>
  </si>
  <si>
    <t>Elite 5" Scissors</t>
  </si>
  <si>
    <t>Okidata C331dn Printer</t>
  </si>
  <si>
    <t>Cari Schnelling</t>
  </si>
  <si>
    <t>Things To Do Today Spiral Book</t>
  </si>
  <si>
    <t>Amy Cox</t>
  </si>
  <si>
    <t>Avondale</t>
  </si>
  <si>
    <t>Wichita</t>
  </si>
  <si>
    <t>Kansas</t>
  </si>
  <si>
    <t>Michelle Moray</t>
  </si>
  <si>
    <t>Marietta</t>
  </si>
  <si>
    <t>Mark Hamilton</t>
  </si>
  <si>
    <t>Cisco SPA508G</t>
  </si>
  <si>
    <t>Xerox 1917</t>
  </si>
  <si>
    <t>Peter Fuller</t>
  </si>
  <si>
    <t>Hoover Upright Vacuum With Dirt Cup</t>
  </si>
  <si>
    <t>Carina Media Storage Towers in Natural &amp; Black</t>
  </si>
  <si>
    <t>Acco 3-Hole Punch</t>
  </si>
  <si>
    <t>OIC Thumb-Tacks</t>
  </si>
  <si>
    <t>Green Canvas Binder for 8-1/2" x 14" Sheets</t>
  </si>
  <si>
    <t>Anna Chung</t>
  </si>
  <si>
    <t>Parma</t>
  </si>
  <si>
    <t>Global Italian Leather Office Chair</t>
  </si>
  <si>
    <t>Newell 324</t>
  </si>
  <si>
    <t>#10 White Business Envelopes,4 1/8 x 9 1/2</t>
  </si>
  <si>
    <t>Karen Seio</t>
  </si>
  <si>
    <t>Lehi</t>
  </si>
  <si>
    <t>SmartStand Mobile Device Holder, Assorted Colors</t>
  </si>
  <si>
    <t>Nathan Cano</t>
  </si>
  <si>
    <t>Plantronics MX500i Earset</t>
  </si>
  <si>
    <t>Assorted Color Push Pins</t>
  </si>
  <si>
    <t>Acco Flexible ACCOHIDE Square Ring Data Binder, Dark Blue, 11 1/2" X 14" 7/8"</t>
  </si>
  <si>
    <t>Cindy Chapman</t>
  </si>
  <si>
    <t>Astroparche Fine Business Paper</t>
  </si>
  <si>
    <t>Maxell 4.7GB DVD-RW 3/Pack</t>
  </si>
  <si>
    <t>Todd Sumrall</t>
  </si>
  <si>
    <t>Bestar Classic Bookcase</t>
  </si>
  <si>
    <t>Logitech Wireless Performance Mouse MX for PC and Mac</t>
  </si>
  <si>
    <t>O'Sullivan Cherrywood Estates Traditional Barrister Bookcase</t>
  </si>
  <si>
    <t>Arianne Irving</t>
  </si>
  <si>
    <t>Embossed Ink Jet Note Cards</t>
  </si>
  <si>
    <t>GBC Velobind Prepunched Cover Sets, Regency Series</t>
  </si>
  <si>
    <t>Sharp 1540cs Digital Laser Copier</t>
  </si>
  <si>
    <t>Aimee Bixby</t>
  </si>
  <si>
    <t>Xerox 1994</t>
  </si>
  <si>
    <t>Avery 491</t>
  </si>
  <si>
    <t>Vinyl Coated Wire Paper Clips in Organizer Box, 800/Box</t>
  </si>
  <si>
    <t>Microsoft Arc Touch Mouse</t>
  </si>
  <si>
    <t>Yana Sorensen</t>
  </si>
  <si>
    <t>Dual Level, Single-Width Filing Carts</t>
  </si>
  <si>
    <t>Hon Metal Bookcases, Gray</t>
  </si>
  <si>
    <t>Xerox 1905</t>
  </si>
  <si>
    <t>Avery Fluorescent Highlighter Four-Color Set</t>
  </si>
  <si>
    <t>Ibico Plastic and Wire Spiral Binding Combs</t>
  </si>
  <si>
    <t>Aaron Hawkins</t>
  </si>
  <si>
    <t>Fellowes Mighty 8 Compact Surge Protector</t>
  </si>
  <si>
    <t>Memo Book, 100 Message Capacity, 5 3/8” x 11”</t>
  </si>
  <si>
    <t>Hon Deluxe Fabric Upholstered Stacking Chairs, Rounded Back</t>
  </si>
  <si>
    <t>Office Star - Contemporary Task Swivel chair with 2-way adjustable arms, Plum</t>
  </si>
  <si>
    <t>Medford</t>
  </si>
  <si>
    <t>Message Book, Wirebound, Four 5 1/2" X 4" Forms/Pg., 200 Dupl. Sets/Book</t>
  </si>
  <si>
    <t>Logitech Z-906 Speaker sys - home theater - 5.1-CH</t>
  </si>
  <si>
    <t>Santa Barbara</t>
  </si>
  <si>
    <t>Colored Push Pins</t>
  </si>
  <si>
    <t>Marina Lichtenstein</t>
  </si>
  <si>
    <t>Wausau Papers Astrobrights Colored Envelopes</t>
  </si>
  <si>
    <t>Pocatello</t>
  </si>
  <si>
    <t>Luxo Adjustable Task Clamp Lamp</t>
  </si>
  <si>
    <t>Steve Carroll</t>
  </si>
  <si>
    <t>Holland</t>
  </si>
  <si>
    <t>Sannysis Cute Owl Design Soft Skin Case Cover for Samsung Galaxy S4</t>
  </si>
  <si>
    <t>Newell 333</t>
  </si>
  <si>
    <t>Sung Shariari</t>
  </si>
  <si>
    <t>Leominster</t>
  </si>
  <si>
    <t>John Dryer</t>
  </si>
  <si>
    <t>Vtech AT&amp;T CL2940 Corded Speakerphone, Black</t>
  </si>
  <si>
    <t>Polycom VVX 310 VoIP phone</t>
  </si>
  <si>
    <t>Xerox 209</t>
  </si>
  <si>
    <t>Logitech G35 7.1-Channel Surround Sound Headset</t>
  </si>
  <si>
    <t>MaryBeth Skach</t>
  </si>
  <si>
    <t>Conway</t>
  </si>
  <si>
    <t>Iceberg OfficeWorks 42" Round Tables</t>
  </si>
  <si>
    <t>Xerox 1949</t>
  </si>
  <si>
    <t>Fellowes Advanced Computer Series Surge Protectors</t>
  </si>
  <si>
    <t>GBC ProClick Punch Binding System</t>
  </si>
  <si>
    <t>Jason Fortune-</t>
  </si>
  <si>
    <t>Jabra Supreme Plus Driver Edition Headset</t>
  </si>
  <si>
    <t>Lisa Ryan</t>
  </si>
  <si>
    <t>Acme Kleencut Forged Steel Scissors</t>
  </si>
  <si>
    <t>Xerox 189</t>
  </si>
  <si>
    <t>Atlantic Metals Mobile 5-Shelf Bookcases, Custom Colors</t>
  </si>
  <si>
    <t>Joy Smith</t>
  </si>
  <si>
    <t>Advantus Employee of the Month Certificate Frame, 11 x 13-1/2</t>
  </si>
  <si>
    <t>Nu-Dell Float Frame 11 x 14 1/2</t>
  </si>
  <si>
    <t>Amy Hunt</t>
  </si>
  <si>
    <t>Bartlett</t>
  </si>
  <si>
    <t>Acme Hot Forged Carbon Steel Scissors with Nickel-Plated Handles, 3 7/8" Cut, 8"L</t>
  </si>
  <si>
    <t>Redwood City</t>
  </si>
  <si>
    <t>Wilson Jones Leather-Like Binders with DublLock Round Rings</t>
  </si>
  <si>
    <t>Anthony O'Donnell</t>
  </si>
  <si>
    <t>Barricks 18" x 48" Non-Folding Utility Table with Bottom Storage Shelf</t>
  </si>
  <si>
    <t>Mcallen</t>
  </si>
  <si>
    <t>Verbatim Slim CD and DVD Storage Cases, 50/Pack</t>
  </si>
  <si>
    <t>Hon Metal Bookcases, Black</t>
  </si>
  <si>
    <t>Des Plaines</t>
  </si>
  <si>
    <t>Ibico Covers for Plastic or Wire Binding Elements</t>
  </si>
  <si>
    <t>Plastic Binding Combs</t>
  </si>
  <si>
    <t>Avery 478</t>
  </si>
  <si>
    <t>Eldon Expressions Desk Accessory, Wood Photo Frame, Mahogany</t>
  </si>
  <si>
    <t>Avery 511</t>
  </si>
  <si>
    <t>Avaya 4621SW VoIP phone</t>
  </si>
  <si>
    <t>Hon 4700 Series Mobuis Mid-Back Task Chairs with Adjustable Arms</t>
  </si>
  <si>
    <t>Draper</t>
  </si>
  <si>
    <t>Memorex Micro Travel Drive 16 GB</t>
  </si>
  <si>
    <t>Tonja Turnell</t>
  </si>
  <si>
    <t>Katherine Nockton</t>
  </si>
  <si>
    <t>Xerox 1947</t>
  </si>
  <si>
    <t>Michael Grace</t>
  </si>
  <si>
    <t>Lesro Round Back Collection Coffee Table, End Table</t>
  </si>
  <si>
    <t>Gary Hansen</t>
  </si>
  <si>
    <t>Acco PRESSTEX Data Binder with Storage Hooks, Dark Blue, 14 7/8" X 11"</t>
  </si>
  <si>
    <t>Logitech Illuminated - Keyboard</t>
  </si>
  <si>
    <t>Stuart Van</t>
  </si>
  <si>
    <t>Bush Heritage Pine Collection 5-Shelf Bookcase, Albany Pine Finish, *Special Order</t>
  </si>
  <si>
    <t>Victoria Pisteka</t>
  </si>
  <si>
    <t>Toshiba IPT2010-SD IP Telephone</t>
  </si>
  <si>
    <t>Boston 1827 Commercial Additional Cutter, Drive Gear &amp; Gear Rack for 1606</t>
  </si>
  <si>
    <t>Westinghouse Clip-On Gooseneck Lamps</t>
  </si>
  <si>
    <t>Wilson</t>
  </si>
  <si>
    <t>Dana Fluorescent Magnifying Lamp, White, 36"</t>
  </si>
  <si>
    <t>Plantronics CS 50-USB - headset - Convertible, Monaural</t>
  </si>
  <si>
    <t>Avery 479</t>
  </si>
  <si>
    <t>Xerox 194</t>
  </si>
  <si>
    <t>SAFCO Mobile Desk Side File, Wire Frame</t>
  </si>
  <si>
    <t>Vivek Sundaresam</t>
  </si>
  <si>
    <t>Dot Matrix Printer Tape Reel Labels, White, 5000/Box</t>
  </si>
  <si>
    <t>Pamela Stobb</t>
  </si>
  <si>
    <t>Xerox 1902</t>
  </si>
  <si>
    <t>Motorola L703CM</t>
  </si>
  <si>
    <t>SAFCO Commercial Wire Shelving, Black</t>
  </si>
  <si>
    <t>Avery 487</t>
  </si>
  <si>
    <t>Grandstream GXP1160 VoIP phone</t>
  </si>
  <si>
    <t>Newell 339</t>
  </si>
  <si>
    <t>Fellowes Bases and Tops For Staxonsteel/High-Stak Systems</t>
  </si>
  <si>
    <t>Global Adaptabilities Conference Tables</t>
  </si>
  <si>
    <t>Xerox 1903</t>
  </si>
  <si>
    <t>Dixon Prang Watercolor Pencils, 10-Color Set with Brush</t>
  </si>
  <si>
    <t>John Stevenson</t>
  </si>
  <si>
    <t>Tennsco Double-Tier Lockers</t>
  </si>
  <si>
    <t>Newell 330</t>
  </si>
  <si>
    <t>Boston 1799 Powerhouse Electric Pencil Sharpener</t>
  </si>
  <si>
    <t>Fellowes PB500 Electric Punch Plastic Comb Binding Machine with Manual Bind</t>
  </si>
  <si>
    <t>File Shuttle II and Handi-File, Black</t>
  </si>
  <si>
    <t>Bellevue</t>
  </si>
  <si>
    <t>DAX Metal Frame, Desktop, Stepped-Edge</t>
  </si>
  <si>
    <t>Patrick Ryan</t>
  </si>
  <si>
    <t>Garden City</t>
  </si>
  <si>
    <t>Digium D40 VoIP phone</t>
  </si>
  <si>
    <t>Camarillo</t>
  </si>
  <si>
    <t>Konftel 250 Conference phone - Charcoal black</t>
  </si>
  <si>
    <t>Global Deluxe High-Back Office Chair in Storm</t>
  </si>
  <si>
    <t>Moreno Valley</t>
  </si>
  <si>
    <t>Xerox 220</t>
  </si>
  <si>
    <t>Kensington 7 Outlet MasterPiece Power Center with Fax/Phone Line Protection</t>
  </si>
  <si>
    <t>Black Avery Memo-Size 3-Ring Binder, 5 1/2" x 8 1/2"</t>
  </si>
  <si>
    <t>It's Hot Message Books with Stickers, 2 3/4" x 5"</t>
  </si>
  <si>
    <t>Seth Thomas 8 1/2" Cubicle Clock</t>
  </si>
  <si>
    <t>Vtech CS6719</t>
  </si>
  <si>
    <t>DAX Contemporary Wood Frame with Silver Metal Mat, Desktop, 11 x 14 Size</t>
  </si>
  <si>
    <t>Wirebound Message Books, Four 2 3/4 x 5 Forms per Page, 200 Sets per Book</t>
  </si>
  <si>
    <t>Cyra Reiten</t>
  </si>
  <si>
    <t>West Palm Beach</t>
  </si>
  <si>
    <t>DAX Two-Tone Silver Metal Document Frame</t>
  </si>
  <si>
    <t>Davis</t>
  </si>
  <si>
    <t>Saint Charles</t>
  </si>
  <si>
    <t>Xerox 1909</t>
  </si>
  <si>
    <t>Executive Impressions 13" Clairmont Wall Clock</t>
  </si>
  <si>
    <t>Meg Tillman</t>
  </si>
  <si>
    <t>Maxell 74 Minute CD-R Spindle, 50/Pack</t>
  </si>
  <si>
    <t>Carol Adams</t>
  </si>
  <si>
    <t>Rapid City</t>
  </si>
  <si>
    <t>Wilson Jones 14 Line Acrylic Coated Pressboard Data Binders</t>
  </si>
  <si>
    <t>Panasonic KP-150 Electric Pencil Sharpener</t>
  </si>
  <si>
    <t>Avery 49</t>
  </si>
  <si>
    <t>Xerox 202</t>
  </si>
  <si>
    <t>Lindsay Castell</t>
  </si>
  <si>
    <t>Economy #2 Pencils</t>
  </si>
  <si>
    <t>Pencil and Crayon Sharpener</t>
  </si>
  <si>
    <t>Xerox 1913</t>
  </si>
  <si>
    <t>GBC Pre-Punched Binding Paper, Plastic, White, 8-1/2" x 11"</t>
  </si>
  <si>
    <t>Brother DCP1000 Digital 3 in 1 Multifunction Machine</t>
  </si>
  <si>
    <t>Fred Chung</t>
  </si>
  <si>
    <t>Fellowes Neat Ideas Storage Cubes</t>
  </si>
  <si>
    <t>Corey Roper</t>
  </si>
  <si>
    <t>Tom Stivers</t>
  </si>
  <si>
    <t>Acco Perma 4000 Stacking Storage Drawers</t>
  </si>
  <si>
    <t>Elizabeth Moffitt</t>
  </si>
  <si>
    <t>Vivek Gonzalez</t>
  </si>
  <si>
    <t>Hollywood</t>
  </si>
  <si>
    <t>Xerox 1955</t>
  </si>
  <si>
    <t>SanDisk Ultra 64 GB MicroSDHC Class 10 Memory Card</t>
  </si>
  <si>
    <t>Dorothy Badders</t>
  </si>
  <si>
    <t>Lori Olson</t>
  </si>
  <si>
    <t>Tennsco Industrial Shelving</t>
  </si>
  <si>
    <t>Wilson Electronics DB Pro Signal Booster</t>
  </si>
  <si>
    <t>Buffalo Grove</t>
  </si>
  <si>
    <t>Ionia McGrath</t>
  </si>
  <si>
    <t>Microsoft Natural Keyboard Elite</t>
  </si>
  <si>
    <t>Hon 2111 Invitation Series Corner Table</t>
  </si>
  <si>
    <t>Craig Molinari</t>
  </si>
  <si>
    <t>Tripp Lite TLP810NET Broadband Surge for Modem/Fax</t>
  </si>
  <si>
    <t>Ultra Door Pull Handle</t>
  </si>
  <si>
    <t>Tenex B1-RE Series Chair Mats for Low Pile Carpets</t>
  </si>
  <si>
    <t>Row Labels</t>
  </si>
  <si>
    <t>Grand Total</t>
  </si>
  <si>
    <t>Sum of Sales</t>
  </si>
  <si>
    <t>Sum of Profit</t>
  </si>
  <si>
    <t>Total Sales</t>
  </si>
  <si>
    <t>Average Sales</t>
  </si>
  <si>
    <t>Total Order</t>
  </si>
  <si>
    <t>Total Profit</t>
  </si>
  <si>
    <t>Total Cost</t>
  </si>
  <si>
    <t>Total Quantity</t>
  </si>
  <si>
    <t>Home Offfice Sales</t>
  </si>
  <si>
    <t>consumer  Sales</t>
  </si>
  <si>
    <t>Corporate Sales</t>
  </si>
  <si>
    <t xml:space="preserve"> </t>
  </si>
  <si>
    <t>S.No</t>
  </si>
  <si>
    <t>Index of Deshboard</t>
  </si>
  <si>
    <t>KPI Vs Analysis</t>
  </si>
  <si>
    <t>Key perfomence indecater</t>
  </si>
  <si>
    <t>Count of Sub-Category</t>
  </si>
  <si>
    <t>Sum of Cost</t>
  </si>
  <si>
    <t>2014</t>
  </si>
  <si>
    <t>Qtr1</t>
  </si>
  <si>
    <t>Qtr2</t>
  </si>
  <si>
    <t>Qtr3</t>
  </si>
  <si>
    <t>Qtr4</t>
  </si>
  <si>
    <t>2015</t>
  </si>
  <si>
    <t>2016</t>
  </si>
  <si>
    <t>2017</t>
  </si>
  <si>
    <t>Category Vs Analysis</t>
  </si>
  <si>
    <t>City Vs Analysis</t>
  </si>
  <si>
    <t>Region Vs Analysis</t>
  </si>
  <si>
    <t>State VS Analysis</t>
  </si>
  <si>
    <t>Sheap Mode Vs Analysis</t>
  </si>
  <si>
    <t xml:space="preserve">Date Vs Analysis  ( Quarter and Year) </t>
  </si>
  <si>
    <t>Deshboard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</si>
</sst>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s-420]\ #,##0"/>
    <numFmt numFmtId="165" formatCode="[$Rs-420]\ #,##0.00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AmeriGarmnd BT"/>
      <family val="1"/>
    </font>
    <font>
      <sz val="26"/>
      <color theme="1"/>
      <name val="AmeriGarmnd BT"/>
      <family val="1"/>
    </font>
    <font>
      <sz val="14"/>
      <color theme="4" tint="-0.249977111117893"/>
      <name val="Calibri"/>
      <family val="2"/>
      <scheme val="minor"/>
    </font>
    <font>
      <sz val="10"/>
      <color theme="1"/>
      <name val="Arial Black"/>
      <family val="2"/>
    </font>
    <font>
      <sz val="16"/>
      <color theme="1"/>
      <name val="AmerType Md BT"/>
      <family val="1"/>
    </font>
    <font>
      <u/>
      <sz val="11"/>
      <color theme="10"/>
      <name val="Calibri"/>
      <family val="2"/>
      <scheme val="minor"/>
    </font>
    <font>
      <sz val="14"/>
      <color theme="9" tint="-0.499984740745262"/>
      <name val="Calibri"/>
      <family val="2"/>
      <scheme val="minor"/>
    </font>
    <font>
      <u/>
      <sz val="11"/>
      <color theme="9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64" fontId="0" fillId="2" borderId="0" xfId="0" applyNumberFormat="1" applyFont="1" applyFill="1"/>
    <xf numFmtId="165" fontId="0" fillId="2" borderId="0" xfId="0" applyNumberFormat="1" applyFont="1" applyFill="1"/>
    <xf numFmtId="0" fontId="1" fillId="2" borderId="0" xfId="0" applyFont="1" applyFill="1"/>
    <xf numFmtId="0" fontId="0" fillId="4" borderId="0" xfId="0" applyFill="1"/>
    <xf numFmtId="1" fontId="7" fillId="4" borderId="1" xfId="0" applyNumberFormat="1" applyFont="1" applyFill="1" applyBorder="1"/>
    <xf numFmtId="165" fontId="7" fillId="4" borderId="1" xfId="0" applyNumberFormat="1" applyFont="1" applyFill="1" applyBorder="1"/>
    <xf numFmtId="0" fontId="3" fillId="3" borderId="1" xfId="0" applyFont="1" applyFill="1" applyBorder="1" applyAlignment="1">
      <alignment horizontal="center" vertical="center"/>
    </xf>
    <xf numFmtId="0" fontId="0" fillId="5" borderId="0" xfId="0" applyFill="1"/>
    <xf numFmtId="0" fontId="6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left" vertical="top"/>
    </xf>
    <xf numFmtId="0" fontId="11" fillId="5" borderId="1" xfId="1" applyFont="1" applyFill="1" applyBorder="1" applyAlignment="1">
      <alignment horizontal="left" vertical="top"/>
    </xf>
    <xf numFmtId="0" fontId="4" fillId="6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6">
    <dxf>
      <font>
        <strike val="0"/>
        <outline val="0"/>
        <shadow val="0"/>
        <vertAlign val="baseline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ldine401 BT"/>
        <family val="1"/>
        <scheme val="none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Analysis.xlsx]pivot Table!PivotTable3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</a:rPr>
              <a:t>Category vs Count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solidFill>
                  <a:sysClr val="windowText" lastClr="000000"/>
                </a:solidFill>
              </a:ln>
              <a:solidFill>
                <a:schemeClr val="bg1"/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 w="3175" cap="flat" cmpd="sng" algn="ctr">
            <a:solidFill>
              <a:schemeClr val="accent2"/>
            </a:solidFill>
            <a:round/>
          </a:ln>
          <a:effectLst/>
          <a:sp3d contourW="3175">
            <a:contourClr>
              <a:schemeClr val="accent2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Table'!$I$3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0"/>
                    <a:lumOff val="100000"/>
                  </a:schemeClr>
                </a:gs>
                <a:gs pos="35000">
                  <a:schemeClr val="accent3">
                    <a:lumMod val="0"/>
                    <a:lumOff val="100000"/>
                  </a:schemeClr>
                </a:gs>
                <a:gs pos="100000">
                  <a:schemeClr val="accent3">
                    <a:lumMod val="100000"/>
                  </a:schemeClr>
                </a:gs>
              </a:gsLst>
              <a:path path="circle">
                <a:fillToRect l="50000" t="-80000" r="50000" b="180000"/>
              </a:path>
              <a:tileRect/>
            </a:gradFill>
            <a:ln w="3175" cap="flat" cmpd="sng" algn="ctr">
              <a:solidFill>
                <a:schemeClr val="accent2"/>
              </a:solidFill>
              <a:round/>
            </a:ln>
            <a:effectLst/>
            <a:sp3d contourW="3175">
              <a:contourClr>
                <a:schemeClr val="accent2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Table'!$H$4:$H$21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Table'!$I$4:$I$21</c:f>
              <c:numCache>
                <c:formatCode>General</c:formatCode>
                <c:ptCount val="17"/>
                <c:pt idx="0">
                  <c:v>89</c:v>
                </c:pt>
                <c:pt idx="1">
                  <c:v>65</c:v>
                </c:pt>
                <c:pt idx="2">
                  <c:v>125</c:v>
                </c:pt>
                <c:pt idx="3">
                  <c:v>180</c:v>
                </c:pt>
                <c:pt idx="4">
                  <c:v>34</c:v>
                </c:pt>
                <c:pt idx="5">
                  <c:v>91</c:v>
                </c:pt>
                <c:pt idx="6">
                  <c:v>6</c:v>
                </c:pt>
                <c:pt idx="7">
                  <c:v>35</c:v>
                </c:pt>
                <c:pt idx="8">
                  <c:v>36</c:v>
                </c:pt>
                <c:pt idx="9">
                  <c:v>116</c:v>
                </c:pt>
                <c:pt idx="10">
                  <c:v>57</c:v>
                </c:pt>
                <c:pt idx="11">
                  <c:v>15</c:v>
                </c:pt>
                <c:pt idx="12">
                  <c:v>187</c:v>
                </c:pt>
                <c:pt idx="13">
                  <c:v>112</c:v>
                </c:pt>
                <c:pt idx="14">
                  <c:v>118</c:v>
                </c:pt>
                <c:pt idx="15">
                  <c:v>16</c:v>
                </c:pt>
                <c:pt idx="16">
                  <c:v>52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AFDE-4083-9126-BA2AAC01C9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gapDepth val="0"/>
        <c:shape val="box"/>
        <c:axId val="794351839"/>
        <c:axId val="838603167"/>
        <c:axId val="0"/>
      </c:bar3DChart>
      <c:catAx>
        <c:axId val="79435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cap="all" baseline="0">
                <a:solidFill>
                  <a:schemeClr val="bg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838603167"/>
        <c:crosses val="autoZero"/>
        <c:auto val="1"/>
        <c:lblAlgn val="ctr"/>
        <c:lblOffset val="100"/>
        <c:noMultiLvlLbl val="0"/>
      </c:catAx>
      <c:valAx>
        <c:axId val="838603167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94351839"/>
        <c:crosses val="autoZero"/>
        <c:crossBetween val="between"/>
      </c:valAx>
      <c:spPr>
        <a:noFill/>
        <a:ln w="6350" cap="flat" cmpd="sng" algn="ctr">
          <a:solidFill>
            <a:schemeClr val="accent1"/>
          </a:solidFill>
          <a:prstDash val="solid"/>
          <a:miter lim="800000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Analysis.xlsx]pivot Table!PivotTable4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rPr>
              <a:t>Category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ln>
                <a:solidFill>
                  <a:sysClr val="windowText" lastClr="000000"/>
                </a:solidFill>
              </a:ln>
              <a:solidFill>
                <a:schemeClr val="bg1"/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531026461737635E-2"/>
          <c:y val="0.21009259259259258"/>
          <c:w val="0.94586192850203743"/>
          <c:h val="0.789907407407407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Table'!$L$3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0"/>
                    <a:lumOff val="100000"/>
                  </a:schemeClr>
                </a:gs>
                <a:gs pos="35000">
                  <a:schemeClr val="accent3">
                    <a:lumMod val="0"/>
                    <a:lumOff val="100000"/>
                  </a:schemeClr>
                </a:gs>
                <a:gs pos="100000">
                  <a:schemeClr val="accent3">
                    <a:lumMod val="100000"/>
                  </a:schemeClr>
                </a:gs>
              </a:gsLst>
              <a:path path="circle">
                <a:fillToRect l="50000" t="-80000" r="50000" b="180000"/>
              </a:path>
            </a:gradFill>
            <a:ln>
              <a:noFill/>
            </a:ln>
            <a:effectLst/>
          </c:spPr>
          <c:invertIfNegative val="0"/>
          <c:cat>
            <c:strRef>
              <c:f>'pivot Table'!$K$4:$K$21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Table'!$L$4:$L$21</c:f>
              <c:numCache>
                <c:formatCode>General</c:formatCode>
                <c:ptCount val="17"/>
                <c:pt idx="0">
                  <c:v>3774.6969999999997</c:v>
                </c:pt>
                <c:pt idx="1">
                  <c:v>400.99110000000019</c:v>
                </c:pt>
                <c:pt idx="2">
                  <c:v>1190.8152000000005</c:v>
                </c:pt>
                <c:pt idx="3">
                  <c:v>6233.8575999999985</c:v>
                </c:pt>
                <c:pt idx="4">
                  <c:v>-2280.2006999999999</c:v>
                </c:pt>
                <c:pt idx="5">
                  <c:v>3308.6780999999996</c:v>
                </c:pt>
                <c:pt idx="6">
                  <c:v>3036.9184</c:v>
                </c:pt>
                <c:pt idx="7">
                  <c:v>1138.8573999999999</c:v>
                </c:pt>
                <c:pt idx="8">
                  <c:v>165.39450000000005</c:v>
                </c:pt>
                <c:pt idx="9">
                  <c:v>2032.8772000000001</c:v>
                </c:pt>
                <c:pt idx="10">
                  <c:v>766.83530000000007</c:v>
                </c:pt>
                <c:pt idx="11">
                  <c:v>-952.92990000000123</c:v>
                </c:pt>
                <c:pt idx="12">
                  <c:v>4307.4476000000013</c:v>
                </c:pt>
                <c:pt idx="13">
                  <c:v>5839.2502000000004</c:v>
                </c:pt>
                <c:pt idx="14">
                  <c:v>3316.2445000000007</c:v>
                </c:pt>
                <c:pt idx="15">
                  <c:v>-188.0361</c:v>
                </c:pt>
                <c:pt idx="16">
                  <c:v>-7128.996900000001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6-4329-B727-5F331FF2D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00"/>
        <c:axId val="136035552"/>
        <c:axId val="1582523232"/>
      </c:barChart>
      <c:catAx>
        <c:axId val="13603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523232"/>
        <c:crosses val="autoZero"/>
        <c:auto val="1"/>
        <c:lblAlgn val="l"/>
        <c:lblOffset val="100"/>
        <c:noMultiLvlLbl val="0"/>
      </c:catAx>
      <c:valAx>
        <c:axId val="15825232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03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Analysis.xlsx]pivot Table!PivotTable5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rPr>
              <a:t>Category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ln>
                <a:solidFill>
                  <a:sysClr val="windowText" lastClr="000000"/>
                </a:solidFill>
              </a:ln>
              <a:solidFill>
                <a:schemeClr val="bg1"/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Table'!$N$4:$N$21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Table'!$O$4:$O$21</c:f>
              <c:numCache>
                <c:formatCode>General</c:formatCode>
                <c:ptCount val="17"/>
                <c:pt idx="0">
                  <c:v>3774.6969999999997</c:v>
                </c:pt>
                <c:pt idx="1">
                  <c:v>400.99110000000019</c:v>
                </c:pt>
                <c:pt idx="2">
                  <c:v>1190.8152000000005</c:v>
                </c:pt>
                <c:pt idx="3">
                  <c:v>6233.8575999999985</c:v>
                </c:pt>
                <c:pt idx="4">
                  <c:v>-2280.2006999999999</c:v>
                </c:pt>
                <c:pt idx="5">
                  <c:v>3308.6780999999996</c:v>
                </c:pt>
                <c:pt idx="6">
                  <c:v>3036.9184</c:v>
                </c:pt>
                <c:pt idx="7">
                  <c:v>1138.8573999999999</c:v>
                </c:pt>
                <c:pt idx="8">
                  <c:v>165.39450000000005</c:v>
                </c:pt>
                <c:pt idx="9">
                  <c:v>2032.8772000000001</c:v>
                </c:pt>
                <c:pt idx="10">
                  <c:v>766.83530000000007</c:v>
                </c:pt>
                <c:pt idx="11">
                  <c:v>-952.92990000000123</c:v>
                </c:pt>
                <c:pt idx="12">
                  <c:v>4307.4476000000013</c:v>
                </c:pt>
                <c:pt idx="13">
                  <c:v>5839.2502000000004</c:v>
                </c:pt>
                <c:pt idx="14">
                  <c:v>3316.2445000000007</c:v>
                </c:pt>
                <c:pt idx="15">
                  <c:v>-188.0361</c:v>
                </c:pt>
                <c:pt idx="16">
                  <c:v>-7128.996900000001</c:v>
                </c:pt>
              </c:numCache>
            </c:numRef>
          </c:val>
          <c:shape val="coneToMax"/>
          <c:extLst>
            <c:ext xmlns:c16="http://schemas.microsoft.com/office/drawing/2014/chart" uri="{C3380CC4-5D6E-409C-BE32-E72D297353CC}">
              <c16:uniqueId val="{00000000-A5F4-426D-B818-2A5847D4F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gapDepth val="20"/>
        <c:shape val="box"/>
        <c:axId val="1539316655"/>
        <c:axId val="1542788463"/>
        <c:axId val="0"/>
      </c:bar3DChart>
      <c:catAx>
        <c:axId val="153931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788463"/>
        <c:crosses val="autoZero"/>
        <c:auto val="1"/>
        <c:lblAlgn val="ctr"/>
        <c:lblOffset val="100"/>
        <c:noMultiLvlLbl val="0"/>
      </c:catAx>
      <c:valAx>
        <c:axId val="15427884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931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Analysis.xlsx]pivot Table!PivotTable5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rPr>
              <a:t>Category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ln>
                <a:solidFill>
                  <a:sysClr val="windowText" lastClr="000000"/>
                </a:solidFill>
              </a:ln>
              <a:solidFill>
                <a:schemeClr val="bg1"/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Table'!$N$4:$N$21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Table'!$O$4:$O$21</c:f>
              <c:numCache>
                <c:formatCode>General</c:formatCode>
                <c:ptCount val="17"/>
                <c:pt idx="0">
                  <c:v>3774.6969999999997</c:v>
                </c:pt>
                <c:pt idx="1">
                  <c:v>400.99110000000019</c:v>
                </c:pt>
                <c:pt idx="2">
                  <c:v>1190.8152000000005</c:v>
                </c:pt>
                <c:pt idx="3">
                  <c:v>6233.8575999999985</c:v>
                </c:pt>
                <c:pt idx="4">
                  <c:v>-2280.2006999999999</c:v>
                </c:pt>
                <c:pt idx="5">
                  <c:v>3308.6780999999996</c:v>
                </c:pt>
                <c:pt idx="6">
                  <c:v>3036.9184</c:v>
                </c:pt>
                <c:pt idx="7">
                  <c:v>1138.8573999999999</c:v>
                </c:pt>
                <c:pt idx="8">
                  <c:v>165.39450000000005</c:v>
                </c:pt>
                <c:pt idx="9">
                  <c:v>2032.8772000000001</c:v>
                </c:pt>
                <c:pt idx="10">
                  <c:v>766.83530000000007</c:v>
                </c:pt>
                <c:pt idx="11">
                  <c:v>-952.92990000000123</c:v>
                </c:pt>
                <c:pt idx="12">
                  <c:v>4307.4476000000013</c:v>
                </c:pt>
                <c:pt idx="13">
                  <c:v>5839.2502000000004</c:v>
                </c:pt>
                <c:pt idx="14">
                  <c:v>3316.2445000000007</c:v>
                </c:pt>
                <c:pt idx="15">
                  <c:v>-188.0361</c:v>
                </c:pt>
                <c:pt idx="16">
                  <c:v>-7128.996900000001</c:v>
                </c:pt>
              </c:numCache>
            </c:numRef>
          </c:val>
          <c:shape val="coneToMax"/>
          <c:extLst>
            <c:ext xmlns:c16="http://schemas.microsoft.com/office/drawing/2014/chart" uri="{C3380CC4-5D6E-409C-BE32-E72D297353CC}">
              <c16:uniqueId val="{00000000-CFF6-4BF8-AEEA-18CC4CF04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gapDepth val="20"/>
        <c:shape val="box"/>
        <c:axId val="1539316655"/>
        <c:axId val="1542788463"/>
        <c:axId val="0"/>
      </c:bar3DChart>
      <c:catAx>
        <c:axId val="153931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788463"/>
        <c:crosses val="autoZero"/>
        <c:auto val="1"/>
        <c:lblAlgn val="ctr"/>
        <c:lblOffset val="100"/>
        <c:noMultiLvlLbl val="0"/>
      </c:catAx>
      <c:valAx>
        <c:axId val="15427884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931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Analysis.xlsx]pivot Table!PivotTable6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rPr>
              <a:t>Category Vs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ln>
                <a:solidFill>
                  <a:sysClr val="windowText" lastClr="000000"/>
                </a:solidFill>
              </a:ln>
              <a:solidFill>
                <a:schemeClr val="bg1"/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Table'!$Q$4:$Q$21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Table'!$R$4:$R$21</c:f>
              <c:numCache>
                <c:formatCode>General</c:formatCode>
                <c:ptCount val="17"/>
                <c:pt idx="0">
                  <c:v>11788.610999999999</c:v>
                </c:pt>
                <c:pt idx="1">
                  <c:v>12341.072899999997</c:v>
                </c:pt>
                <c:pt idx="2">
                  <c:v>4375.9447999999975</c:v>
                </c:pt>
                <c:pt idx="3">
                  <c:v>17012.576400000002</c:v>
                </c:pt>
                <c:pt idx="4">
                  <c:v>17981.409799999998</c:v>
                </c:pt>
                <c:pt idx="5">
                  <c:v>41286.948900000003</c:v>
                </c:pt>
                <c:pt idx="6">
                  <c:v>4992.8615999999993</c:v>
                </c:pt>
                <c:pt idx="7">
                  <c:v>1701.1285999999996</c:v>
                </c:pt>
                <c:pt idx="8">
                  <c:v>312.22949999999997</c:v>
                </c:pt>
                <c:pt idx="9">
                  <c:v>10223.696800000003</c:v>
                </c:pt>
                <c:pt idx="10">
                  <c:v>874.92870000000005</c:v>
                </c:pt>
                <c:pt idx="11">
                  <c:v>32288.228899999995</c:v>
                </c:pt>
                <c:pt idx="12">
                  <c:v>5761.3943999999983</c:v>
                </c:pt>
                <c:pt idx="13">
                  <c:v>43143.845800000017</c:v>
                </c:pt>
                <c:pt idx="14">
                  <c:v>33497.559500000003</c:v>
                </c:pt>
                <c:pt idx="15">
                  <c:v>2886.3941</c:v>
                </c:pt>
                <c:pt idx="16">
                  <c:v>42368.796900000008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2841-4E27-B51A-1BB12D7EC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gapDepth val="0"/>
        <c:shape val="box"/>
        <c:axId val="961813695"/>
        <c:axId val="1864641807"/>
        <c:axId val="0"/>
      </c:bar3DChart>
      <c:catAx>
        <c:axId val="96181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641807"/>
        <c:crosses val="autoZero"/>
        <c:auto val="1"/>
        <c:lblAlgn val="ctr"/>
        <c:lblOffset val="100"/>
        <c:noMultiLvlLbl val="0"/>
      </c:catAx>
      <c:valAx>
        <c:axId val="1864641807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6181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Analysis.xlsx]pivot Table!PivotTable7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rPr>
              <a:t>City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ln>
                <a:solidFill>
                  <a:sysClr val="windowText" lastClr="000000"/>
                </a:solidFill>
              </a:ln>
              <a:solidFill>
                <a:schemeClr val="bg1"/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>
            <a:innerShdw blurRad="266700" dist="50800">
              <a:srgbClr val="FF0000">
                <a:alpha val="50000"/>
              </a:srgbClr>
            </a:innerShdw>
          </a:effectLst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Table'!$U$3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dPt>
            <c:idx val="119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  <a:effectLst>
                <a:innerShdw blurRad="266700" dist="50800">
                  <a:srgbClr val="FF0000">
                    <a:alpha val="50000"/>
                  </a:srgb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D647-40A2-B245-F204BB9B8B39}"/>
              </c:ext>
            </c:extLst>
          </c:dPt>
          <c:cat>
            <c:strRef>
              <c:f>'pivot Table'!$T$4:$T$328</c:f>
              <c:strCache>
                <c:ptCount val="324"/>
                <c:pt idx="0">
                  <c:v>Yucaipa</c:v>
                </c:pt>
                <c:pt idx="1">
                  <c:v>Yonkers</c:v>
                </c:pt>
                <c:pt idx="2">
                  <c:v>Woodstock</c:v>
                </c:pt>
                <c:pt idx="3">
                  <c:v>Wilson</c:v>
                </c:pt>
                <c:pt idx="4">
                  <c:v>Wilmington</c:v>
                </c:pt>
                <c:pt idx="5">
                  <c:v>Wichita</c:v>
                </c:pt>
                <c:pt idx="6">
                  <c:v>Whittier</c:v>
                </c:pt>
                <c:pt idx="7">
                  <c:v>Westminster</c:v>
                </c:pt>
                <c:pt idx="8">
                  <c:v>Westland</c:v>
                </c:pt>
                <c:pt idx="9">
                  <c:v>Westfield</c:v>
                </c:pt>
                <c:pt idx="10">
                  <c:v>West Palm Beach</c:v>
                </c:pt>
                <c:pt idx="11">
                  <c:v>West Jordan</c:v>
                </c:pt>
                <c:pt idx="12">
                  <c:v>West Allis</c:v>
                </c:pt>
                <c:pt idx="13">
                  <c:v>Waynesboro</c:v>
                </c:pt>
                <c:pt idx="14">
                  <c:v>Watertown</c:v>
                </c:pt>
                <c:pt idx="15">
                  <c:v>Waterbury</c:v>
                </c:pt>
                <c:pt idx="16">
                  <c:v>Washington</c:v>
                </c:pt>
                <c:pt idx="17">
                  <c:v>Warwick</c:v>
                </c:pt>
                <c:pt idx="18">
                  <c:v>Warner Robins</c:v>
                </c:pt>
                <c:pt idx="19">
                  <c:v>Virginia Beach</c:v>
                </c:pt>
                <c:pt idx="20">
                  <c:v>Vineland</c:v>
                </c:pt>
                <c:pt idx="21">
                  <c:v>Vancouver</c:v>
                </c:pt>
                <c:pt idx="22">
                  <c:v>Vallejo</c:v>
                </c:pt>
                <c:pt idx="23">
                  <c:v>Vacaville</c:v>
                </c:pt>
                <c:pt idx="24">
                  <c:v>Urbandale</c:v>
                </c:pt>
                <c:pt idx="25">
                  <c:v>Tyler</c:v>
                </c:pt>
                <c:pt idx="26">
                  <c:v>Tulsa</c:v>
                </c:pt>
                <c:pt idx="27">
                  <c:v>Tucson</c:v>
                </c:pt>
                <c:pt idx="28">
                  <c:v>Troy</c:v>
                </c:pt>
                <c:pt idx="29">
                  <c:v>Trenton</c:v>
                </c:pt>
                <c:pt idx="30">
                  <c:v>Toledo</c:v>
                </c:pt>
                <c:pt idx="31">
                  <c:v>Tigard</c:v>
                </c:pt>
                <c:pt idx="32">
                  <c:v>The Colony</c:v>
                </c:pt>
                <c:pt idx="33">
                  <c:v>Tempe</c:v>
                </c:pt>
                <c:pt idx="34">
                  <c:v>Taylor</c:v>
                </c:pt>
                <c:pt idx="35">
                  <c:v>Tampa</c:v>
                </c:pt>
                <c:pt idx="36">
                  <c:v>Tamarac</c:v>
                </c:pt>
                <c:pt idx="37">
                  <c:v>Tallahassee</c:v>
                </c:pt>
                <c:pt idx="38">
                  <c:v>Suffolk</c:v>
                </c:pt>
                <c:pt idx="39">
                  <c:v>Sterling Heights</c:v>
                </c:pt>
                <c:pt idx="40">
                  <c:v>Springfield</c:v>
                </c:pt>
                <c:pt idx="41">
                  <c:v>Spokane</c:v>
                </c:pt>
                <c:pt idx="42">
                  <c:v>Southaven</c:v>
                </c:pt>
                <c:pt idx="43">
                  <c:v>South Bend</c:v>
                </c:pt>
                <c:pt idx="44">
                  <c:v>Smyrna</c:v>
                </c:pt>
                <c:pt idx="45">
                  <c:v>Sioux Falls</c:v>
                </c:pt>
                <c:pt idx="46">
                  <c:v>Sierra Vista</c:v>
                </c:pt>
                <c:pt idx="47">
                  <c:v>Seattle</c:v>
                </c:pt>
                <c:pt idx="48">
                  <c:v>Scottsdale</c:v>
                </c:pt>
                <c:pt idx="49">
                  <c:v>Santa Barbara</c:v>
                </c:pt>
                <c:pt idx="50">
                  <c:v>Santa Ana</c:v>
                </c:pt>
                <c:pt idx="51">
                  <c:v>Sandy Springs</c:v>
                </c:pt>
                <c:pt idx="52">
                  <c:v>San Jose</c:v>
                </c:pt>
                <c:pt idx="53">
                  <c:v>San Gabriel</c:v>
                </c:pt>
                <c:pt idx="54">
                  <c:v>San Francisco</c:v>
                </c:pt>
                <c:pt idx="55">
                  <c:v>San Diego</c:v>
                </c:pt>
                <c:pt idx="56">
                  <c:v>San Antonio</c:v>
                </c:pt>
                <c:pt idx="57">
                  <c:v>Salem</c:v>
                </c:pt>
                <c:pt idx="58">
                  <c:v>Saint Petersburg</c:v>
                </c:pt>
                <c:pt idx="59">
                  <c:v>Saint Paul</c:v>
                </c:pt>
                <c:pt idx="60">
                  <c:v>Saint Cloud</c:v>
                </c:pt>
                <c:pt idx="61">
                  <c:v>Saint Charles</c:v>
                </c:pt>
                <c:pt idx="62">
                  <c:v>Saginaw</c:v>
                </c:pt>
                <c:pt idx="63">
                  <c:v>Sacramento</c:v>
                </c:pt>
                <c:pt idx="64">
                  <c:v>Royal Oak</c:v>
                </c:pt>
                <c:pt idx="65">
                  <c:v>Round Rock</c:v>
                </c:pt>
                <c:pt idx="66">
                  <c:v>Roswell</c:v>
                </c:pt>
                <c:pt idx="67">
                  <c:v>Roseville</c:v>
                </c:pt>
                <c:pt idx="68">
                  <c:v>Rockville</c:v>
                </c:pt>
                <c:pt idx="69">
                  <c:v>Rockford</c:v>
                </c:pt>
                <c:pt idx="70">
                  <c:v>Rock Hill</c:v>
                </c:pt>
                <c:pt idx="71">
                  <c:v>Rochester Hills</c:v>
                </c:pt>
                <c:pt idx="72">
                  <c:v>Rochester</c:v>
                </c:pt>
                <c:pt idx="73">
                  <c:v>Riverside</c:v>
                </c:pt>
                <c:pt idx="74">
                  <c:v>Richmond</c:v>
                </c:pt>
                <c:pt idx="75">
                  <c:v>Redwood City</c:v>
                </c:pt>
                <c:pt idx="76">
                  <c:v>Redlands</c:v>
                </c:pt>
                <c:pt idx="77">
                  <c:v>Rapid City</c:v>
                </c:pt>
                <c:pt idx="78">
                  <c:v>Rancho Cucamonga</c:v>
                </c:pt>
                <c:pt idx="79">
                  <c:v>Raleigh</c:v>
                </c:pt>
                <c:pt idx="80">
                  <c:v>Quincy</c:v>
                </c:pt>
                <c:pt idx="81">
                  <c:v>Pueblo</c:v>
                </c:pt>
                <c:pt idx="82">
                  <c:v>Provo</c:v>
                </c:pt>
                <c:pt idx="83">
                  <c:v>Providence</c:v>
                </c:pt>
                <c:pt idx="84">
                  <c:v>Portland</c:v>
                </c:pt>
                <c:pt idx="85">
                  <c:v>Portage</c:v>
                </c:pt>
                <c:pt idx="86">
                  <c:v>Pomona</c:v>
                </c:pt>
                <c:pt idx="87">
                  <c:v>Pocatello</c:v>
                </c:pt>
                <c:pt idx="88">
                  <c:v>Plantation</c:v>
                </c:pt>
                <c:pt idx="89">
                  <c:v>Plano</c:v>
                </c:pt>
                <c:pt idx="90">
                  <c:v>Plainfield</c:v>
                </c:pt>
                <c:pt idx="91">
                  <c:v>Pico Rivera</c:v>
                </c:pt>
                <c:pt idx="92">
                  <c:v>Phoenix</c:v>
                </c:pt>
                <c:pt idx="93">
                  <c:v>Philadelphia</c:v>
                </c:pt>
                <c:pt idx="94">
                  <c:v>Pharr</c:v>
                </c:pt>
                <c:pt idx="95">
                  <c:v>Peoria</c:v>
                </c:pt>
                <c:pt idx="96">
                  <c:v>Pembroke Pines</c:v>
                </c:pt>
                <c:pt idx="97">
                  <c:v>Paterson</c:v>
                </c:pt>
                <c:pt idx="98">
                  <c:v>Pasadena</c:v>
                </c:pt>
                <c:pt idx="99">
                  <c:v>Parma</c:v>
                </c:pt>
                <c:pt idx="100">
                  <c:v>Parker</c:v>
                </c:pt>
                <c:pt idx="101">
                  <c:v>Park Ridge</c:v>
                </c:pt>
                <c:pt idx="102">
                  <c:v>Palm Coast</c:v>
                </c:pt>
                <c:pt idx="103">
                  <c:v>Ormond Beach</c:v>
                </c:pt>
                <c:pt idx="104">
                  <c:v>Orlando</c:v>
                </c:pt>
                <c:pt idx="105">
                  <c:v>Orland Park</c:v>
                </c:pt>
                <c:pt idx="106">
                  <c:v>Orem</c:v>
                </c:pt>
                <c:pt idx="107">
                  <c:v>Omaha</c:v>
                </c:pt>
                <c:pt idx="108">
                  <c:v>Olympia</c:v>
                </c:pt>
                <c:pt idx="109">
                  <c:v>Oklahoma City</c:v>
                </c:pt>
                <c:pt idx="110">
                  <c:v>Odessa</c:v>
                </c:pt>
                <c:pt idx="111">
                  <c:v>Oceanside</c:v>
                </c:pt>
                <c:pt idx="112">
                  <c:v>Oakland</c:v>
                </c:pt>
                <c:pt idx="113">
                  <c:v>Norwich</c:v>
                </c:pt>
                <c:pt idx="114">
                  <c:v>North Miami</c:v>
                </c:pt>
                <c:pt idx="115">
                  <c:v>North Las Vegas</c:v>
                </c:pt>
                <c:pt idx="116">
                  <c:v>Niagara Falls</c:v>
                </c:pt>
                <c:pt idx="117">
                  <c:v>Newport News</c:v>
                </c:pt>
                <c:pt idx="118">
                  <c:v>Newark</c:v>
                </c:pt>
                <c:pt idx="119">
                  <c:v>New York City</c:v>
                </c:pt>
                <c:pt idx="120">
                  <c:v>New Rochelle</c:v>
                </c:pt>
                <c:pt idx="121">
                  <c:v>New Castle</c:v>
                </c:pt>
                <c:pt idx="122">
                  <c:v>New Brunswick</c:v>
                </c:pt>
                <c:pt idx="123">
                  <c:v>New Bedford</c:v>
                </c:pt>
                <c:pt idx="124">
                  <c:v>New Albany</c:v>
                </c:pt>
                <c:pt idx="125">
                  <c:v>Nashville</c:v>
                </c:pt>
                <c:pt idx="126">
                  <c:v>Naperville</c:v>
                </c:pt>
                <c:pt idx="127">
                  <c:v>Muskogee</c:v>
                </c:pt>
                <c:pt idx="128">
                  <c:v>Murrieta</c:v>
                </c:pt>
                <c:pt idx="129">
                  <c:v>Murray</c:v>
                </c:pt>
                <c:pt idx="130">
                  <c:v>Murfreesboro</c:v>
                </c:pt>
                <c:pt idx="131">
                  <c:v>Mount Vernon</c:v>
                </c:pt>
                <c:pt idx="132">
                  <c:v>Mount Pleasant</c:v>
                </c:pt>
                <c:pt idx="133">
                  <c:v>Morristown</c:v>
                </c:pt>
                <c:pt idx="134">
                  <c:v>Moreno Valley</c:v>
                </c:pt>
                <c:pt idx="135">
                  <c:v>Montgomery</c:v>
                </c:pt>
                <c:pt idx="136">
                  <c:v>Monroe</c:v>
                </c:pt>
                <c:pt idx="137">
                  <c:v>Mobile</c:v>
                </c:pt>
                <c:pt idx="138">
                  <c:v>Missoula</c:v>
                </c:pt>
                <c:pt idx="139">
                  <c:v>Mission Viejo</c:v>
                </c:pt>
                <c:pt idx="140">
                  <c:v>Mishawaka</c:v>
                </c:pt>
                <c:pt idx="141">
                  <c:v>Minneapolis</c:v>
                </c:pt>
                <c:pt idx="142">
                  <c:v>Milwaukee</c:v>
                </c:pt>
                <c:pt idx="143">
                  <c:v>Midland</c:v>
                </c:pt>
                <c:pt idx="144">
                  <c:v>Miami</c:v>
                </c:pt>
                <c:pt idx="145">
                  <c:v>Mesa</c:v>
                </c:pt>
                <c:pt idx="146">
                  <c:v>Meriden</c:v>
                </c:pt>
                <c:pt idx="147">
                  <c:v>Memphis</c:v>
                </c:pt>
                <c:pt idx="148">
                  <c:v>Melbourne</c:v>
                </c:pt>
                <c:pt idx="149">
                  <c:v>Medina</c:v>
                </c:pt>
                <c:pt idx="150">
                  <c:v>Medford</c:v>
                </c:pt>
                <c:pt idx="151">
                  <c:v>Mcallen</c:v>
                </c:pt>
                <c:pt idx="152">
                  <c:v>Marysville</c:v>
                </c:pt>
                <c:pt idx="153">
                  <c:v>Marion</c:v>
                </c:pt>
                <c:pt idx="154">
                  <c:v>Marietta</c:v>
                </c:pt>
                <c:pt idx="155">
                  <c:v>Margate</c:v>
                </c:pt>
                <c:pt idx="156">
                  <c:v>Maple Grove</c:v>
                </c:pt>
                <c:pt idx="157">
                  <c:v>Manteca</c:v>
                </c:pt>
                <c:pt idx="158">
                  <c:v>Manchester</c:v>
                </c:pt>
                <c:pt idx="159">
                  <c:v>Malden</c:v>
                </c:pt>
                <c:pt idx="160">
                  <c:v>Madison</c:v>
                </c:pt>
                <c:pt idx="161">
                  <c:v>Macon</c:v>
                </c:pt>
                <c:pt idx="162">
                  <c:v>Lowell</c:v>
                </c:pt>
                <c:pt idx="163">
                  <c:v>Louisville</c:v>
                </c:pt>
                <c:pt idx="164">
                  <c:v>Los Angeles</c:v>
                </c:pt>
                <c:pt idx="165">
                  <c:v>Lorain</c:v>
                </c:pt>
                <c:pt idx="166">
                  <c:v>Long Beach</c:v>
                </c:pt>
                <c:pt idx="167">
                  <c:v>Linden</c:v>
                </c:pt>
                <c:pt idx="168">
                  <c:v>Lincoln Park</c:v>
                </c:pt>
                <c:pt idx="169">
                  <c:v>Lewiston</c:v>
                </c:pt>
                <c:pt idx="170">
                  <c:v>Leominster</c:v>
                </c:pt>
                <c:pt idx="171">
                  <c:v>Lehi</c:v>
                </c:pt>
                <c:pt idx="172">
                  <c:v>Layton</c:v>
                </c:pt>
                <c:pt idx="173">
                  <c:v>Lawrence</c:v>
                </c:pt>
                <c:pt idx="174">
                  <c:v>Las Vegas</c:v>
                </c:pt>
                <c:pt idx="175">
                  <c:v>Las Cruces</c:v>
                </c:pt>
                <c:pt idx="176">
                  <c:v>Laredo</c:v>
                </c:pt>
                <c:pt idx="177">
                  <c:v>Lansing</c:v>
                </c:pt>
                <c:pt idx="178">
                  <c:v>Lancaster</c:v>
                </c:pt>
                <c:pt idx="179">
                  <c:v>Lakewood</c:v>
                </c:pt>
                <c:pt idx="180">
                  <c:v>Lakeville</c:v>
                </c:pt>
                <c:pt idx="181">
                  <c:v>Lakeland</c:v>
                </c:pt>
                <c:pt idx="182">
                  <c:v>Lake Charles</c:v>
                </c:pt>
                <c:pt idx="183">
                  <c:v>Lafayette</c:v>
                </c:pt>
                <c:pt idx="184">
                  <c:v>La Porte</c:v>
                </c:pt>
                <c:pt idx="185">
                  <c:v>Knoxville</c:v>
                </c:pt>
                <c:pt idx="186">
                  <c:v>Kent</c:v>
                </c:pt>
                <c:pt idx="187">
                  <c:v>Kenosha</c:v>
                </c:pt>
                <c:pt idx="188">
                  <c:v>Jonesboro</c:v>
                </c:pt>
                <c:pt idx="189">
                  <c:v>Johnson City</c:v>
                </c:pt>
                <c:pt idx="190">
                  <c:v>Jefferson City</c:v>
                </c:pt>
                <c:pt idx="191">
                  <c:v>Jamestown</c:v>
                </c:pt>
                <c:pt idx="192">
                  <c:v>Jacksonville</c:v>
                </c:pt>
                <c:pt idx="193">
                  <c:v>Jackson</c:v>
                </c:pt>
                <c:pt idx="194">
                  <c:v>Indianapolis</c:v>
                </c:pt>
                <c:pt idx="195">
                  <c:v>Independence</c:v>
                </c:pt>
                <c:pt idx="196">
                  <c:v>Huntsville</c:v>
                </c:pt>
                <c:pt idx="197">
                  <c:v>Huntington Beach</c:v>
                </c:pt>
                <c:pt idx="198">
                  <c:v>Houston</c:v>
                </c:pt>
                <c:pt idx="199">
                  <c:v>Hot Springs</c:v>
                </c:pt>
                <c:pt idx="200">
                  <c:v>Homestead</c:v>
                </c:pt>
                <c:pt idx="201">
                  <c:v>Holyoke</c:v>
                </c:pt>
                <c:pt idx="202">
                  <c:v>Hollywood</c:v>
                </c:pt>
                <c:pt idx="203">
                  <c:v>Holland</c:v>
                </c:pt>
                <c:pt idx="204">
                  <c:v>Highland Park</c:v>
                </c:pt>
                <c:pt idx="205">
                  <c:v>Hialeah</c:v>
                </c:pt>
                <c:pt idx="206">
                  <c:v>Hesperia</c:v>
                </c:pt>
                <c:pt idx="207">
                  <c:v>Henderson</c:v>
                </c:pt>
                <c:pt idx="208">
                  <c:v>Hattiesburg</c:v>
                </c:pt>
                <c:pt idx="209">
                  <c:v>Harrisonburg</c:v>
                </c:pt>
                <c:pt idx="210">
                  <c:v>Harlingen</c:v>
                </c:pt>
                <c:pt idx="211">
                  <c:v>Hampton</c:v>
                </c:pt>
                <c:pt idx="212">
                  <c:v>Hamilton</c:v>
                </c:pt>
                <c:pt idx="213">
                  <c:v>Hackensack</c:v>
                </c:pt>
                <c:pt idx="214">
                  <c:v>Gulfport</c:v>
                </c:pt>
                <c:pt idx="215">
                  <c:v>Grove City</c:v>
                </c:pt>
                <c:pt idx="216">
                  <c:v>Gresham</c:v>
                </c:pt>
                <c:pt idx="217">
                  <c:v>Greensboro</c:v>
                </c:pt>
                <c:pt idx="218">
                  <c:v>Green Bay</c:v>
                </c:pt>
                <c:pt idx="219">
                  <c:v>Great Falls</c:v>
                </c:pt>
                <c:pt idx="220">
                  <c:v>Grapevine</c:v>
                </c:pt>
                <c:pt idx="221">
                  <c:v>Grand Rapids</c:v>
                </c:pt>
                <c:pt idx="222">
                  <c:v>Grand Prairie</c:v>
                </c:pt>
                <c:pt idx="223">
                  <c:v>Glendale</c:v>
                </c:pt>
                <c:pt idx="224">
                  <c:v>Gladstone</c:v>
                </c:pt>
                <c:pt idx="225">
                  <c:v>Gilbert</c:v>
                </c:pt>
                <c:pt idx="226">
                  <c:v>Gastonia</c:v>
                </c:pt>
                <c:pt idx="227">
                  <c:v>Garden City</c:v>
                </c:pt>
                <c:pt idx="228">
                  <c:v>Fresno</c:v>
                </c:pt>
                <c:pt idx="229">
                  <c:v>Fremont</c:v>
                </c:pt>
                <c:pt idx="230">
                  <c:v>Freeport</c:v>
                </c:pt>
                <c:pt idx="231">
                  <c:v>Franklin</c:v>
                </c:pt>
                <c:pt idx="232">
                  <c:v>Fort Worth</c:v>
                </c:pt>
                <c:pt idx="233">
                  <c:v>Fort Lauderdale</c:v>
                </c:pt>
                <c:pt idx="234">
                  <c:v>Florence</c:v>
                </c:pt>
                <c:pt idx="235">
                  <c:v>Fayetteville</c:v>
                </c:pt>
                <c:pt idx="236">
                  <c:v>Farmington</c:v>
                </c:pt>
                <c:pt idx="237">
                  <c:v>Fairfield</c:v>
                </c:pt>
                <c:pt idx="238">
                  <c:v>Everett</c:v>
                </c:pt>
                <c:pt idx="239">
                  <c:v>Evanston</c:v>
                </c:pt>
                <c:pt idx="240">
                  <c:v>Escondido</c:v>
                </c:pt>
                <c:pt idx="241">
                  <c:v>Elmhurst</c:v>
                </c:pt>
                <c:pt idx="242">
                  <c:v>El Paso</c:v>
                </c:pt>
                <c:pt idx="243">
                  <c:v>Edmonds</c:v>
                </c:pt>
                <c:pt idx="244">
                  <c:v>Edmond</c:v>
                </c:pt>
                <c:pt idx="245">
                  <c:v>Eau Claire</c:v>
                </c:pt>
                <c:pt idx="246">
                  <c:v>Eagan</c:v>
                </c:pt>
                <c:pt idx="247">
                  <c:v>Durham</c:v>
                </c:pt>
                <c:pt idx="248">
                  <c:v>Dublin</c:v>
                </c:pt>
                <c:pt idx="249">
                  <c:v>Draper</c:v>
                </c:pt>
                <c:pt idx="250">
                  <c:v>Dover</c:v>
                </c:pt>
                <c:pt idx="251">
                  <c:v>Detroit</c:v>
                </c:pt>
                <c:pt idx="252">
                  <c:v>Des Plaines</c:v>
                </c:pt>
                <c:pt idx="253">
                  <c:v>Des Moines</c:v>
                </c:pt>
                <c:pt idx="254">
                  <c:v>Denver</c:v>
                </c:pt>
                <c:pt idx="255">
                  <c:v>Deltona</c:v>
                </c:pt>
                <c:pt idx="256">
                  <c:v>Deer Park</c:v>
                </c:pt>
                <c:pt idx="257">
                  <c:v>Decatur</c:v>
                </c:pt>
                <c:pt idx="258">
                  <c:v>Dearborn Heights</c:v>
                </c:pt>
                <c:pt idx="259">
                  <c:v>Dearborn</c:v>
                </c:pt>
                <c:pt idx="260">
                  <c:v>Davis</c:v>
                </c:pt>
                <c:pt idx="261">
                  <c:v>Dallas</c:v>
                </c:pt>
                <c:pt idx="262">
                  <c:v>Cuyahoga Falls</c:v>
                </c:pt>
                <c:pt idx="263">
                  <c:v>Cranston</c:v>
                </c:pt>
                <c:pt idx="264">
                  <c:v>Cottage Grove</c:v>
                </c:pt>
                <c:pt idx="265">
                  <c:v>Costa Mesa</c:v>
                </c:pt>
                <c:pt idx="266">
                  <c:v>Coral Springs</c:v>
                </c:pt>
                <c:pt idx="267">
                  <c:v>Conway</c:v>
                </c:pt>
                <c:pt idx="268">
                  <c:v>Concord</c:v>
                </c:pt>
                <c:pt idx="269">
                  <c:v>Columbus</c:v>
                </c:pt>
                <c:pt idx="270">
                  <c:v>Columbia</c:v>
                </c:pt>
                <c:pt idx="271">
                  <c:v>Colorado Springs</c:v>
                </c:pt>
                <c:pt idx="272">
                  <c:v>Coachella</c:v>
                </c:pt>
                <c:pt idx="273">
                  <c:v>Clinton</c:v>
                </c:pt>
                <c:pt idx="274">
                  <c:v>Cleveland</c:v>
                </c:pt>
                <c:pt idx="275">
                  <c:v>Cincinnati</c:v>
                </c:pt>
                <c:pt idx="276">
                  <c:v>Chula Vista</c:v>
                </c:pt>
                <c:pt idx="277">
                  <c:v>Chicago</c:v>
                </c:pt>
                <c:pt idx="278">
                  <c:v>Chester</c:v>
                </c:pt>
                <c:pt idx="279">
                  <c:v>Chesapeake</c:v>
                </c:pt>
                <c:pt idx="280">
                  <c:v>Charlotte</c:v>
                </c:pt>
                <c:pt idx="281">
                  <c:v>Cedar Rapids</c:v>
                </c:pt>
                <c:pt idx="282">
                  <c:v>Cary</c:v>
                </c:pt>
                <c:pt idx="283">
                  <c:v>Carrollton</c:v>
                </c:pt>
                <c:pt idx="284">
                  <c:v>Carol Stream</c:v>
                </c:pt>
                <c:pt idx="285">
                  <c:v>Carlsbad</c:v>
                </c:pt>
                <c:pt idx="286">
                  <c:v>Canton</c:v>
                </c:pt>
                <c:pt idx="287">
                  <c:v>Camarillo</c:v>
                </c:pt>
                <c:pt idx="288">
                  <c:v>Burlington</c:v>
                </c:pt>
                <c:pt idx="289">
                  <c:v>Buffalo Grove</c:v>
                </c:pt>
                <c:pt idx="290">
                  <c:v>Buffalo</c:v>
                </c:pt>
                <c:pt idx="291">
                  <c:v>Brownsville</c:v>
                </c:pt>
                <c:pt idx="292">
                  <c:v>Bristol</c:v>
                </c:pt>
                <c:pt idx="293">
                  <c:v>Brentwood</c:v>
                </c:pt>
                <c:pt idx="294">
                  <c:v>Bozeman</c:v>
                </c:pt>
                <c:pt idx="295">
                  <c:v>Boynton Beach</c:v>
                </c:pt>
                <c:pt idx="296">
                  <c:v>Bowling Green</c:v>
                </c:pt>
                <c:pt idx="297">
                  <c:v>Bossier City</c:v>
                </c:pt>
                <c:pt idx="298">
                  <c:v>Bolingbrook</c:v>
                </c:pt>
                <c:pt idx="299">
                  <c:v>Boise</c:v>
                </c:pt>
                <c:pt idx="300">
                  <c:v>Bloomington</c:v>
                </c:pt>
                <c:pt idx="301">
                  <c:v>Bellevue</c:v>
                </c:pt>
                <c:pt idx="302">
                  <c:v>Belleville</c:v>
                </c:pt>
                <c:pt idx="303">
                  <c:v>Baytown</c:v>
                </c:pt>
                <c:pt idx="304">
                  <c:v>Bartlett</c:v>
                </c:pt>
                <c:pt idx="305">
                  <c:v>Baltimore</c:v>
                </c:pt>
                <c:pt idx="306">
                  <c:v>Bakersfield</c:v>
                </c:pt>
                <c:pt idx="307">
                  <c:v>Avondale</c:v>
                </c:pt>
                <c:pt idx="308">
                  <c:v>Austin</c:v>
                </c:pt>
                <c:pt idx="309">
                  <c:v>Aurora</c:v>
                </c:pt>
                <c:pt idx="310">
                  <c:v>Auburn</c:v>
                </c:pt>
                <c:pt idx="311">
                  <c:v>Atlanta</c:v>
                </c:pt>
                <c:pt idx="312">
                  <c:v>Athens</c:v>
                </c:pt>
                <c:pt idx="313">
                  <c:v>Asheville</c:v>
                </c:pt>
                <c:pt idx="314">
                  <c:v>Arvada</c:v>
                </c:pt>
                <c:pt idx="315">
                  <c:v>Arlington</c:v>
                </c:pt>
                <c:pt idx="316">
                  <c:v>Appleton</c:v>
                </c:pt>
                <c:pt idx="317">
                  <c:v>Apopka</c:v>
                </c:pt>
                <c:pt idx="318">
                  <c:v>Antioch</c:v>
                </c:pt>
                <c:pt idx="319">
                  <c:v>Anaheim</c:v>
                </c:pt>
                <c:pt idx="320">
                  <c:v>Amarillo</c:v>
                </c:pt>
                <c:pt idx="321">
                  <c:v>Altoona</c:v>
                </c:pt>
                <c:pt idx="322">
                  <c:v>Alexandria</c:v>
                </c:pt>
                <c:pt idx="323">
                  <c:v>Akron</c:v>
                </c:pt>
              </c:strCache>
            </c:strRef>
          </c:cat>
          <c:val>
            <c:numRef>
              <c:f>'pivot Table'!$U$4:$U$328</c:f>
              <c:numCache>
                <c:formatCode>General</c:formatCode>
                <c:ptCount val="324"/>
                <c:pt idx="0">
                  <c:v>50.8</c:v>
                </c:pt>
                <c:pt idx="1">
                  <c:v>836.59199999999998</c:v>
                </c:pt>
                <c:pt idx="2">
                  <c:v>857.25000000000011</c:v>
                </c:pt>
                <c:pt idx="3">
                  <c:v>163.136</c:v>
                </c:pt>
                <c:pt idx="4">
                  <c:v>622.81999999999994</c:v>
                </c:pt>
                <c:pt idx="5">
                  <c:v>279.89999999999998</c:v>
                </c:pt>
                <c:pt idx="6">
                  <c:v>444.76799999999997</c:v>
                </c:pt>
                <c:pt idx="7">
                  <c:v>31.968</c:v>
                </c:pt>
                <c:pt idx="8">
                  <c:v>321.91000000000003</c:v>
                </c:pt>
                <c:pt idx="9">
                  <c:v>228.53</c:v>
                </c:pt>
                <c:pt idx="10">
                  <c:v>13.12</c:v>
                </c:pt>
                <c:pt idx="11">
                  <c:v>55.5</c:v>
                </c:pt>
                <c:pt idx="12">
                  <c:v>241.96</c:v>
                </c:pt>
                <c:pt idx="13">
                  <c:v>673.65</c:v>
                </c:pt>
                <c:pt idx="14">
                  <c:v>931.82999999999993</c:v>
                </c:pt>
                <c:pt idx="15">
                  <c:v>65.17</c:v>
                </c:pt>
                <c:pt idx="16">
                  <c:v>62.819999999999993</c:v>
                </c:pt>
                <c:pt idx="17">
                  <c:v>49.96</c:v>
                </c:pt>
                <c:pt idx="18">
                  <c:v>392.94</c:v>
                </c:pt>
                <c:pt idx="19">
                  <c:v>2726.89</c:v>
                </c:pt>
                <c:pt idx="20">
                  <c:v>244.006</c:v>
                </c:pt>
                <c:pt idx="21">
                  <c:v>68.460000000000008</c:v>
                </c:pt>
                <c:pt idx="22">
                  <c:v>1078.8</c:v>
                </c:pt>
                <c:pt idx="23">
                  <c:v>423.28</c:v>
                </c:pt>
                <c:pt idx="24">
                  <c:v>75.959999999999994</c:v>
                </c:pt>
                <c:pt idx="25">
                  <c:v>2.6880000000000002</c:v>
                </c:pt>
                <c:pt idx="26">
                  <c:v>69.930000000000007</c:v>
                </c:pt>
                <c:pt idx="27">
                  <c:v>700.12800000000004</c:v>
                </c:pt>
                <c:pt idx="28">
                  <c:v>272.73599999999999</c:v>
                </c:pt>
                <c:pt idx="29">
                  <c:v>608.04</c:v>
                </c:pt>
                <c:pt idx="30">
                  <c:v>306.57600000000002</c:v>
                </c:pt>
                <c:pt idx="31">
                  <c:v>15.552</c:v>
                </c:pt>
                <c:pt idx="32">
                  <c:v>59.752000000000002</c:v>
                </c:pt>
                <c:pt idx="33">
                  <c:v>318.66399999999999</c:v>
                </c:pt>
                <c:pt idx="34">
                  <c:v>51.739999999999995</c:v>
                </c:pt>
                <c:pt idx="35">
                  <c:v>549.53800000000001</c:v>
                </c:pt>
                <c:pt idx="36">
                  <c:v>254.05799999999999</c:v>
                </c:pt>
                <c:pt idx="37">
                  <c:v>5453.8679999999995</c:v>
                </c:pt>
                <c:pt idx="38">
                  <c:v>181.79</c:v>
                </c:pt>
                <c:pt idx="39">
                  <c:v>79.36</c:v>
                </c:pt>
                <c:pt idx="40">
                  <c:v>2131.96</c:v>
                </c:pt>
                <c:pt idx="41">
                  <c:v>1718.0880000000002</c:v>
                </c:pt>
                <c:pt idx="42">
                  <c:v>306.2</c:v>
                </c:pt>
                <c:pt idx="43">
                  <c:v>34.76</c:v>
                </c:pt>
                <c:pt idx="44">
                  <c:v>121.756</c:v>
                </c:pt>
                <c:pt idx="45">
                  <c:v>23.2</c:v>
                </c:pt>
                <c:pt idx="46">
                  <c:v>45.927999999999997</c:v>
                </c:pt>
                <c:pt idx="47">
                  <c:v>9474.7039999999979</c:v>
                </c:pt>
                <c:pt idx="48">
                  <c:v>190.26</c:v>
                </c:pt>
                <c:pt idx="49">
                  <c:v>1.81</c:v>
                </c:pt>
                <c:pt idx="50">
                  <c:v>18.28</c:v>
                </c:pt>
                <c:pt idx="51">
                  <c:v>17.239999999999998</c:v>
                </c:pt>
                <c:pt idx="52">
                  <c:v>387.7</c:v>
                </c:pt>
                <c:pt idx="53">
                  <c:v>303.25</c:v>
                </c:pt>
                <c:pt idx="54">
                  <c:v>18212.927</c:v>
                </c:pt>
                <c:pt idx="55">
                  <c:v>3196.277</c:v>
                </c:pt>
                <c:pt idx="56">
                  <c:v>1558.3620000000003</c:v>
                </c:pt>
                <c:pt idx="57">
                  <c:v>111.83200000000001</c:v>
                </c:pt>
                <c:pt idx="58">
                  <c:v>489.26400000000001</c:v>
                </c:pt>
                <c:pt idx="59">
                  <c:v>192.82999999999998</c:v>
                </c:pt>
                <c:pt idx="60">
                  <c:v>72</c:v>
                </c:pt>
                <c:pt idx="61">
                  <c:v>30.344000000000001</c:v>
                </c:pt>
                <c:pt idx="62">
                  <c:v>103.68</c:v>
                </c:pt>
                <c:pt idx="63">
                  <c:v>302.38400000000001</c:v>
                </c:pt>
                <c:pt idx="64">
                  <c:v>35.340000000000003</c:v>
                </c:pt>
                <c:pt idx="65">
                  <c:v>27.167999999999999</c:v>
                </c:pt>
                <c:pt idx="66">
                  <c:v>1413.75</c:v>
                </c:pt>
                <c:pt idx="67">
                  <c:v>28.02</c:v>
                </c:pt>
                <c:pt idx="68">
                  <c:v>191.94</c:v>
                </c:pt>
                <c:pt idx="69">
                  <c:v>254.60400000000001</c:v>
                </c:pt>
                <c:pt idx="70">
                  <c:v>11.85</c:v>
                </c:pt>
                <c:pt idx="71">
                  <c:v>132.52000000000001</c:v>
                </c:pt>
                <c:pt idx="72">
                  <c:v>781.40199999999993</c:v>
                </c:pt>
                <c:pt idx="73">
                  <c:v>1117.5480000000002</c:v>
                </c:pt>
                <c:pt idx="74">
                  <c:v>1676.18</c:v>
                </c:pt>
                <c:pt idx="75">
                  <c:v>41.904000000000003</c:v>
                </c:pt>
                <c:pt idx="76">
                  <c:v>34.26</c:v>
                </c:pt>
                <c:pt idx="77">
                  <c:v>10.68</c:v>
                </c:pt>
                <c:pt idx="78">
                  <c:v>44.64</c:v>
                </c:pt>
                <c:pt idx="79">
                  <c:v>1305.4560000000001</c:v>
                </c:pt>
                <c:pt idx="80">
                  <c:v>131.39599999999999</c:v>
                </c:pt>
                <c:pt idx="81">
                  <c:v>845.72799999999995</c:v>
                </c:pt>
                <c:pt idx="82">
                  <c:v>10.776</c:v>
                </c:pt>
                <c:pt idx="83">
                  <c:v>1945.62</c:v>
                </c:pt>
                <c:pt idx="84">
                  <c:v>592.44200000000001</c:v>
                </c:pt>
                <c:pt idx="85">
                  <c:v>16.28</c:v>
                </c:pt>
                <c:pt idx="86">
                  <c:v>585.56000000000006</c:v>
                </c:pt>
                <c:pt idx="87">
                  <c:v>355.36</c:v>
                </c:pt>
                <c:pt idx="88">
                  <c:v>8.6880000000000006</c:v>
                </c:pt>
                <c:pt idx="89">
                  <c:v>1000.4490000000001</c:v>
                </c:pt>
                <c:pt idx="90">
                  <c:v>2705.09</c:v>
                </c:pt>
                <c:pt idx="91">
                  <c:v>145.9</c:v>
                </c:pt>
                <c:pt idx="92">
                  <c:v>1273.7180000000001</c:v>
                </c:pt>
                <c:pt idx="93">
                  <c:v>13224.024000000005</c:v>
                </c:pt>
                <c:pt idx="94">
                  <c:v>727.29600000000005</c:v>
                </c:pt>
                <c:pt idx="95">
                  <c:v>387.452</c:v>
                </c:pt>
                <c:pt idx="96">
                  <c:v>375.45749999999998</c:v>
                </c:pt>
                <c:pt idx="97">
                  <c:v>281.97000000000003</c:v>
                </c:pt>
                <c:pt idx="98">
                  <c:v>749.01799999999992</c:v>
                </c:pt>
                <c:pt idx="99">
                  <c:v>183.37200000000001</c:v>
                </c:pt>
                <c:pt idx="100">
                  <c:v>22.62</c:v>
                </c:pt>
                <c:pt idx="101">
                  <c:v>398.6</c:v>
                </c:pt>
                <c:pt idx="102">
                  <c:v>31.882000000000001</c:v>
                </c:pt>
                <c:pt idx="103">
                  <c:v>2.8079999999999998</c:v>
                </c:pt>
                <c:pt idx="104">
                  <c:v>20.736000000000001</c:v>
                </c:pt>
                <c:pt idx="105">
                  <c:v>339.96</c:v>
                </c:pt>
                <c:pt idx="106">
                  <c:v>1104.4380000000001</c:v>
                </c:pt>
                <c:pt idx="107">
                  <c:v>33</c:v>
                </c:pt>
                <c:pt idx="108">
                  <c:v>201.56800000000001</c:v>
                </c:pt>
                <c:pt idx="109">
                  <c:v>1128.48</c:v>
                </c:pt>
                <c:pt idx="110">
                  <c:v>42.783999999999999</c:v>
                </c:pt>
                <c:pt idx="111">
                  <c:v>230.44</c:v>
                </c:pt>
                <c:pt idx="112">
                  <c:v>179.3</c:v>
                </c:pt>
                <c:pt idx="113">
                  <c:v>33.54</c:v>
                </c:pt>
                <c:pt idx="114">
                  <c:v>14.496</c:v>
                </c:pt>
                <c:pt idx="115">
                  <c:v>970.56400000000008</c:v>
                </c:pt>
                <c:pt idx="116">
                  <c:v>17.28</c:v>
                </c:pt>
                <c:pt idx="117">
                  <c:v>1609.03</c:v>
                </c:pt>
                <c:pt idx="118">
                  <c:v>1258.002</c:v>
                </c:pt>
                <c:pt idx="119">
                  <c:v>20337.599999999984</c:v>
                </c:pt>
                <c:pt idx="120">
                  <c:v>851.72199999999998</c:v>
                </c:pt>
                <c:pt idx="121">
                  <c:v>23.92</c:v>
                </c:pt>
                <c:pt idx="122">
                  <c:v>7.61</c:v>
                </c:pt>
                <c:pt idx="123">
                  <c:v>52.2</c:v>
                </c:pt>
                <c:pt idx="124">
                  <c:v>38.22</c:v>
                </c:pt>
                <c:pt idx="125">
                  <c:v>23.677</c:v>
                </c:pt>
                <c:pt idx="126">
                  <c:v>761.60299999999995</c:v>
                </c:pt>
                <c:pt idx="127">
                  <c:v>6.56</c:v>
                </c:pt>
                <c:pt idx="128">
                  <c:v>484.65</c:v>
                </c:pt>
                <c:pt idx="129">
                  <c:v>72.8</c:v>
                </c:pt>
                <c:pt idx="130">
                  <c:v>15.992000000000001</c:v>
                </c:pt>
                <c:pt idx="131">
                  <c:v>281.33999999999997</c:v>
                </c:pt>
                <c:pt idx="132">
                  <c:v>545.94000000000005</c:v>
                </c:pt>
                <c:pt idx="133">
                  <c:v>7.56</c:v>
                </c:pt>
                <c:pt idx="134">
                  <c:v>202.16</c:v>
                </c:pt>
                <c:pt idx="135">
                  <c:v>1255.92</c:v>
                </c:pt>
                <c:pt idx="136">
                  <c:v>578.58799999999997</c:v>
                </c:pt>
                <c:pt idx="137">
                  <c:v>70.98</c:v>
                </c:pt>
                <c:pt idx="138">
                  <c:v>487.98399999999998</c:v>
                </c:pt>
                <c:pt idx="139">
                  <c:v>621.06600000000003</c:v>
                </c:pt>
                <c:pt idx="140">
                  <c:v>647.84</c:v>
                </c:pt>
                <c:pt idx="141">
                  <c:v>394.74</c:v>
                </c:pt>
                <c:pt idx="142">
                  <c:v>2326.8200000000002</c:v>
                </c:pt>
                <c:pt idx="143">
                  <c:v>244.15199999999999</c:v>
                </c:pt>
                <c:pt idx="144">
                  <c:v>508.55200000000002</c:v>
                </c:pt>
                <c:pt idx="145">
                  <c:v>536.779</c:v>
                </c:pt>
                <c:pt idx="146">
                  <c:v>100.87</c:v>
                </c:pt>
                <c:pt idx="147">
                  <c:v>1291.6580000000001</c:v>
                </c:pt>
                <c:pt idx="148">
                  <c:v>95.616</c:v>
                </c:pt>
                <c:pt idx="149">
                  <c:v>23.68</c:v>
                </c:pt>
                <c:pt idx="150">
                  <c:v>32.896000000000001</c:v>
                </c:pt>
                <c:pt idx="151">
                  <c:v>32.144000000000005</c:v>
                </c:pt>
                <c:pt idx="152">
                  <c:v>8.82</c:v>
                </c:pt>
                <c:pt idx="153">
                  <c:v>485.94</c:v>
                </c:pt>
                <c:pt idx="154">
                  <c:v>5.64</c:v>
                </c:pt>
                <c:pt idx="155">
                  <c:v>15.552</c:v>
                </c:pt>
                <c:pt idx="156">
                  <c:v>735.98</c:v>
                </c:pt>
                <c:pt idx="157">
                  <c:v>314.55</c:v>
                </c:pt>
                <c:pt idx="158">
                  <c:v>28.96</c:v>
                </c:pt>
                <c:pt idx="159">
                  <c:v>39.68</c:v>
                </c:pt>
                <c:pt idx="160">
                  <c:v>665.88</c:v>
                </c:pt>
                <c:pt idx="161">
                  <c:v>91.69</c:v>
                </c:pt>
                <c:pt idx="162">
                  <c:v>721.8599999999999</c:v>
                </c:pt>
                <c:pt idx="163">
                  <c:v>589.09199999999987</c:v>
                </c:pt>
                <c:pt idx="164">
                  <c:v>14309.813999999998</c:v>
                </c:pt>
                <c:pt idx="165">
                  <c:v>59.082000000000001</c:v>
                </c:pt>
                <c:pt idx="166">
                  <c:v>1088.9679999999998</c:v>
                </c:pt>
                <c:pt idx="167">
                  <c:v>115.36</c:v>
                </c:pt>
                <c:pt idx="168">
                  <c:v>167.292</c:v>
                </c:pt>
                <c:pt idx="169">
                  <c:v>9.5839999999999996</c:v>
                </c:pt>
                <c:pt idx="170">
                  <c:v>3.15</c:v>
                </c:pt>
                <c:pt idx="171">
                  <c:v>16.776</c:v>
                </c:pt>
                <c:pt idx="172">
                  <c:v>4.96</c:v>
                </c:pt>
                <c:pt idx="173">
                  <c:v>532.54</c:v>
                </c:pt>
                <c:pt idx="174">
                  <c:v>115.872</c:v>
                </c:pt>
                <c:pt idx="175">
                  <c:v>90.49</c:v>
                </c:pt>
                <c:pt idx="176">
                  <c:v>22.327999999999999</c:v>
                </c:pt>
                <c:pt idx="177">
                  <c:v>953.03600000000006</c:v>
                </c:pt>
                <c:pt idx="178">
                  <c:v>441.64599999999996</c:v>
                </c:pt>
                <c:pt idx="179">
                  <c:v>9444.0220000000008</c:v>
                </c:pt>
                <c:pt idx="180">
                  <c:v>2286.52</c:v>
                </c:pt>
                <c:pt idx="181">
                  <c:v>1863.816</c:v>
                </c:pt>
                <c:pt idx="182">
                  <c:v>51.96</c:v>
                </c:pt>
                <c:pt idx="183">
                  <c:v>151.68</c:v>
                </c:pt>
                <c:pt idx="184">
                  <c:v>287.52</c:v>
                </c:pt>
                <c:pt idx="185">
                  <c:v>332.95799999999997</c:v>
                </c:pt>
                <c:pt idx="186">
                  <c:v>14.016</c:v>
                </c:pt>
                <c:pt idx="187">
                  <c:v>647.91000000000008</c:v>
                </c:pt>
                <c:pt idx="188">
                  <c:v>699.93</c:v>
                </c:pt>
                <c:pt idx="189">
                  <c:v>4.2240000000000002</c:v>
                </c:pt>
                <c:pt idx="190">
                  <c:v>86.62</c:v>
                </c:pt>
                <c:pt idx="191">
                  <c:v>4548.8100000000004</c:v>
                </c:pt>
                <c:pt idx="192">
                  <c:v>6874.0180000000009</c:v>
                </c:pt>
                <c:pt idx="193">
                  <c:v>2649.3799999999997</c:v>
                </c:pt>
                <c:pt idx="194">
                  <c:v>886.59</c:v>
                </c:pt>
                <c:pt idx="195">
                  <c:v>2417.37</c:v>
                </c:pt>
                <c:pt idx="196">
                  <c:v>2284.6167999999998</c:v>
                </c:pt>
                <c:pt idx="197">
                  <c:v>106.48</c:v>
                </c:pt>
                <c:pt idx="198">
                  <c:v>7633.9000000000024</c:v>
                </c:pt>
                <c:pt idx="199">
                  <c:v>59.989999999999995</c:v>
                </c:pt>
                <c:pt idx="200">
                  <c:v>85.224000000000004</c:v>
                </c:pt>
                <c:pt idx="201">
                  <c:v>301.95999999999998</c:v>
                </c:pt>
                <c:pt idx="202">
                  <c:v>91.36</c:v>
                </c:pt>
                <c:pt idx="203">
                  <c:v>20.440000000000001</c:v>
                </c:pt>
                <c:pt idx="204">
                  <c:v>37.463999999999999</c:v>
                </c:pt>
                <c:pt idx="205">
                  <c:v>1074.9679999999998</c:v>
                </c:pt>
                <c:pt idx="206">
                  <c:v>251.52</c:v>
                </c:pt>
                <c:pt idx="207">
                  <c:v>5994.8700000000008</c:v>
                </c:pt>
                <c:pt idx="208">
                  <c:v>425.28</c:v>
                </c:pt>
                <c:pt idx="209">
                  <c:v>1563.78</c:v>
                </c:pt>
                <c:pt idx="210">
                  <c:v>25.92</c:v>
                </c:pt>
                <c:pt idx="211">
                  <c:v>113.1</c:v>
                </c:pt>
                <c:pt idx="212">
                  <c:v>7.4080000000000004</c:v>
                </c:pt>
                <c:pt idx="213">
                  <c:v>264.74</c:v>
                </c:pt>
                <c:pt idx="214">
                  <c:v>80.05</c:v>
                </c:pt>
                <c:pt idx="215">
                  <c:v>119.94</c:v>
                </c:pt>
                <c:pt idx="216">
                  <c:v>403.16800000000001</c:v>
                </c:pt>
                <c:pt idx="217">
                  <c:v>7.6440000000000001</c:v>
                </c:pt>
                <c:pt idx="218">
                  <c:v>491.62</c:v>
                </c:pt>
                <c:pt idx="219">
                  <c:v>2999.95</c:v>
                </c:pt>
                <c:pt idx="220">
                  <c:v>33.488</c:v>
                </c:pt>
                <c:pt idx="221">
                  <c:v>44.290000000000006</c:v>
                </c:pt>
                <c:pt idx="222">
                  <c:v>52.839999999999996</c:v>
                </c:pt>
                <c:pt idx="223">
                  <c:v>1066.982</c:v>
                </c:pt>
                <c:pt idx="224">
                  <c:v>126.3</c:v>
                </c:pt>
                <c:pt idx="225">
                  <c:v>1446.6</c:v>
                </c:pt>
                <c:pt idx="226">
                  <c:v>189.58799999999999</c:v>
                </c:pt>
                <c:pt idx="227">
                  <c:v>257.98</c:v>
                </c:pt>
                <c:pt idx="228">
                  <c:v>1331.1579999999999</c:v>
                </c:pt>
                <c:pt idx="229">
                  <c:v>124.31</c:v>
                </c:pt>
                <c:pt idx="230">
                  <c:v>47.82</c:v>
                </c:pt>
                <c:pt idx="231">
                  <c:v>2109.7359999999999</c:v>
                </c:pt>
                <c:pt idx="232">
                  <c:v>158.36199999999999</c:v>
                </c:pt>
                <c:pt idx="233">
                  <c:v>1487.6255000000001</c:v>
                </c:pt>
                <c:pt idx="234">
                  <c:v>314.44</c:v>
                </c:pt>
                <c:pt idx="235">
                  <c:v>235.78400000000002</c:v>
                </c:pt>
                <c:pt idx="236">
                  <c:v>705.84</c:v>
                </c:pt>
                <c:pt idx="237">
                  <c:v>1494.5859999999998</c:v>
                </c:pt>
                <c:pt idx="238">
                  <c:v>589.9</c:v>
                </c:pt>
                <c:pt idx="239">
                  <c:v>270.27100000000002</c:v>
                </c:pt>
                <c:pt idx="240">
                  <c:v>53.94</c:v>
                </c:pt>
                <c:pt idx="241">
                  <c:v>230.376</c:v>
                </c:pt>
                <c:pt idx="242">
                  <c:v>757.21199999999999</c:v>
                </c:pt>
                <c:pt idx="243">
                  <c:v>191.49</c:v>
                </c:pt>
                <c:pt idx="244">
                  <c:v>14.62</c:v>
                </c:pt>
                <c:pt idx="245">
                  <c:v>287.32</c:v>
                </c:pt>
                <c:pt idx="246">
                  <c:v>45.98</c:v>
                </c:pt>
                <c:pt idx="247">
                  <c:v>262.55200000000002</c:v>
                </c:pt>
                <c:pt idx="248">
                  <c:v>1053.934</c:v>
                </c:pt>
                <c:pt idx="249">
                  <c:v>111.93</c:v>
                </c:pt>
                <c:pt idx="250">
                  <c:v>336.05999999999995</c:v>
                </c:pt>
                <c:pt idx="251">
                  <c:v>10210.641999999998</c:v>
                </c:pt>
                <c:pt idx="252">
                  <c:v>383.84</c:v>
                </c:pt>
                <c:pt idx="253">
                  <c:v>360.51199999999994</c:v>
                </c:pt>
                <c:pt idx="254">
                  <c:v>3401.7820000000002</c:v>
                </c:pt>
                <c:pt idx="255">
                  <c:v>683.89599999999996</c:v>
                </c:pt>
                <c:pt idx="256">
                  <c:v>6.9240000000000004</c:v>
                </c:pt>
                <c:pt idx="257">
                  <c:v>272.69599999999997</c:v>
                </c:pt>
                <c:pt idx="258">
                  <c:v>180.98</c:v>
                </c:pt>
                <c:pt idx="259">
                  <c:v>301.95999999999998</c:v>
                </c:pt>
                <c:pt idx="260">
                  <c:v>32.4</c:v>
                </c:pt>
                <c:pt idx="261">
                  <c:v>2440.5040000000004</c:v>
                </c:pt>
                <c:pt idx="262">
                  <c:v>8.3520000000000003</c:v>
                </c:pt>
                <c:pt idx="263">
                  <c:v>49.25</c:v>
                </c:pt>
                <c:pt idx="264">
                  <c:v>24.56</c:v>
                </c:pt>
                <c:pt idx="265">
                  <c:v>451.54599999999999</c:v>
                </c:pt>
                <c:pt idx="266">
                  <c:v>22.544</c:v>
                </c:pt>
                <c:pt idx="267">
                  <c:v>301.95999999999998</c:v>
                </c:pt>
                <c:pt idx="268">
                  <c:v>4828.68</c:v>
                </c:pt>
                <c:pt idx="269">
                  <c:v>3322.4459999999995</c:v>
                </c:pt>
                <c:pt idx="270">
                  <c:v>4569.6880000000001</c:v>
                </c:pt>
                <c:pt idx="271">
                  <c:v>630.98599999999999</c:v>
                </c:pt>
                <c:pt idx="272">
                  <c:v>63.56</c:v>
                </c:pt>
                <c:pt idx="273">
                  <c:v>76.97</c:v>
                </c:pt>
                <c:pt idx="274">
                  <c:v>1985.7579999999998</c:v>
                </c:pt>
                <c:pt idx="275">
                  <c:v>66.661000000000001</c:v>
                </c:pt>
                <c:pt idx="276">
                  <c:v>665.88</c:v>
                </c:pt>
                <c:pt idx="277">
                  <c:v>10087.776000000002</c:v>
                </c:pt>
                <c:pt idx="278">
                  <c:v>373.57799999999997</c:v>
                </c:pt>
                <c:pt idx="279">
                  <c:v>249.45</c:v>
                </c:pt>
                <c:pt idx="280">
                  <c:v>1929.1779999999999</c:v>
                </c:pt>
                <c:pt idx="281">
                  <c:v>278.39999999999998</c:v>
                </c:pt>
                <c:pt idx="282">
                  <c:v>8.3759999999999994</c:v>
                </c:pt>
                <c:pt idx="283">
                  <c:v>1543.816</c:v>
                </c:pt>
                <c:pt idx="284">
                  <c:v>408.42200000000003</c:v>
                </c:pt>
                <c:pt idx="285">
                  <c:v>28.4</c:v>
                </c:pt>
                <c:pt idx="286">
                  <c:v>28.4</c:v>
                </c:pt>
                <c:pt idx="287">
                  <c:v>509.95749999999998</c:v>
                </c:pt>
                <c:pt idx="288">
                  <c:v>8025.7</c:v>
                </c:pt>
                <c:pt idx="289">
                  <c:v>475.94400000000002</c:v>
                </c:pt>
                <c:pt idx="290">
                  <c:v>2421.6899999999996</c:v>
                </c:pt>
                <c:pt idx="291">
                  <c:v>1.744</c:v>
                </c:pt>
                <c:pt idx="292">
                  <c:v>433.79400000000004</c:v>
                </c:pt>
                <c:pt idx="293">
                  <c:v>400.78</c:v>
                </c:pt>
                <c:pt idx="294">
                  <c:v>29.04</c:v>
                </c:pt>
                <c:pt idx="295">
                  <c:v>63.503999999999998</c:v>
                </c:pt>
                <c:pt idx="296">
                  <c:v>405.13</c:v>
                </c:pt>
                <c:pt idx="297">
                  <c:v>11.36</c:v>
                </c:pt>
                <c:pt idx="298">
                  <c:v>9.98</c:v>
                </c:pt>
                <c:pt idx="299">
                  <c:v>3.3039999999999998</c:v>
                </c:pt>
                <c:pt idx="300">
                  <c:v>622.87600000000009</c:v>
                </c:pt>
                <c:pt idx="301">
                  <c:v>20.239999999999998</c:v>
                </c:pt>
                <c:pt idx="302">
                  <c:v>272.37</c:v>
                </c:pt>
                <c:pt idx="303">
                  <c:v>10.368</c:v>
                </c:pt>
                <c:pt idx="304">
                  <c:v>88.96</c:v>
                </c:pt>
                <c:pt idx="305">
                  <c:v>106.27</c:v>
                </c:pt>
                <c:pt idx="306">
                  <c:v>200.25</c:v>
                </c:pt>
                <c:pt idx="307">
                  <c:v>742.33600000000001</c:v>
                </c:pt>
                <c:pt idx="308">
                  <c:v>1572.7739999999999</c:v>
                </c:pt>
                <c:pt idx="309">
                  <c:v>2949.1419999999998</c:v>
                </c:pt>
                <c:pt idx="310">
                  <c:v>1118.08</c:v>
                </c:pt>
                <c:pt idx="311">
                  <c:v>2623.85</c:v>
                </c:pt>
                <c:pt idx="312">
                  <c:v>27.509999999999998</c:v>
                </c:pt>
                <c:pt idx="313">
                  <c:v>1371.8320000000001</c:v>
                </c:pt>
                <c:pt idx="314">
                  <c:v>15.135999999999999</c:v>
                </c:pt>
                <c:pt idx="315">
                  <c:v>3024.0920000000006</c:v>
                </c:pt>
                <c:pt idx="316">
                  <c:v>21.56</c:v>
                </c:pt>
                <c:pt idx="317">
                  <c:v>17.271999999999998</c:v>
                </c:pt>
                <c:pt idx="318">
                  <c:v>19.440000000000001</c:v>
                </c:pt>
                <c:pt idx="319">
                  <c:v>1769.356</c:v>
                </c:pt>
                <c:pt idx="320">
                  <c:v>799.45680000000004</c:v>
                </c:pt>
                <c:pt idx="321">
                  <c:v>4.4189999999999996</c:v>
                </c:pt>
                <c:pt idx="322">
                  <c:v>87.38</c:v>
                </c:pt>
                <c:pt idx="323">
                  <c:v>314.36399999999992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7-40A2-B245-F204BB9B8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5047280"/>
        <c:axId val="638944432"/>
      </c:barChart>
      <c:catAx>
        <c:axId val="755047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cap="all" baseline="0">
                <a:solidFill>
                  <a:schemeClr val="bg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638944432"/>
        <c:crosses val="autoZero"/>
        <c:auto val="1"/>
        <c:lblAlgn val="ctr"/>
        <c:lblOffset val="100"/>
        <c:noMultiLvlLbl val="0"/>
      </c:catAx>
      <c:valAx>
        <c:axId val="638944432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>
              <a:outerShdw blurRad="50800" dist="50800" dir="5400000" algn="ctr" rotWithShape="0">
                <a:schemeClr val="accent1"/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crossAx val="755047280"/>
        <c:crosses val="autoZero"/>
        <c:crossBetween val="between"/>
      </c:valAx>
      <c:spPr>
        <a:noFill/>
        <a:ln w="47625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Analysis.xlsx]pivot Table!PivotTable8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rPr>
              <a:t>City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ln>
                <a:solidFill>
                  <a:sysClr val="windowText" lastClr="000000"/>
                </a:solidFill>
              </a:ln>
              <a:solidFill>
                <a:schemeClr val="bg1"/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1122112211221122E-2"/>
          <c:y val="5.3663570691434466E-2"/>
          <c:w val="0.9722607000857566"/>
          <c:h val="0.94633634210357853"/>
        </c:manualLayout>
      </c:layout>
      <c:areaChart>
        <c:grouping val="stacked"/>
        <c:varyColors val="0"/>
        <c:ser>
          <c:idx val="0"/>
          <c:order val="0"/>
          <c:tx>
            <c:strRef>
              <c:f>'pivot Table'!$X$3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cat>
            <c:strRef>
              <c:f>'pivot Table'!$W$4:$W$328</c:f>
              <c:strCache>
                <c:ptCount val="324"/>
                <c:pt idx="0">
                  <c:v>Yucaipa</c:v>
                </c:pt>
                <c:pt idx="1">
                  <c:v>Yonkers</c:v>
                </c:pt>
                <c:pt idx="2">
                  <c:v>Woodstock</c:v>
                </c:pt>
                <c:pt idx="3">
                  <c:v>Wilson</c:v>
                </c:pt>
                <c:pt idx="4">
                  <c:v>Wilmington</c:v>
                </c:pt>
                <c:pt idx="5">
                  <c:v>Wichita</c:v>
                </c:pt>
                <c:pt idx="6">
                  <c:v>Whittier</c:v>
                </c:pt>
                <c:pt idx="7">
                  <c:v>Westminster</c:v>
                </c:pt>
                <c:pt idx="8">
                  <c:v>Westland</c:v>
                </c:pt>
                <c:pt idx="9">
                  <c:v>Westfield</c:v>
                </c:pt>
                <c:pt idx="10">
                  <c:v>West Palm Beach</c:v>
                </c:pt>
                <c:pt idx="11">
                  <c:v>West Jordan</c:v>
                </c:pt>
                <c:pt idx="12">
                  <c:v>West Allis</c:v>
                </c:pt>
                <c:pt idx="13">
                  <c:v>Waynesboro</c:v>
                </c:pt>
                <c:pt idx="14">
                  <c:v>Watertown</c:v>
                </c:pt>
                <c:pt idx="15">
                  <c:v>Waterbury</c:v>
                </c:pt>
                <c:pt idx="16">
                  <c:v>Washington</c:v>
                </c:pt>
                <c:pt idx="17">
                  <c:v>Warwick</c:v>
                </c:pt>
                <c:pt idx="18">
                  <c:v>Warner Robins</c:v>
                </c:pt>
                <c:pt idx="19">
                  <c:v>Virginia Beach</c:v>
                </c:pt>
                <c:pt idx="20">
                  <c:v>Vineland</c:v>
                </c:pt>
                <c:pt idx="21">
                  <c:v>Vancouver</c:v>
                </c:pt>
                <c:pt idx="22">
                  <c:v>Vallejo</c:v>
                </c:pt>
                <c:pt idx="23">
                  <c:v>Vacaville</c:v>
                </c:pt>
                <c:pt idx="24">
                  <c:v>Urbandale</c:v>
                </c:pt>
                <c:pt idx="25">
                  <c:v>Tyler</c:v>
                </c:pt>
                <c:pt idx="26">
                  <c:v>Tulsa</c:v>
                </c:pt>
                <c:pt idx="27">
                  <c:v>Tucson</c:v>
                </c:pt>
                <c:pt idx="28">
                  <c:v>Troy</c:v>
                </c:pt>
                <c:pt idx="29">
                  <c:v>Trenton</c:v>
                </c:pt>
                <c:pt idx="30">
                  <c:v>Toledo</c:v>
                </c:pt>
                <c:pt idx="31">
                  <c:v>Tigard</c:v>
                </c:pt>
                <c:pt idx="32">
                  <c:v>The Colony</c:v>
                </c:pt>
                <c:pt idx="33">
                  <c:v>Tempe</c:v>
                </c:pt>
                <c:pt idx="34">
                  <c:v>Taylor</c:v>
                </c:pt>
                <c:pt idx="35">
                  <c:v>Tampa</c:v>
                </c:pt>
                <c:pt idx="36">
                  <c:v>Tamarac</c:v>
                </c:pt>
                <c:pt idx="37">
                  <c:v>Tallahassee</c:v>
                </c:pt>
                <c:pt idx="38">
                  <c:v>Suffolk</c:v>
                </c:pt>
                <c:pt idx="39">
                  <c:v>Sterling Heights</c:v>
                </c:pt>
                <c:pt idx="40">
                  <c:v>Springfield</c:v>
                </c:pt>
                <c:pt idx="41">
                  <c:v>Spokane</c:v>
                </c:pt>
                <c:pt idx="42">
                  <c:v>Southaven</c:v>
                </c:pt>
                <c:pt idx="43">
                  <c:v>South Bend</c:v>
                </c:pt>
                <c:pt idx="44">
                  <c:v>Smyrna</c:v>
                </c:pt>
                <c:pt idx="45">
                  <c:v>Sioux Falls</c:v>
                </c:pt>
                <c:pt idx="46">
                  <c:v>Sierra Vista</c:v>
                </c:pt>
                <c:pt idx="47">
                  <c:v>Seattle</c:v>
                </c:pt>
                <c:pt idx="48">
                  <c:v>Scottsdale</c:v>
                </c:pt>
                <c:pt idx="49">
                  <c:v>Santa Barbara</c:v>
                </c:pt>
                <c:pt idx="50">
                  <c:v>Santa Ana</c:v>
                </c:pt>
                <c:pt idx="51">
                  <c:v>Sandy Springs</c:v>
                </c:pt>
                <c:pt idx="52">
                  <c:v>San Jose</c:v>
                </c:pt>
                <c:pt idx="53">
                  <c:v>San Gabriel</c:v>
                </c:pt>
                <c:pt idx="54">
                  <c:v>San Francisco</c:v>
                </c:pt>
                <c:pt idx="55">
                  <c:v>San Diego</c:v>
                </c:pt>
                <c:pt idx="56">
                  <c:v>San Antonio</c:v>
                </c:pt>
                <c:pt idx="57">
                  <c:v>Salem</c:v>
                </c:pt>
                <c:pt idx="58">
                  <c:v>Saint Petersburg</c:v>
                </c:pt>
                <c:pt idx="59">
                  <c:v>Saint Paul</c:v>
                </c:pt>
                <c:pt idx="60">
                  <c:v>Saint Cloud</c:v>
                </c:pt>
                <c:pt idx="61">
                  <c:v>Saint Charles</c:v>
                </c:pt>
                <c:pt idx="62">
                  <c:v>Saginaw</c:v>
                </c:pt>
                <c:pt idx="63">
                  <c:v>Sacramento</c:v>
                </c:pt>
                <c:pt idx="64">
                  <c:v>Royal Oak</c:v>
                </c:pt>
                <c:pt idx="65">
                  <c:v>Round Rock</c:v>
                </c:pt>
                <c:pt idx="66">
                  <c:v>Roswell</c:v>
                </c:pt>
                <c:pt idx="67">
                  <c:v>Roseville</c:v>
                </c:pt>
                <c:pt idx="68">
                  <c:v>Rockville</c:v>
                </c:pt>
                <c:pt idx="69">
                  <c:v>Rockford</c:v>
                </c:pt>
                <c:pt idx="70">
                  <c:v>Rock Hill</c:v>
                </c:pt>
                <c:pt idx="71">
                  <c:v>Rochester Hills</c:v>
                </c:pt>
                <c:pt idx="72">
                  <c:v>Rochester</c:v>
                </c:pt>
                <c:pt idx="73">
                  <c:v>Riverside</c:v>
                </c:pt>
                <c:pt idx="74">
                  <c:v>Richmond</c:v>
                </c:pt>
                <c:pt idx="75">
                  <c:v>Redwood City</c:v>
                </c:pt>
                <c:pt idx="76">
                  <c:v>Redlands</c:v>
                </c:pt>
                <c:pt idx="77">
                  <c:v>Rapid City</c:v>
                </c:pt>
                <c:pt idx="78">
                  <c:v>Rancho Cucamonga</c:v>
                </c:pt>
                <c:pt idx="79">
                  <c:v>Raleigh</c:v>
                </c:pt>
                <c:pt idx="80">
                  <c:v>Quincy</c:v>
                </c:pt>
                <c:pt idx="81">
                  <c:v>Pueblo</c:v>
                </c:pt>
                <c:pt idx="82">
                  <c:v>Provo</c:v>
                </c:pt>
                <c:pt idx="83">
                  <c:v>Providence</c:v>
                </c:pt>
                <c:pt idx="84">
                  <c:v>Portland</c:v>
                </c:pt>
                <c:pt idx="85">
                  <c:v>Portage</c:v>
                </c:pt>
                <c:pt idx="86">
                  <c:v>Pomona</c:v>
                </c:pt>
                <c:pt idx="87">
                  <c:v>Pocatello</c:v>
                </c:pt>
                <c:pt idx="88">
                  <c:v>Plantation</c:v>
                </c:pt>
                <c:pt idx="89">
                  <c:v>Plano</c:v>
                </c:pt>
                <c:pt idx="90">
                  <c:v>Plainfield</c:v>
                </c:pt>
                <c:pt idx="91">
                  <c:v>Pico Rivera</c:v>
                </c:pt>
                <c:pt idx="92">
                  <c:v>Phoenix</c:v>
                </c:pt>
                <c:pt idx="93">
                  <c:v>Philadelphia</c:v>
                </c:pt>
                <c:pt idx="94">
                  <c:v>Pharr</c:v>
                </c:pt>
                <c:pt idx="95">
                  <c:v>Peoria</c:v>
                </c:pt>
                <c:pt idx="96">
                  <c:v>Pembroke Pines</c:v>
                </c:pt>
                <c:pt idx="97">
                  <c:v>Paterson</c:v>
                </c:pt>
                <c:pt idx="98">
                  <c:v>Pasadena</c:v>
                </c:pt>
                <c:pt idx="99">
                  <c:v>Parma</c:v>
                </c:pt>
                <c:pt idx="100">
                  <c:v>Parker</c:v>
                </c:pt>
                <c:pt idx="101">
                  <c:v>Park Ridge</c:v>
                </c:pt>
                <c:pt idx="102">
                  <c:v>Palm Coast</c:v>
                </c:pt>
                <c:pt idx="103">
                  <c:v>Ormond Beach</c:v>
                </c:pt>
                <c:pt idx="104">
                  <c:v>Orlando</c:v>
                </c:pt>
                <c:pt idx="105">
                  <c:v>Orland Park</c:v>
                </c:pt>
                <c:pt idx="106">
                  <c:v>Orem</c:v>
                </c:pt>
                <c:pt idx="107">
                  <c:v>Omaha</c:v>
                </c:pt>
                <c:pt idx="108">
                  <c:v>Olympia</c:v>
                </c:pt>
                <c:pt idx="109">
                  <c:v>Oklahoma City</c:v>
                </c:pt>
                <c:pt idx="110">
                  <c:v>Odessa</c:v>
                </c:pt>
                <c:pt idx="111">
                  <c:v>Oceanside</c:v>
                </c:pt>
                <c:pt idx="112">
                  <c:v>Oakland</c:v>
                </c:pt>
                <c:pt idx="113">
                  <c:v>Norwich</c:v>
                </c:pt>
                <c:pt idx="114">
                  <c:v>North Miami</c:v>
                </c:pt>
                <c:pt idx="115">
                  <c:v>North Las Vegas</c:v>
                </c:pt>
                <c:pt idx="116">
                  <c:v>Niagara Falls</c:v>
                </c:pt>
                <c:pt idx="117">
                  <c:v>Newport News</c:v>
                </c:pt>
                <c:pt idx="118">
                  <c:v>Newark</c:v>
                </c:pt>
                <c:pt idx="119">
                  <c:v>New York City</c:v>
                </c:pt>
                <c:pt idx="120">
                  <c:v>New Rochelle</c:v>
                </c:pt>
                <c:pt idx="121">
                  <c:v>New Castle</c:v>
                </c:pt>
                <c:pt idx="122">
                  <c:v>New Brunswick</c:v>
                </c:pt>
                <c:pt idx="123">
                  <c:v>New Bedford</c:v>
                </c:pt>
                <c:pt idx="124">
                  <c:v>New Albany</c:v>
                </c:pt>
                <c:pt idx="125">
                  <c:v>Nashville</c:v>
                </c:pt>
                <c:pt idx="126">
                  <c:v>Naperville</c:v>
                </c:pt>
                <c:pt idx="127">
                  <c:v>Muskogee</c:v>
                </c:pt>
                <c:pt idx="128">
                  <c:v>Murrieta</c:v>
                </c:pt>
                <c:pt idx="129">
                  <c:v>Murray</c:v>
                </c:pt>
                <c:pt idx="130">
                  <c:v>Murfreesboro</c:v>
                </c:pt>
                <c:pt idx="131">
                  <c:v>Mount Vernon</c:v>
                </c:pt>
                <c:pt idx="132">
                  <c:v>Mount Pleasant</c:v>
                </c:pt>
                <c:pt idx="133">
                  <c:v>Morristown</c:v>
                </c:pt>
                <c:pt idx="134">
                  <c:v>Moreno Valley</c:v>
                </c:pt>
                <c:pt idx="135">
                  <c:v>Montgomery</c:v>
                </c:pt>
                <c:pt idx="136">
                  <c:v>Monroe</c:v>
                </c:pt>
                <c:pt idx="137">
                  <c:v>Mobile</c:v>
                </c:pt>
                <c:pt idx="138">
                  <c:v>Missoula</c:v>
                </c:pt>
                <c:pt idx="139">
                  <c:v>Mission Viejo</c:v>
                </c:pt>
                <c:pt idx="140">
                  <c:v>Mishawaka</c:v>
                </c:pt>
                <c:pt idx="141">
                  <c:v>Minneapolis</c:v>
                </c:pt>
                <c:pt idx="142">
                  <c:v>Milwaukee</c:v>
                </c:pt>
                <c:pt idx="143">
                  <c:v>Midland</c:v>
                </c:pt>
                <c:pt idx="144">
                  <c:v>Miami</c:v>
                </c:pt>
                <c:pt idx="145">
                  <c:v>Mesa</c:v>
                </c:pt>
                <c:pt idx="146">
                  <c:v>Meriden</c:v>
                </c:pt>
                <c:pt idx="147">
                  <c:v>Memphis</c:v>
                </c:pt>
                <c:pt idx="148">
                  <c:v>Melbourne</c:v>
                </c:pt>
                <c:pt idx="149">
                  <c:v>Medina</c:v>
                </c:pt>
                <c:pt idx="150">
                  <c:v>Medford</c:v>
                </c:pt>
                <c:pt idx="151">
                  <c:v>Mcallen</c:v>
                </c:pt>
                <c:pt idx="152">
                  <c:v>Marysville</c:v>
                </c:pt>
                <c:pt idx="153">
                  <c:v>Marion</c:v>
                </c:pt>
                <c:pt idx="154">
                  <c:v>Marietta</c:v>
                </c:pt>
                <c:pt idx="155">
                  <c:v>Margate</c:v>
                </c:pt>
                <c:pt idx="156">
                  <c:v>Maple Grove</c:v>
                </c:pt>
                <c:pt idx="157">
                  <c:v>Manteca</c:v>
                </c:pt>
                <c:pt idx="158">
                  <c:v>Manchester</c:v>
                </c:pt>
                <c:pt idx="159">
                  <c:v>Malden</c:v>
                </c:pt>
                <c:pt idx="160">
                  <c:v>Madison</c:v>
                </c:pt>
                <c:pt idx="161">
                  <c:v>Macon</c:v>
                </c:pt>
                <c:pt idx="162">
                  <c:v>Lowell</c:v>
                </c:pt>
                <c:pt idx="163">
                  <c:v>Louisville</c:v>
                </c:pt>
                <c:pt idx="164">
                  <c:v>Los Angeles</c:v>
                </c:pt>
                <c:pt idx="165">
                  <c:v>Lorain</c:v>
                </c:pt>
                <c:pt idx="166">
                  <c:v>Long Beach</c:v>
                </c:pt>
                <c:pt idx="167">
                  <c:v>Linden</c:v>
                </c:pt>
                <c:pt idx="168">
                  <c:v>Lincoln Park</c:v>
                </c:pt>
                <c:pt idx="169">
                  <c:v>Lewiston</c:v>
                </c:pt>
                <c:pt idx="170">
                  <c:v>Leominster</c:v>
                </c:pt>
                <c:pt idx="171">
                  <c:v>Lehi</c:v>
                </c:pt>
                <c:pt idx="172">
                  <c:v>Layton</c:v>
                </c:pt>
                <c:pt idx="173">
                  <c:v>Lawrence</c:v>
                </c:pt>
                <c:pt idx="174">
                  <c:v>Las Vegas</c:v>
                </c:pt>
                <c:pt idx="175">
                  <c:v>Las Cruces</c:v>
                </c:pt>
                <c:pt idx="176">
                  <c:v>Laredo</c:v>
                </c:pt>
                <c:pt idx="177">
                  <c:v>Lansing</c:v>
                </c:pt>
                <c:pt idx="178">
                  <c:v>Lancaster</c:v>
                </c:pt>
                <c:pt idx="179">
                  <c:v>Lakewood</c:v>
                </c:pt>
                <c:pt idx="180">
                  <c:v>Lakeville</c:v>
                </c:pt>
                <c:pt idx="181">
                  <c:v>Lakeland</c:v>
                </c:pt>
                <c:pt idx="182">
                  <c:v>Lake Charles</c:v>
                </c:pt>
                <c:pt idx="183">
                  <c:v>Lafayette</c:v>
                </c:pt>
                <c:pt idx="184">
                  <c:v>La Porte</c:v>
                </c:pt>
                <c:pt idx="185">
                  <c:v>Knoxville</c:v>
                </c:pt>
                <c:pt idx="186">
                  <c:v>Kent</c:v>
                </c:pt>
                <c:pt idx="187">
                  <c:v>Kenosha</c:v>
                </c:pt>
                <c:pt idx="188">
                  <c:v>Jonesboro</c:v>
                </c:pt>
                <c:pt idx="189">
                  <c:v>Johnson City</c:v>
                </c:pt>
                <c:pt idx="190">
                  <c:v>Jefferson City</c:v>
                </c:pt>
                <c:pt idx="191">
                  <c:v>Jamestown</c:v>
                </c:pt>
                <c:pt idx="192">
                  <c:v>Jacksonville</c:v>
                </c:pt>
                <c:pt idx="193">
                  <c:v>Jackson</c:v>
                </c:pt>
                <c:pt idx="194">
                  <c:v>Indianapolis</c:v>
                </c:pt>
                <c:pt idx="195">
                  <c:v>Independence</c:v>
                </c:pt>
                <c:pt idx="196">
                  <c:v>Huntsville</c:v>
                </c:pt>
                <c:pt idx="197">
                  <c:v>Huntington Beach</c:v>
                </c:pt>
                <c:pt idx="198">
                  <c:v>Houston</c:v>
                </c:pt>
                <c:pt idx="199">
                  <c:v>Hot Springs</c:v>
                </c:pt>
                <c:pt idx="200">
                  <c:v>Homestead</c:v>
                </c:pt>
                <c:pt idx="201">
                  <c:v>Holyoke</c:v>
                </c:pt>
                <c:pt idx="202">
                  <c:v>Hollywood</c:v>
                </c:pt>
                <c:pt idx="203">
                  <c:v>Holland</c:v>
                </c:pt>
                <c:pt idx="204">
                  <c:v>Highland Park</c:v>
                </c:pt>
                <c:pt idx="205">
                  <c:v>Hialeah</c:v>
                </c:pt>
                <c:pt idx="206">
                  <c:v>Hesperia</c:v>
                </c:pt>
                <c:pt idx="207">
                  <c:v>Henderson</c:v>
                </c:pt>
                <c:pt idx="208">
                  <c:v>Hattiesburg</c:v>
                </c:pt>
                <c:pt idx="209">
                  <c:v>Harrisonburg</c:v>
                </c:pt>
                <c:pt idx="210">
                  <c:v>Harlingen</c:v>
                </c:pt>
                <c:pt idx="211">
                  <c:v>Hampton</c:v>
                </c:pt>
                <c:pt idx="212">
                  <c:v>Hamilton</c:v>
                </c:pt>
                <c:pt idx="213">
                  <c:v>Hackensack</c:v>
                </c:pt>
                <c:pt idx="214">
                  <c:v>Gulfport</c:v>
                </c:pt>
                <c:pt idx="215">
                  <c:v>Grove City</c:v>
                </c:pt>
                <c:pt idx="216">
                  <c:v>Gresham</c:v>
                </c:pt>
                <c:pt idx="217">
                  <c:v>Greensboro</c:v>
                </c:pt>
                <c:pt idx="218">
                  <c:v>Green Bay</c:v>
                </c:pt>
                <c:pt idx="219">
                  <c:v>Great Falls</c:v>
                </c:pt>
                <c:pt idx="220">
                  <c:v>Grapevine</c:v>
                </c:pt>
                <c:pt idx="221">
                  <c:v>Grand Rapids</c:v>
                </c:pt>
                <c:pt idx="222">
                  <c:v>Grand Prairie</c:v>
                </c:pt>
                <c:pt idx="223">
                  <c:v>Glendale</c:v>
                </c:pt>
                <c:pt idx="224">
                  <c:v>Gladstone</c:v>
                </c:pt>
                <c:pt idx="225">
                  <c:v>Gilbert</c:v>
                </c:pt>
                <c:pt idx="226">
                  <c:v>Gastonia</c:v>
                </c:pt>
                <c:pt idx="227">
                  <c:v>Garden City</c:v>
                </c:pt>
                <c:pt idx="228">
                  <c:v>Fresno</c:v>
                </c:pt>
                <c:pt idx="229">
                  <c:v>Fremont</c:v>
                </c:pt>
                <c:pt idx="230">
                  <c:v>Freeport</c:v>
                </c:pt>
                <c:pt idx="231">
                  <c:v>Franklin</c:v>
                </c:pt>
                <c:pt idx="232">
                  <c:v>Fort Worth</c:v>
                </c:pt>
                <c:pt idx="233">
                  <c:v>Fort Lauderdale</c:v>
                </c:pt>
                <c:pt idx="234">
                  <c:v>Florence</c:v>
                </c:pt>
                <c:pt idx="235">
                  <c:v>Fayetteville</c:v>
                </c:pt>
                <c:pt idx="236">
                  <c:v>Farmington</c:v>
                </c:pt>
                <c:pt idx="237">
                  <c:v>Fairfield</c:v>
                </c:pt>
                <c:pt idx="238">
                  <c:v>Everett</c:v>
                </c:pt>
                <c:pt idx="239">
                  <c:v>Evanston</c:v>
                </c:pt>
                <c:pt idx="240">
                  <c:v>Escondido</c:v>
                </c:pt>
                <c:pt idx="241">
                  <c:v>Elmhurst</c:v>
                </c:pt>
                <c:pt idx="242">
                  <c:v>El Paso</c:v>
                </c:pt>
                <c:pt idx="243">
                  <c:v>Edmonds</c:v>
                </c:pt>
                <c:pt idx="244">
                  <c:v>Edmond</c:v>
                </c:pt>
                <c:pt idx="245">
                  <c:v>Eau Claire</c:v>
                </c:pt>
                <c:pt idx="246">
                  <c:v>Eagan</c:v>
                </c:pt>
                <c:pt idx="247">
                  <c:v>Durham</c:v>
                </c:pt>
                <c:pt idx="248">
                  <c:v>Dublin</c:v>
                </c:pt>
                <c:pt idx="249">
                  <c:v>Draper</c:v>
                </c:pt>
                <c:pt idx="250">
                  <c:v>Dover</c:v>
                </c:pt>
                <c:pt idx="251">
                  <c:v>Detroit</c:v>
                </c:pt>
                <c:pt idx="252">
                  <c:v>Des Plaines</c:v>
                </c:pt>
                <c:pt idx="253">
                  <c:v>Des Moines</c:v>
                </c:pt>
                <c:pt idx="254">
                  <c:v>Denver</c:v>
                </c:pt>
                <c:pt idx="255">
                  <c:v>Deltona</c:v>
                </c:pt>
                <c:pt idx="256">
                  <c:v>Deer Park</c:v>
                </c:pt>
                <c:pt idx="257">
                  <c:v>Decatur</c:v>
                </c:pt>
                <c:pt idx="258">
                  <c:v>Dearborn Heights</c:v>
                </c:pt>
                <c:pt idx="259">
                  <c:v>Dearborn</c:v>
                </c:pt>
                <c:pt idx="260">
                  <c:v>Davis</c:v>
                </c:pt>
                <c:pt idx="261">
                  <c:v>Dallas</c:v>
                </c:pt>
                <c:pt idx="262">
                  <c:v>Cuyahoga Falls</c:v>
                </c:pt>
                <c:pt idx="263">
                  <c:v>Cranston</c:v>
                </c:pt>
                <c:pt idx="264">
                  <c:v>Cottage Grove</c:v>
                </c:pt>
                <c:pt idx="265">
                  <c:v>Costa Mesa</c:v>
                </c:pt>
                <c:pt idx="266">
                  <c:v>Coral Springs</c:v>
                </c:pt>
                <c:pt idx="267">
                  <c:v>Conway</c:v>
                </c:pt>
                <c:pt idx="268">
                  <c:v>Concord</c:v>
                </c:pt>
                <c:pt idx="269">
                  <c:v>Columbus</c:v>
                </c:pt>
                <c:pt idx="270">
                  <c:v>Columbia</c:v>
                </c:pt>
                <c:pt idx="271">
                  <c:v>Colorado Springs</c:v>
                </c:pt>
                <c:pt idx="272">
                  <c:v>Coachella</c:v>
                </c:pt>
                <c:pt idx="273">
                  <c:v>Clinton</c:v>
                </c:pt>
                <c:pt idx="274">
                  <c:v>Cleveland</c:v>
                </c:pt>
                <c:pt idx="275">
                  <c:v>Cincinnati</c:v>
                </c:pt>
                <c:pt idx="276">
                  <c:v>Chula Vista</c:v>
                </c:pt>
                <c:pt idx="277">
                  <c:v>Chicago</c:v>
                </c:pt>
                <c:pt idx="278">
                  <c:v>Chester</c:v>
                </c:pt>
                <c:pt idx="279">
                  <c:v>Chesapeake</c:v>
                </c:pt>
                <c:pt idx="280">
                  <c:v>Charlotte</c:v>
                </c:pt>
                <c:pt idx="281">
                  <c:v>Cedar Rapids</c:v>
                </c:pt>
                <c:pt idx="282">
                  <c:v>Cary</c:v>
                </c:pt>
                <c:pt idx="283">
                  <c:v>Carrollton</c:v>
                </c:pt>
                <c:pt idx="284">
                  <c:v>Carol Stream</c:v>
                </c:pt>
                <c:pt idx="285">
                  <c:v>Carlsbad</c:v>
                </c:pt>
                <c:pt idx="286">
                  <c:v>Canton</c:v>
                </c:pt>
                <c:pt idx="287">
                  <c:v>Camarillo</c:v>
                </c:pt>
                <c:pt idx="288">
                  <c:v>Burlington</c:v>
                </c:pt>
                <c:pt idx="289">
                  <c:v>Buffalo Grove</c:v>
                </c:pt>
                <c:pt idx="290">
                  <c:v>Buffalo</c:v>
                </c:pt>
                <c:pt idx="291">
                  <c:v>Brownsville</c:v>
                </c:pt>
                <c:pt idx="292">
                  <c:v>Bristol</c:v>
                </c:pt>
                <c:pt idx="293">
                  <c:v>Brentwood</c:v>
                </c:pt>
                <c:pt idx="294">
                  <c:v>Bozeman</c:v>
                </c:pt>
                <c:pt idx="295">
                  <c:v>Boynton Beach</c:v>
                </c:pt>
                <c:pt idx="296">
                  <c:v>Bowling Green</c:v>
                </c:pt>
                <c:pt idx="297">
                  <c:v>Bossier City</c:v>
                </c:pt>
                <c:pt idx="298">
                  <c:v>Bolingbrook</c:v>
                </c:pt>
                <c:pt idx="299">
                  <c:v>Boise</c:v>
                </c:pt>
                <c:pt idx="300">
                  <c:v>Bloomington</c:v>
                </c:pt>
                <c:pt idx="301">
                  <c:v>Bellevue</c:v>
                </c:pt>
                <c:pt idx="302">
                  <c:v>Belleville</c:v>
                </c:pt>
                <c:pt idx="303">
                  <c:v>Baytown</c:v>
                </c:pt>
                <c:pt idx="304">
                  <c:v>Bartlett</c:v>
                </c:pt>
                <c:pt idx="305">
                  <c:v>Baltimore</c:v>
                </c:pt>
                <c:pt idx="306">
                  <c:v>Bakersfield</c:v>
                </c:pt>
                <c:pt idx="307">
                  <c:v>Avondale</c:v>
                </c:pt>
                <c:pt idx="308">
                  <c:v>Austin</c:v>
                </c:pt>
                <c:pt idx="309">
                  <c:v>Aurora</c:v>
                </c:pt>
                <c:pt idx="310">
                  <c:v>Auburn</c:v>
                </c:pt>
                <c:pt idx="311">
                  <c:v>Atlanta</c:v>
                </c:pt>
                <c:pt idx="312">
                  <c:v>Athens</c:v>
                </c:pt>
                <c:pt idx="313">
                  <c:v>Asheville</c:v>
                </c:pt>
                <c:pt idx="314">
                  <c:v>Arvada</c:v>
                </c:pt>
                <c:pt idx="315">
                  <c:v>Arlington</c:v>
                </c:pt>
                <c:pt idx="316">
                  <c:v>Appleton</c:v>
                </c:pt>
                <c:pt idx="317">
                  <c:v>Apopka</c:v>
                </c:pt>
                <c:pt idx="318">
                  <c:v>Antioch</c:v>
                </c:pt>
                <c:pt idx="319">
                  <c:v>Anaheim</c:v>
                </c:pt>
                <c:pt idx="320">
                  <c:v>Amarillo</c:v>
                </c:pt>
                <c:pt idx="321">
                  <c:v>Altoona</c:v>
                </c:pt>
                <c:pt idx="322">
                  <c:v>Alexandria</c:v>
                </c:pt>
                <c:pt idx="323">
                  <c:v>Akron</c:v>
                </c:pt>
              </c:strCache>
            </c:strRef>
          </c:cat>
          <c:val>
            <c:numRef>
              <c:f>'pivot Table'!$X$4:$X$328</c:f>
              <c:numCache>
                <c:formatCode>General</c:formatCode>
                <c:ptCount val="324"/>
                <c:pt idx="0">
                  <c:v>13.208</c:v>
                </c:pt>
                <c:pt idx="1">
                  <c:v>-264.92079999999999</c:v>
                </c:pt>
                <c:pt idx="2">
                  <c:v>-24.885899999999999</c:v>
                </c:pt>
                <c:pt idx="3">
                  <c:v>20.391999999999999</c:v>
                </c:pt>
                <c:pt idx="4">
                  <c:v>100.1763</c:v>
                </c:pt>
                <c:pt idx="5">
                  <c:v>137.15100000000001</c:v>
                </c:pt>
                <c:pt idx="6">
                  <c:v>44.476799999999997</c:v>
                </c:pt>
                <c:pt idx="7">
                  <c:v>2.3976000000000002</c:v>
                </c:pt>
                <c:pt idx="8">
                  <c:v>44.761899999999997</c:v>
                </c:pt>
                <c:pt idx="9">
                  <c:v>49.620400000000004</c:v>
                </c:pt>
                <c:pt idx="10">
                  <c:v>2.1320000000000001</c:v>
                </c:pt>
                <c:pt idx="11">
                  <c:v>9.99</c:v>
                </c:pt>
                <c:pt idx="12">
                  <c:v>24.196000000000002</c:v>
                </c:pt>
                <c:pt idx="13">
                  <c:v>162.6678</c:v>
                </c:pt>
                <c:pt idx="14">
                  <c:v>312.06869999999998</c:v>
                </c:pt>
                <c:pt idx="15">
                  <c:v>18.8993</c:v>
                </c:pt>
                <c:pt idx="16">
                  <c:v>28.106999999999999</c:v>
                </c:pt>
                <c:pt idx="17">
                  <c:v>9.4923999999999999</c:v>
                </c:pt>
                <c:pt idx="18">
                  <c:v>43.223399999999998</c:v>
                </c:pt>
                <c:pt idx="19">
                  <c:v>1279.4463000000001</c:v>
                </c:pt>
                <c:pt idx="20">
                  <c:v>-31.372199999999999</c:v>
                </c:pt>
                <c:pt idx="21">
                  <c:v>21.176399999999997</c:v>
                </c:pt>
                <c:pt idx="22">
                  <c:v>287.59199999999998</c:v>
                </c:pt>
                <c:pt idx="23">
                  <c:v>110.0528</c:v>
                </c:pt>
                <c:pt idx="24">
                  <c:v>22.788</c:v>
                </c:pt>
                <c:pt idx="25">
                  <c:v>-7.3920000000000003</c:v>
                </c:pt>
                <c:pt idx="26">
                  <c:v>0.69930000000000003</c:v>
                </c:pt>
                <c:pt idx="27">
                  <c:v>16.854399999999995</c:v>
                </c:pt>
                <c:pt idx="28">
                  <c:v>55.851600000000005</c:v>
                </c:pt>
                <c:pt idx="29">
                  <c:v>301.69799999999998</c:v>
                </c:pt>
                <c:pt idx="30">
                  <c:v>33.269100000000002</c:v>
                </c:pt>
                <c:pt idx="31">
                  <c:v>5.4432</c:v>
                </c:pt>
                <c:pt idx="32">
                  <c:v>19.4194</c:v>
                </c:pt>
                <c:pt idx="33">
                  <c:v>-33.8352</c:v>
                </c:pt>
                <c:pt idx="34">
                  <c:v>11.6526</c:v>
                </c:pt>
                <c:pt idx="35">
                  <c:v>-104.22500000000002</c:v>
                </c:pt>
                <c:pt idx="36">
                  <c:v>-169.37200000000001</c:v>
                </c:pt>
                <c:pt idx="37">
                  <c:v>275.37220000000002</c:v>
                </c:pt>
                <c:pt idx="38">
                  <c:v>13.4526</c:v>
                </c:pt>
                <c:pt idx="39">
                  <c:v>20.633600000000001</c:v>
                </c:pt>
                <c:pt idx="40">
                  <c:v>236.74600000000004</c:v>
                </c:pt>
                <c:pt idx="41">
                  <c:v>116.91720000000001</c:v>
                </c:pt>
                <c:pt idx="42">
                  <c:v>0</c:v>
                </c:pt>
                <c:pt idx="43">
                  <c:v>9.7327999999999992</c:v>
                </c:pt>
                <c:pt idx="44">
                  <c:v>6.2069000000000001</c:v>
                </c:pt>
                <c:pt idx="45">
                  <c:v>10.814900000000002</c:v>
                </c:pt>
                <c:pt idx="46">
                  <c:v>13.813700000000001</c:v>
                </c:pt>
                <c:pt idx="47">
                  <c:v>1424.5462000000002</c:v>
                </c:pt>
                <c:pt idx="48">
                  <c:v>-5.9500000000000028</c:v>
                </c:pt>
                <c:pt idx="49">
                  <c:v>0.65159999999999996</c:v>
                </c:pt>
                <c:pt idx="50">
                  <c:v>6.2152000000000003</c:v>
                </c:pt>
                <c:pt idx="51">
                  <c:v>4.4824000000000002</c:v>
                </c:pt>
                <c:pt idx="52">
                  <c:v>138.37899999999999</c:v>
                </c:pt>
                <c:pt idx="53">
                  <c:v>63.682499999999997</c:v>
                </c:pt>
                <c:pt idx="54">
                  <c:v>2693.1596999999997</c:v>
                </c:pt>
                <c:pt idx="55">
                  <c:v>699.50529999999992</c:v>
                </c:pt>
                <c:pt idx="56">
                  <c:v>-1010.8004</c:v>
                </c:pt>
                <c:pt idx="57">
                  <c:v>-13.441799999999999</c:v>
                </c:pt>
                <c:pt idx="58">
                  <c:v>45.613999999999997</c:v>
                </c:pt>
                <c:pt idx="59">
                  <c:v>24.8842</c:v>
                </c:pt>
                <c:pt idx="60">
                  <c:v>12.96</c:v>
                </c:pt>
                <c:pt idx="61">
                  <c:v>-31.8612</c:v>
                </c:pt>
                <c:pt idx="62">
                  <c:v>14.1736</c:v>
                </c:pt>
                <c:pt idx="63">
                  <c:v>30.238399999999999</c:v>
                </c:pt>
                <c:pt idx="64">
                  <c:v>16.963200000000001</c:v>
                </c:pt>
                <c:pt idx="65">
                  <c:v>2.7168000000000001</c:v>
                </c:pt>
                <c:pt idx="66">
                  <c:v>436.06799999999998</c:v>
                </c:pt>
                <c:pt idx="67">
                  <c:v>11.693999999999999</c:v>
                </c:pt>
                <c:pt idx="68">
                  <c:v>61.081200000000003</c:v>
                </c:pt>
                <c:pt idx="69">
                  <c:v>-18.186</c:v>
                </c:pt>
                <c:pt idx="70">
                  <c:v>3.7919999999999998</c:v>
                </c:pt>
                <c:pt idx="71">
                  <c:v>54.333199999999998</c:v>
                </c:pt>
                <c:pt idx="72">
                  <c:v>-60.037700000000001</c:v>
                </c:pt>
                <c:pt idx="73">
                  <c:v>123.5262</c:v>
                </c:pt>
                <c:pt idx="74">
                  <c:v>478.26400000000007</c:v>
                </c:pt>
                <c:pt idx="75">
                  <c:v>14.1426</c:v>
                </c:pt>
                <c:pt idx="76">
                  <c:v>16.1022</c:v>
                </c:pt>
                <c:pt idx="77">
                  <c:v>5.0195999999999996</c:v>
                </c:pt>
                <c:pt idx="78">
                  <c:v>21.312000000000001</c:v>
                </c:pt>
                <c:pt idx="79">
                  <c:v>146.8638</c:v>
                </c:pt>
                <c:pt idx="80">
                  <c:v>38.533499999999997</c:v>
                </c:pt>
                <c:pt idx="81">
                  <c:v>84.572800000000001</c:v>
                </c:pt>
                <c:pt idx="82">
                  <c:v>3.5022000000000002</c:v>
                </c:pt>
                <c:pt idx="83">
                  <c:v>578.72829999999999</c:v>
                </c:pt>
                <c:pt idx="84">
                  <c:v>-51.068999999999996</c:v>
                </c:pt>
                <c:pt idx="85">
                  <c:v>6.5119999999999996</c:v>
                </c:pt>
                <c:pt idx="86">
                  <c:v>181.81</c:v>
                </c:pt>
                <c:pt idx="87">
                  <c:v>92.393600000000006</c:v>
                </c:pt>
                <c:pt idx="88">
                  <c:v>2.9321999999999999</c:v>
                </c:pt>
                <c:pt idx="89">
                  <c:v>-139.54220000000001</c:v>
                </c:pt>
                <c:pt idx="90">
                  <c:v>652.89049999999997</c:v>
                </c:pt>
                <c:pt idx="91">
                  <c:v>62.737000000000002</c:v>
                </c:pt>
                <c:pt idx="92">
                  <c:v>-770.17020000000002</c:v>
                </c:pt>
                <c:pt idx="93">
                  <c:v>-4066.9771999999998</c:v>
                </c:pt>
                <c:pt idx="94">
                  <c:v>-172.7328</c:v>
                </c:pt>
                <c:pt idx="95">
                  <c:v>-58.702500000000001</c:v>
                </c:pt>
                <c:pt idx="96">
                  <c:v>-157.0095</c:v>
                </c:pt>
                <c:pt idx="97">
                  <c:v>78.951599999999999</c:v>
                </c:pt>
                <c:pt idx="98">
                  <c:v>47.983900000000006</c:v>
                </c:pt>
                <c:pt idx="99">
                  <c:v>-7.8587999999999996</c:v>
                </c:pt>
                <c:pt idx="100">
                  <c:v>-15.08</c:v>
                </c:pt>
                <c:pt idx="101">
                  <c:v>-263.51</c:v>
                </c:pt>
                <c:pt idx="102">
                  <c:v>3.1629999999999994</c:v>
                </c:pt>
                <c:pt idx="103">
                  <c:v>-1.9656</c:v>
                </c:pt>
                <c:pt idx="104">
                  <c:v>7.2576000000000001</c:v>
                </c:pt>
                <c:pt idx="105">
                  <c:v>67.992000000000004</c:v>
                </c:pt>
                <c:pt idx="106">
                  <c:v>259.70249999999999</c:v>
                </c:pt>
                <c:pt idx="107">
                  <c:v>10.837200000000001</c:v>
                </c:pt>
                <c:pt idx="108">
                  <c:v>22.676400000000001</c:v>
                </c:pt>
                <c:pt idx="109">
                  <c:v>60.648000000000003</c:v>
                </c:pt>
                <c:pt idx="110">
                  <c:v>15.5092</c:v>
                </c:pt>
                <c:pt idx="111">
                  <c:v>106.61239999999999</c:v>
                </c:pt>
                <c:pt idx="112">
                  <c:v>1.7676999999999996</c:v>
                </c:pt>
                <c:pt idx="113">
                  <c:v>14.6586</c:v>
                </c:pt>
                <c:pt idx="114">
                  <c:v>4.8924000000000003</c:v>
                </c:pt>
                <c:pt idx="115">
                  <c:v>133.32939999999999</c:v>
                </c:pt>
                <c:pt idx="116">
                  <c:v>5.0111999999999997</c:v>
                </c:pt>
                <c:pt idx="117">
                  <c:v>756.06190000000004</c:v>
                </c:pt>
                <c:pt idx="118">
                  <c:v>177.6506</c:v>
                </c:pt>
                <c:pt idx="119">
                  <c:v>2893.9118000000003</c:v>
                </c:pt>
                <c:pt idx="120">
                  <c:v>185.48669999999998</c:v>
                </c:pt>
                <c:pt idx="121">
                  <c:v>6.6976000000000004</c:v>
                </c:pt>
                <c:pt idx="122">
                  <c:v>3.5767000000000002</c:v>
                </c:pt>
                <c:pt idx="123">
                  <c:v>23.49</c:v>
                </c:pt>
                <c:pt idx="124">
                  <c:v>17.9634</c:v>
                </c:pt>
                <c:pt idx="125">
                  <c:v>-6.6307</c:v>
                </c:pt>
                <c:pt idx="126">
                  <c:v>-142.74859999999998</c:v>
                </c:pt>
                <c:pt idx="127">
                  <c:v>1.9024000000000001</c:v>
                </c:pt>
                <c:pt idx="128">
                  <c:v>92.083500000000001</c:v>
                </c:pt>
                <c:pt idx="129">
                  <c:v>19.655999999999999</c:v>
                </c:pt>
                <c:pt idx="130">
                  <c:v>0.99950000000000006</c:v>
                </c:pt>
                <c:pt idx="131">
                  <c:v>109.7226</c:v>
                </c:pt>
                <c:pt idx="132">
                  <c:v>87.350399999999993</c:v>
                </c:pt>
                <c:pt idx="133">
                  <c:v>0.3024</c:v>
                </c:pt>
                <c:pt idx="134">
                  <c:v>93.38239999999999</c:v>
                </c:pt>
                <c:pt idx="135">
                  <c:v>285.4248</c:v>
                </c:pt>
                <c:pt idx="136">
                  <c:v>150.14259999999999</c:v>
                </c:pt>
                <c:pt idx="137">
                  <c:v>34.780200000000001</c:v>
                </c:pt>
                <c:pt idx="138">
                  <c:v>152.495</c:v>
                </c:pt>
                <c:pt idx="139">
                  <c:v>89.323599999999999</c:v>
                </c:pt>
                <c:pt idx="140">
                  <c:v>32.392000000000003</c:v>
                </c:pt>
                <c:pt idx="141">
                  <c:v>102.9846</c:v>
                </c:pt>
                <c:pt idx="142">
                  <c:v>400.74420000000003</c:v>
                </c:pt>
                <c:pt idx="143">
                  <c:v>67.909199999999998</c:v>
                </c:pt>
                <c:pt idx="144">
                  <c:v>-44.941699999999997</c:v>
                </c:pt>
                <c:pt idx="145">
                  <c:v>-174.41820000000001</c:v>
                </c:pt>
                <c:pt idx="146">
                  <c:v>28.457599999999999</c:v>
                </c:pt>
                <c:pt idx="147">
                  <c:v>-255.1422</c:v>
                </c:pt>
                <c:pt idx="148">
                  <c:v>9.5616000000000003</c:v>
                </c:pt>
                <c:pt idx="149">
                  <c:v>8.8800000000000008</c:v>
                </c:pt>
                <c:pt idx="150">
                  <c:v>11.102399999999999</c:v>
                </c:pt>
                <c:pt idx="151">
                  <c:v>3.7956000000000003</c:v>
                </c:pt>
                <c:pt idx="152">
                  <c:v>2.3814000000000002</c:v>
                </c:pt>
                <c:pt idx="153">
                  <c:v>-89.088999999999999</c:v>
                </c:pt>
                <c:pt idx="154">
                  <c:v>2.7071999999999998</c:v>
                </c:pt>
                <c:pt idx="155">
                  <c:v>2.3328000000000002</c:v>
                </c:pt>
                <c:pt idx="156">
                  <c:v>331.19099999999997</c:v>
                </c:pt>
                <c:pt idx="157">
                  <c:v>150.98400000000001</c:v>
                </c:pt>
                <c:pt idx="158">
                  <c:v>13.2624</c:v>
                </c:pt>
                <c:pt idx="159">
                  <c:v>10.316800000000001</c:v>
                </c:pt>
                <c:pt idx="160">
                  <c:v>13.317600000000001</c:v>
                </c:pt>
                <c:pt idx="161">
                  <c:v>39.869500000000002</c:v>
                </c:pt>
                <c:pt idx="162">
                  <c:v>210.2466</c:v>
                </c:pt>
                <c:pt idx="163">
                  <c:v>33.172699999999985</c:v>
                </c:pt>
                <c:pt idx="164">
                  <c:v>2067.8284999999992</c:v>
                </c:pt>
                <c:pt idx="165">
                  <c:v>9.6271000000000022</c:v>
                </c:pt>
                <c:pt idx="166">
                  <c:v>213.17019999999999</c:v>
                </c:pt>
                <c:pt idx="167">
                  <c:v>49.604799999999997</c:v>
                </c:pt>
                <c:pt idx="168">
                  <c:v>29.7408</c:v>
                </c:pt>
                <c:pt idx="169">
                  <c:v>3.3544</c:v>
                </c:pt>
                <c:pt idx="170">
                  <c:v>1.512</c:v>
                </c:pt>
                <c:pt idx="171">
                  <c:v>1.6776</c:v>
                </c:pt>
                <c:pt idx="172">
                  <c:v>2.3311999999999999</c:v>
                </c:pt>
                <c:pt idx="173">
                  <c:v>251.696</c:v>
                </c:pt>
                <c:pt idx="174">
                  <c:v>44.818199999999997</c:v>
                </c:pt>
                <c:pt idx="175">
                  <c:v>40.461799999999997</c:v>
                </c:pt>
                <c:pt idx="176">
                  <c:v>5.8746999999999998</c:v>
                </c:pt>
                <c:pt idx="177">
                  <c:v>180.63919999999999</c:v>
                </c:pt>
                <c:pt idx="178">
                  <c:v>15.479400000000002</c:v>
                </c:pt>
                <c:pt idx="179">
                  <c:v>2433.6304999999998</c:v>
                </c:pt>
                <c:pt idx="180">
                  <c:v>672.8836</c:v>
                </c:pt>
                <c:pt idx="181">
                  <c:v>-153.17669999999998</c:v>
                </c:pt>
                <c:pt idx="182">
                  <c:v>12.99</c:v>
                </c:pt>
                <c:pt idx="183">
                  <c:v>23.3184</c:v>
                </c:pt>
                <c:pt idx="184">
                  <c:v>129.38399999999999</c:v>
                </c:pt>
                <c:pt idx="185">
                  <c:v>-147.48329999999999</c:v>
                </c:pt>
                <c:pt idx="186">
                  <c:v>1.752</c:v>
                </c:pt>
                <c:pt idx="187">
                  <c:v>162.24420000000001</c:v>
                </c:pt>
                <c:pt idx="188">
                  <c:v>181.98179999999999</c:v>
                </c:pt>
                <c:pt idx="189">
                  <c:v>0.47520000000000001</c:v>
                </c:pt>
                <c:pt idx="190">
                  <c:v>8.6620000000000008</c:v>
                </c:pt>
                <c:pt idx="191">
                  <c:v>1228.1786999999999</c:v>
                </c:pt>
                <c:pt idx="192">
                  <c:v>386.55329999999992</c:v>
                </c:pt>
                <c:pt idx="193">
                  <c:v>752.15200000000004</c:v>
                </c:pt>
                <c:pt idx="194">
                  <c:v>120.452</c:v>
                </c:pt>
                <c:pt idx="195">
                  <c:v>975.66300000000001</c:v>
                </c:pt>
                <c:pt idx="196">
                  <c:v>303.48580000000004</c:v>
                </c:pt>
                <c:pt idx="197">
                  <c:v>30.650399999999998</c:v>
                </c:pt>
                <c:pt idx="198">
                  <c:v>-836.89859999999965</c:v>
                </c:pt>
                <c:pt idx="199">
                  <c:v>17.399000000000001</c:v>
                </c:pt>
                <c:pt idx="200">
                  <c:v>7.4570999999999996</c:v>
                </c:pt>
                <c:pt idx="201">
                  <c:v>60.392000000000003</c:v>
                </c:pt>
                <c:pt idx="202">
                  <c:v>29.692</c:v>
                </c:pt>
                <c:pt idx="203">
                  <c:v>9.1980000000000004</c:v>
                </c:pt>
                <c:pt idx="204">
                  <c:v>12.175800000000001</c:v>
                </c:pt>
                <c:pt idx="205">
                  <c:v>111.95460000000001</c:v>
                </c:pt>
                <c:pt idx="206">
                  <c:v>81.744</c:v>
                </c:pt>
                <c:pt idx="207">
                  <c:v>1335.0457999999999</c:v>
                </c:pt>
                <c:pt idx="208">
                  <c:v>181.5558</c:v>
                </c:pt>
                <c:pt idx="209">
                  <c:v>245.02099999999999</c:v>
                </c:pt>
                <c:pt idx="210">
                  <c:v>9.3960000000000008</c:v>
                </c:pt>
                <c:pt idx="211">
                  <c:v>56.55</c:v>
                </c:pt>
                <c:pt idx="212">
                  <c:v>1.2038</c:v>
                </c:pt>
                <c:pt idx="213">
                  <c:v>120.92620000000001</c:v>
                </c:pt>
                <c:pt idx="214">
                  <c:v>39.5381</c:v>
                </c:pt>
                <c:pt idx="215">
                  <c:v>15.992000000000001</c:v>
                </c:pt>
                <c:pt idx="216">
                  <c:v>25.198</c:v>
                </c:pt>
                <c:pt idx="217">
                  <c:v>-5.8604000000000003</c:v>
                </c:pt>
                <c:pt idx="218">
                  <c:v>216.54</c:v>
                </c:pt>
                <c:pt idx="219">
                  <c:v>1379.9770000000001</c:v>
                </c:pt>
                <c:pt idx="220">
                  <c:v>5.8604000000000003</c:v>
                </c:pt>
                <c:pt idx="221">
                  <c:v>21.205100000000002</c:v>
                </c:pt>
                <c:pt idx="222">
                  <c:v>-40.951000000000001</c:v>
                </c:pt>
                <c:pt idx="223">
                  <c:v>95.702400000000011</c:v>
                </c:pt>
                <c:pt idx="224">
                  <c:v>40.415999999999997</c:v>
                </c:pt>
                <c:pt idx="225">
                  <c:v>136.32060000000001</c:v>
                </c:pt>
                <c:pt idx="226">
                  <c:v>-145.35079999999999</c:v>
                </c:pt>
                <c:pt idx="227">
                  <c:v>74.8142</c:v>
                </c:pt>
                <c:pt idx="228">
                  <c:v>274.91219999999998</c:v>
                </c:pt>
                <c:pt idx="229">
                  <c:v>55.387600000000006</c:v>
                </c:pt>
                <c:pt idx="230">
                  <c:v>14.346</c:v>
                </c:pt>
                <c:pt idx="231">
                  <c:v>-173.27119999999999</c:v>
                </c:pt>
                <c:pt idx="232">
                  <c:v>-111.38480000000001</c:v>
                </c:pt>
                <c:pt idx="233">
                  <c:v>-320.93819999999999</c:v>
                </c:pt>
                <c:pt idx="234">
                  <c:v>96.203999999999994</c:v>
                </c:pt>
                <c:pt idx="235">
                  <c:v>86.267299999999992</c:v>
                </c:pt>
                <c:pt idx="236">
                  <c:v>169.02510000000001</c:v>
                </c:pt>
                <c:pt idx="237">
                  <c:v>223.7236</c:v>
                </c:pt>
                <c:pt idx="238">
                  <c:v>147.47499999999999</c:v>
                </c:pt>
                <c:pt idx="239">
                  <c:v>-69.204899999999995</c:v>
                </c:pt>
                <c:pt idx="240">
                  <c:v>15.6426</c:v>
                </c:pt>
                <c:pt idx="241">
                  <c:v>-48.954900000000002</c:v>
                </c:pt>
                <c:pt idx="242">
                  <c:v>64.194299999999998</c:v>
                </c:pt>
                <c:pt idx="243">
                  <c:v>89.611199999999997</c:v>
                </c:pt>
                <c:pt idx="244">
                  <c:v>6.8714000000000004</c:v>
                </c:pt>
                <c:pt idx="245">
                  <c:v>137.79079999999999</c:v>
                </c:pt>
                <c:pt idx="246">
                  <c:v>19.7714</c:v>
                </c:pt>
                <c:pt idx="247">
                  <c:v>67.4251</c:v>
                </c:pt>
                <c:pt idx="248">
                  <c:v>-68.075199999999995</c:v>
                </c:pt>
                <c:pt idx="249">
                  <c:v>34.698300000000003</c:v>
                </c:pt>
                <c:pt idx="250">
                  <c:v>75.887799999999999</c:v>
                </c:pt>
                <c:pt idx="251">
                  <c:v>2356.6855999999998</c:v>
                </c:pt>
                <c:pt idx="252">
                  <c:v>47.98</c:v>
                </c:pt>
                <c:pt idx="253">
                  <c:v>64.468599999999995</c:v>
                </c:pt>
                <c:pt idx="254">
                  <c:v>-408.46310000000005</c:v>
                </c:pt>
                <c:pt idx="255">
                  <c:v>109.7816</c:v>
                </c:pt>
                <c:pt idx="256">
                  <c:v>-10.385999999999999</c:v>
                </c:pt>
                <c:pt idx="257">
                  <c:v>71.875199999999992</c:v>
                </c:pt>
                <c:pt idx="258">
                  <c:v>47.0548</c:v>
                </c:pt>
                <c:pt idx="259">
                  <c:v>87.568399999999997</c:v>
                </c:pt>
                <c:pt idx="260">
                  <c:v>15.552</c:v>
                </c:pt>
                <c:pt idx="261">
                  <c:v>-145.94059999999999</c:v>
                </c:pt>
                <c:pt idx="262">
                  <c:v>1.2527999999999999</c:v>
                </c:pt>
                <c:pt idx="263">
                  <c:v>18.715</c:v>
                </c:pt>
                <c:pt idx="264">
                  <c:v>6.8768000000000002</c:v>
                </c:pt>
                <c:pt idx="265">
                  <c:v>82.400300000000001</c:v>
                </c:pt>
                <c:pt idx="266">
                  <c:v>5.9676</c:v>
                </c:pt>
                <c:pt idx="267">
                  <c:v>45.293999999999997</c:v>
                </c:pt>
                <c:pt idx="268">
                  <c:v>-1810.5627999999999</c:v>
                </c:pt>
                <c:pt idx="269">
                  <c:v>477.97220000000004</c:v>
                </c:pt>
                <c:pt idx="270">
                  <c:v>1709.4411</c:v>
                </c:pt>
                <c:pt idx="271">
                  <c:v>-774.9452</c:v>
                </c:pt>
                <c:pt idx="272">
                  <c:v>3.1779999999999999</c:v>
                </c:pt>
                <c:pt idx="273">
                  <c:v>18.383299999999998</c:v>
                </c:pt>
                <c:pt idx="274">
                  <c:v>-133.05770000000001</c:v>
                </c:pt>
                <c:pt idx="275">
                  <c:v>-4.1045999999999996</c:v>
                </c:pt>
                <c:pt idx="276">
                  <c:v>106.5408</c:v>
                </c:pt>
                <c:pt idx="277">
                  <c:v>-439.721</c:v>
                </c:pt>
                <c:pt idx="278">
                  <c:v>13.080400000000001</c:v>
                </c:pt>
                <c:pt idx="279">
                  <c:v>110.358</c:v>
                </c:pt>
                <c:pt idx="280">
                  <c:v>230.76549999999997</c:v>
                </c:pt>
                <c:pt idx="281">
                  <c:v>80.736000000000004</c:v>
                </c:pt>
                <c:pt idx="282">
                  <c:v>2.7222</c:v>
                </c:pt>
                <c:pt idx="283">
                  <c:v>75.895099999999999</c:v>
                </c:pt>
                <c:pt idx="284">
                  <c:v>-5.8346</c:v>
                </c:pt>
                <c:pt idx="285">
                  <c:v>13.348000000000001</c:v>
                </c:pt>
                <c:pt idx="286">
                  <c:v>11.076000000000001</c:v>
                </c:pt>
                <c:pt idx="287">
                  <c:v>41.996499999999997</c:v>
                </c:pt>
                <c:pt idx="288">
                  <c:v>-3837.1407000000004</c:v>
                </c:pt>
                <c:pt idx="289">
                  <c:v>95.188800000000001</c:v>
                </c:pt>
                <c:pt idx="290">
                  <c:v>196.5324</c:v>
                </c:pt>
                <c:pt idx="291">
                  <c:v>-0.3488</c:v>
                </c:pt>
                <c:pt idx="292">
                  <c:v>-124.5548</c:v>
                </c:pt>
                <c:pt idx="293">
                  <c:v>128.21119999999999</c:v>
                </c:pt>
                <c:pt idx="294">
                  <c:v>13.9392</c:v>
                </c:pt>
                <c:pt idx="295">
                  <c:v>19.229399999999998</c:v>
                </c:pt>
                <c:pt idx="296">
                  <c:v>59.250799999999998</c:v>
                </c:pt>
                <c:pt idx="297">
                  <c:v>5.3391999999999999</c:v>
                </c:pt>
                <c:pt idx="298">
                  <c:v>-16.466999999999999</c:v>
                </c:pt>
                <c:pt idx="299">
                  <c:v>1.1151</c:v>
                </c:pt>
                <c:pt idx="300">
                  <c:v>-415.44600000000003</c:v>
                </c:pt>
                <c:pt idx="301">
                  <c:v>7.8936000000000002</c:v>
                </c:pt>
                <c:pt idx="302">
                  <c:v>87.543000000000006</c:v>
                </c:pt>
                <c:pt idx="303">
                  <c:v>3.6288</c:v>
                </c:pt>
                <c:pt idx="304">
                  <c:v>10.007999999999999</c:v>
                </c:pt>
                <c:pt idx="305">
                  <c:v>33.159599999999998</c:v>
                </c:pt>
                <c:pt idx="306">
                  <c:v>-12.242799999999999</c:v>
                </c:pt>
                <c:pt idx="307">
                  <c:v>83.512799999999999</c:v>
                </c:pt>
                <c:pt idx="308">
                  <c:v>-250.39919999999995</c:v>
                </c:pt>
                <c:pt idx="309">
                  <c:v>-1037.0808000000002</c:v>
                </c:pt>
                <c:pt idx="310">
                  <c:v>351.6825</c:v>
                </c:pt>
                <c:pt idx="311">
                  <c:v>811.75040000000001</c:v>
                </c:pt>
                <c:pt idx="312">
                  <c:v>12.4575</c:v>
                </c:pt>
                <c:pt idx="313">
                  <c:v>86.133099999999999</c:v>
                </c:pt>
                <c:pt idx="314">
                  <c:v>3.5948000000000002</c:v>
                </c:pt>
                <c:pt idx="315">
                  <c:v>525.48710000000005</c:v>
                </c:pt>
                <c:pt idx="316">
                  <c:v>10.348800000000001</c:v>
                </c:pt>
                <c:pt idx="317">
                  <c:v>3.0261999999999998</c:v>
                </c:pt>
                <c:pt idx="318">
                  <c:v>9.3312000000000008</c:v>
                </c:pt>
                <c:pt idx="319">
                  <c:v>397.86539999999997</c:v>
                </c:pt>
                <c:pt idx="320">
                  <c:v>26.400999999999996</c:v>
                </c:pt>
                <c:pt idx="321">
                  <c:v>-3.3879000000000001</c:v>
                </c:pt>
                <c:pt idx="322">
                  <c:v>37.6586</c:v>
                </c:pt>
                <c:pt idx="323">
                  <c:v>-68.416199999999989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E-4211-8F2F-24E407989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178304"/>
        <c:axId val="792721136"/>
      </c:areaChart>
      <c:catAx>
        <c:axId val="81217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b" anchorCtr="1"/>
          <a:lstStyle/>
          <a:p>
            <a:pPr algn="ctr">
              <a:defRPr lang="en-US" sz="800" b="1" i="0" u="none" strike="noStrike" kern="1200" cap="all" baseline="0">
                <a:solidFill>
                  <a:schemeClr val="bg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792721136"/>
        <c:crosses val="autoZero"/>
        <c:auto val="1"/>
        <c:lblAlgn val="ctr"/>
        <c:lblOffset val="100"/>
        <c:noMultiLvlLbl val="0"/>
      </c:catAx>
      <c:valAx>
        <c:axId val="7927211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12178304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Analysis.xlsx]pivot Table!PivotTable9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rPr>
              <a:t>Region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ln>
                <a:solidFill>
                  <a:sysClr val="windowText" lastClr="000000"/>
                </a:solidFill>
              </a:ln>
              <a:solidFill>
                <a:schemeClr val="bg1"/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Table'!$AA$3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Table'!$Z$4:$Z$8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'pivot Table'!$AA$4:$AA$8</c:f>
              <c:numCache>
                <c:formatCode>General</c:formatCode>
                <c:ptCount val="4"/>
                <c:pt idx="0">
                  <c:v>10658.656200000003</c:v>
                </c:pt>
                <c:pt idx="1">
                  <c:v>6876.3468999999977</c:v>
                </c:pt>
                <c:pt idx="2">
                  <c:v>3908.6047999999987</c:v>
                </c:pt>
                <c:pt idx="3">
                  <c:v>3519.0925999999977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A-4375-877D-27C7C2D36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100"/>
        <c:axId val="874064992"/>
        <c:axId val="792705328"/>
      </c:barChart>
      <c:catAx>
        <c:axId val="87406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cap="all" baseline="0">
                <a:solidFill>
                  <a:schemeClr val="bg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792705328"/>
        <c:crosses val="autoZero"/>
        <c:auto val="1"/>
        <c:lblAlgn val="ctr"/>
        <c:lblOffset val="100"/>
        <c:noMultiLvlLbl val="0"/>
      </c:catAx>
      <c:valAx>
        <c:axId val="7927053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406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Analysis.xlsx]pivot Table!PivotTable10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rPr>
              <a:t>City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ln>
                <a:solidFill>
                  <a:sysClr val="windowText" lastClr="000000"/>
                </a:solidFill>
              </a:ln>
              <a:solidFill>
                <a:schemeClr val="bg1"/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Table'!$AA$11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Table'!$Z$12:$Z$16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'pivot Table'!$AA$12:$AA$16</c:f>
              <c:numCache>
                <c:formatCode>General</c:formatCode>
                <c:ptCount val="4"/>
                <c:pt idx="0">
                  <c:v>85938.698499999969</c:v>
                </c:pt>
                <c:pt idx="1">
                  <c:v>79204.13</c:v>
                </c:pt>
                <c:pt idx="2">
                  <c:v>73200.181999999972</c:v>
                </c:pt>
                <c:pt idx="3">
                  <c:v>69457.318600000013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A-46A6-8FC8-699BDE729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82"/>
        <c:axId val="758597216"/>
        <c:axId val="826636192"/>
      </c:barChart>
      <c:catAx>
        <c:axId val="75859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cap="all" baseline="0">
                <a:solidFill>
                  <a:schemeClr val="bg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826636192"/>
        <c:crosses val="autoZero"/>
        <c:auto val="1"/>
        <c:lblAlgn val="ctr"/>
        <c:lblOffset val="100"/>
        <c:noMultiLvlLbl val="0"/>
      </c:catAx>
      <c:valAx>
        <c:axId val="8266361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5859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Analysis.xlsx]pivot Table!PivotTable11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rPr>
              <a:t>State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ln>
                <a:solidFill>
                  <a:sysClr val="windowText" lastClr="000000"/>
                </a:solidFill>
              </a:ln>
              <a:solidFill>
                <a:schemeClr val="bg1"/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744439608365539E-2"/>
          <c:y val="0.29106262758821816"/>
          <c:w val="0.85081224143464484"/>
          <c:h val="0.3176275882181394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Table'!$AD$3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'pivot Table'!$AC$4:$AC$48</c:f>
              <c:strCache>
                <c:ptCount val="44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Maryland</c:v>
                </c:pt>
                <c:pt idx="18">
                  <c:v>Massachusetts</c:v>
                </c:pt>
                <c:pt idx="19">
                  <c:v>Michigan</c:v>
                </c:pt>
                <c:pt idx="20">
                  <c:v>Minnesota</c:v>
                </c:pt>
                <c:pt idx="21">
                  <c:v>Mississippi</c:v>
                </c:pt>
                <c:pt idx="22">
                  <c:v>Missouri</c:v>
                </c:pt>
                <c:pt idx="23">
                  <c:v>Montana</c:v>
                </c:pt>
                <c:pt idx="24">
                  <c:v>Nebraska</c:v>
                </c:pt>
                <c:pt idx="25">
                  <c:v>Nevada</c:v>
                </c:pt>
                <c:pt idx="26">
                  <c:v>New Hampshire</c:v>
                </c:pt>
                <c:pt idx="27">
                  <c:v>New Jersey</c:v>
                </c:pt>
                <c:pt idx="28">
                  <c:v>New Mexico</c:v>
                </c:pt>
                <c:pt idx="29">
                  <c:v>New York</c:v>
                </c:pt>
                <c:pt idx="30">
                  <c:v>North Carolina</c:v>
                </c:pt>
                <c:pt idx="31">
                  <c:v>Ohio</c:v>
                </c:pt>
                <c:pt idx="32">
                  <c:v>Oklahoma</c:v>
                </c:pt>
                <c:pt idx="33">
                  <c:v>Oregon</c:v>
                </c:pt>
                <c:pt idx="34">
                  <c:v>Pennsylvania</c:v>
                </c:pt>
                <c:pt idx="35">
                  <c:v>Rhode Island</c:v>
                </c:pt>
                <c:pt idx="36">
                  <c:v>South Carolina</c:v>
                </c:pt>
                <c:pt idx="37">
                  <c:v>South Dakota</c:v>
                </c:pt>
                <c:pt idx="38">
                  <c:v>Tennessee</c:v>
                </c:pt>
                <c:pt idx="39">
                  <c:v>Texas</c:v>
                </c:pt>
                <c:pt idx="40">
                  <c:v>Utah</c:v>
                </c:pt>
                <c:pt idx="41">
                  <c:v>Virginia</c:v>
                </c:pt>
                <c:pt idx="42">
                  <c:v>Washington</c:v>
                </c:pt>
                <c:pt idx="43">
                  <c:v>Wisconsin</c:v>
                </c:pt>
              </c:strCache>
            </c:strRef>
          </c:cat>
          <c:val>
            <c:numRef>
              <c:f>'pivot Table'!$AD$4:$AD$48</c:f>
              <c:numCache>
                <c:formatCode>General</c:formatCode>
                <c:ptCount val="44"/>
                <c:pt idx="0">
                  <c:v>3398.7700000000004</c:v>
                </c:pt>
                <c:pt idx="1">
                  <c:v>6333.3470000000025</c:v>
                </c:pt>
                <c:pt idx="2">
                  <c:v>1068.1199999999999</c:v>
                </c:pt>
                <c:pt idx="3">
                  <c:v>50679.191499999979</c:v>
                </c:pt>
                <c:pt idx="4">
                  <c:v>6648.0980000000009</c:v>
                </c:pt>
                <c:pt idx="5">
                  <c:v>1068.6299999999999</c:v>
                </c:pt>
                <c:pt idx="6">
                  <c:v>992.56600000000003</c:v>
                </c:pt>
                <c:pt idx="7">
                  <c:v>62.819999999999993</c:v>
                </c:pt>
                <c:pt idx="8">
                  <c:v>19065.394999999993</c:v>
                </c:pt>
                <c:pt idx="9">
                  <c:v>6260.58</c:v>
                </c:pt>
                <c:pt idx="10">
                  <c:v>368.24799999999999</c:v>
                </c:pt>
                <c:pt idx="11">
                  <c:v>17293.100000000002</c:v>
                </c:pt>
                <c:pt idx="12">
                  <c:v>2697.1500000000005</c:v>
                </c:pt>
                <c:pt idx="13">
                  <c:v>360.84</c:v>
                </c:pt>
                <c:pt idx="14">
                  <c:v>537.88</c:v>
                </c:pt>
                <c:pt idx="15">
                  <c:v>6164.130000000001</c:v>
                </c:pt>
                <c:pt idx="16">
                  <c:v>779.68000000000006</c:v>
                </c:pt>
                <c:pt idx="17">
                  <c:v>3194.56</c:v>
                </c:pt>
                <c:pt idx="18">
                  <c:v>3864.1339999999987</c:v>
                </c:pt>
                <c:pt idx="19">
                  <c:v>14277.682000000001</c:v>
                </c:pt>
                <c:pt idx="20">
                  <c:v>3796.5200000000004</c:v>
                </c:pt>
                <c:pt idx="21">
                  <c:v>2667.0099999999998</c:v>
                </c:pt>
                <c:pt idx="22">
                  <c:v>2647.51</c:v>
                </c:pt>
                <c:pt idx="23">
                  <c:v>3516.9739999999997</c:v>
                </c:pt>
                <c:pt idx="24">
                  <c:v>157.30999999999997</c:v>
                </c:pt>
                <c:pt idx="25">
                  <c:v>2968.7660000000001</c:v>
                </c:pt>
                <c:pt idx="26">
                  <c:v>391.75</c:v>
                </c:pt>
                <c:pt idx="27">
                  <c:v>13473.145999999999</c:v>
                </c:pt>
                <c:pt idx="28">
                  <c:v>824.73</c:v>
                </c:pt>
                <c:pt idx="29">
                  <c:v>32297.717999999979</c:v>
                </c:pt>
                <c:pt idx="30">
                  <c:v>19263.088000000003</c:v>
                </c:pt>
                <c:pt idx="31">
                  <c:v>8167.0450000000019</c:v>
                </c:pt>
                <c:pt idx="32">
                  <c:v>1219.5899999999999</c:v>
                </c:pt>
                <c:pt idx="33">
                  <c:v>1257.5620000000001</c:v>
                </c:pt>
                <c:pt idx="34">
                  <c:v>13646.931000000006</c:v>
                </c:pt>
                <c:pt idx="35">
                  <c:v>2044.83</c:v>
                </c:pt>
                <c:pt idx="36">
                  <c:v>2067.41</c:v>
                </c:pt>
                <c:pt idx="37">
                  <c:v>33.879999999999995</c:v>
                </c:pt>
                <c:pt idx="38">
                  <c:v>2587.8689999999997</c:v>
                </c:pt>
                <c:pt idx="39">
                  <c:v>21368.336599999995</c:v>
                </c:pt>
                <c:pt idx="40">
                  <c:v>1304.3800000000003</c:v>
                </c:pt>
                <c:pt idx="41">
                  <c:v>9878.130000000001</c:v>
                </c:pt>
                <c:pt idx="42">
                  <c:v>12037.401999999996</c:v>
                </c:pt>
                <c:pt idx="43">
                  <c:v>5067.5199999999995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7-4681-AECB-FA658A205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"/>
        <c:overlap val="100"/>
        <c:axId val="874015392"/>
        <c:axId val="814754480"/>
      </c:barChart>
      <c:catAx>
        <c:axId val="87401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cap="all" baseline="0">
                <a:solidFill>
                  <a:schemeClr val="bg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814754480"/>
        <c:crosses val="autoZero"/>
        <c:auto val="1"/>
        <c:lblAlgn val="ctr"/>
        <c:lblOffset val="100"/>
        <c:noMultiLvlLbl val="0"/>
      </c:catAx>
      <c:valAx>
        <c:axId val="81475448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7401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Analysis.xlsx]pivot Table!PivotTable12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rPr>
              <a:t>state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1" i="0" u="none" strike="noStrike" kern="1200" spc="0" baseline="0">
              <a:ln>
                <a:solidFill>
                  <a:sysClr val="windowText" lastClr="000000"/>
                </a:solidFill>
              </a:ln>
              <a:solidFill>
                <a:schemeClr val="bg1"/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31750" cap="rnd">
            <a:solidFill>
              <a:schemeClr val="accent4">
                <a:lumMod val="60000"/>
                <a:lumOff val="40000"/>
              </a:schemeClr>
            </a:solidFill>
            <a:beve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91792656587473E-2"/>
          <c:y val="0.10287026621672291"/>
          <c:w val="0.96832253419726422"/>
          <c:h val="0.66213785776777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Table'!$AG$3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31750" cap="rnd">
              <a:solidFill>
                <a:schemeClr val="accent4">
                  <a:lumMod val="60000"/>
                  <a:lumOff val="40000"/>
                </a:schemeClr>
              </a:solidFill>
              <a:bevel/>
            </a:ln>
            <a:effectLst/>
          </c:spPr>
          <c:invertIfNegative val="0"/>
          <c:cat>
            <c:strRef>
              <c:f>'pivot Table'!$AF$4:$AF$48</c:f>
              <c:strCache>
                <c:ptCount val="44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Maryland</c:v>
                </c:pt>
                <c:pt idx="18">
                  <c:v>Massachusetts</c:v>
                </c:pt>
                <c:pt idx="19">
                  <c:v>Michigan</c:v>
                </c:pt>
                <c:pt idx="20">
                  <c:v>Minnesota</c:v>
                </c:pt>
                <c:pt idx="21">
                  <c:v>Mississippi</c:v>
                </c:pt>
                <c:pt idx="22">
                  <c:v>Missouri</c:v>
                </c:pt>
                <c:pt idx="23">
                  <c:v>Montana</c:v>
                </c:pt>
                <c:pt idx="24">
                  <c:v>Nebraska</c:v>
                </c:pt>
                <c:pt idx="25">
                  <c:v>Nevada</c:v>
                </c:pt>
                <c:pt idx="26">
                  <c:v>New Hampshire</c:v>
                </c:pt>
                <c:pt idx="27">
                  <c:v>New Jersey</c:v>
                </c:pt>
                <c:pt idx="28">
                  <c:v>New Mexico</c:v>
                </c:pt>
                <c:pt idx="29">
                  <c:v>New York</c:v>
                </c:pt>
                <c:pt idx="30">
                  <c:v>North Carolina</c:v>
                </c:pt>
                <c:pt idx="31">
                  <c:v>Ohio</c:v>
                </c:pt>
                <c:pt idx="32">
                  <c:v>Oklahoma</c:v>
                </c:pt>
                <c:pt idx="33">
                  <c:v>Oregon</c:v>
                </c:pt>
                <c:pt idx="34">
                  <c:v>Pennsylvania</c:v>
                </c:pt>
                <c:pt idx="35">
                  <c:v>Rhode Island</c:v>
                </c:pt>
                <c:pt idx="36">
                  <c:v>South Carolina</c:v>
                </c:pt>
                <c:pt idx="37">
                  <c:v>South Dakota</c:v>
                </c:pt>
                <c:pt idx="38">
                  <c:v>Tennessee</c:v>
                </c:pt>
                <c:pt idx="39">
                  <c:v>Texas</c:v>
                </c:pt>
                <c:pt idx="40">
                  <c:v>Utah</c:v>
                </c:pt>
                <c:pt idx="41">
                  <c:v>Virginia</c:v>
                </c:pt>
                <c:pt idx="42">
                  <c:v>Washington</c:v>
                </c:pt>
                <c:pt idx="43">
                  <c:v>Wisconsin</c:v>
                </c:pt>
              </c:strCache>
            </c:strRef>
          </c:cat>
          <c:val>
            <c:numRef>
              <c:f>'pivot Table'!$AG$4:$AG$48</c:f>
              <c:numCache>
                <c:formatCode>General</c:formatCode>
                <c:ptCount val="44"/>
                <c:pt idx="0">
                  <c:v>1164.6785</c:v>
                </c:pt>
                <c:pt idx="1">
                  <c:v>-633.83709999999996</c:v>
                </c:pt>
                <c:pt idx="2">
                  <c:v>247.73240000000001</c:v>
                </c:pt>
                <c:pt idx="3">
                  <c:v>8427.1182000000008</c:v>
                </c:pt>
                <c:pt idx="4">
                  <c:v>-1612.4875</c:v>
                </c:pt>
                <c:pt idx="5">
                  <c:v>311.93510000000003</c:v>
                </c:pt>
                <c:pt idx="6">
                  <c:v>151.35489999999999</c:v>
                </c:pt>
                <c:pt idx="7">
                  <c:v>28.106999999999999</c:v>
                </c:pt>
                <c:pt idx="8">
                  <c:v>50.782799999999803</c:v>
                </c:pt>
                <c:pt idx="9">
                  <c:v>1794.9069</c:v>
                </c:pt>
                <c:pt idx="10">
                  <c:v>96.863100000000003</c:v>
                </c:pt>
                <c:pt idx="11">
                  <c:v>-1864.3315000000002</c:v>
                </c:pt>
                <c:pt idx="12">
                  <c:v>590.87530000000004</c:v>
                </c:pt>
                <c:pt idx="13">
                  <c:v>106.6344</c:v>
                </c:pt>
                <c:pt idx="14">
                  <c:v>211.96520000000001</c:v>
                </c:pt>
                <c:pt idx="15">
                  <c:v>1513.4779000000001</c:v>
                </c:pt>
                <c:pt idx="16">
                  <c:v>189.101</c:v>
                </c:pt>
                <c:pt idx="17">
                  <c:v>1516.7661000000003</c:v>
                </c:pt>
                <c:pt idx="18">
                  <c:v>453.55029999999999</c:v>
                </c:pt>
                <c:pt idx="19">
                  <c:v>3510.3725999999997</c:v>
                </c:pt>
                <c:pt idx="20">
                  <c:v>1190.069</c:v>
                </c:pt>
                <c:pt idx="21">
                  <c:v>738.16650000000004</c:v>
                </c:pt>
                <c:pt idx="22">
                  <c:v>1032.6622</c:v>
                </c:pt>
                <c:pt idx="23">
                  <c:v>1546.4112000000002</c:v>
                </c:pt>
                <c:pt idx="24">
                  <c:v>66.224800000000002</c:v>
                </c:pt>
                <c:pt idx="25">
                  <c:v>569.18679999999995</c:v>
                </c:pt>
                <c:pt idx="26">
                  <c:v>89.982399999999998</c:v>
                </c:pt>
                <c:pt idx="27">
                  <c:v>3405.0830000000001</c:v>
                </c:pt>
                <c:pt idx="28">
                  <c:v>222.8349</c:v>
                </c:pt>
                <c:pt idx="29">
                  <c:v>4971.727899999998</c:v>
                </c:pt>
                <c:pt idx="30">
                  <c:v>-5054.4818000000005</c:v>
                </c:pt>
                <c:pt idx="31">
                  <c:v>-565.88279999999997</c:v>
                </c:pt>
                <c:pt idx="32">
                  <c:v>70.121099999999998</c:v>
                </c:pt>
                <c:pt idx="33">
                  <c:v>-15.895799999999994</c:v>
                </c:pt>
                <c:pt idx="34">
                  <c:v>-4093.2126999999996</c:v>
                </c:pt>
                <c:pt idx="35">
                  <c:v>606.9357</c:v>
                </c:pt>
                <c:pt idx="36">
                  <c:v>410.86989999999997</c:v>
                </c:pt>
                <c:pt idx="37">
                  <c:v>15.834500000000002</c:v>
                </c:pt>
                <c:pt idx="38">
                  <c:v>-551.82199999999989</c:v>
                </c:pt>
                <c:pt idx="39">
                  <c:v>-2480.3181</c:v>
                </c:pt>
                <c:pt idx="40">
                  <c:v>311.90180000000004</c:v>
                </c:pt>
                <c:pt idx="41">
                  <c:v>3405.1927000000001</c:v>
                </c:pt>
                <c:pt idx="42">
                  <c:v>1746.5606000000002</c:v>
                </c:pt>
                <c:pt idx="43">
                  <c:v>1068.9831000000001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F-457C-B91C-3AE0C2B4E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2170704"/>
        <c:axId val="792711152"/>
      </c:barChart>
      <c:catAx>
        <c:axId val="81217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cap="all" baseline="0">
                <a:solidFill>
                  <a:schemeClr val="bg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792711152"/>
        <c:crosses val="autoZero"/>
        <c:auto val="1"/>
        <c:lblAlgn val="ctr"/>
        <c:lblOffset val="100"/>
        <c:noMultiLvlLbl val="0"/>
      </c:catAx>
      <c:valAx>
        <c:axId val="792711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1217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Analysis.xlsx]pivot Table!PivotTable13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rPr>
              <a:t>Sheap mode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ln>
                <a:solidFill>
                  <a:sysClr val="windowText" lastClr="000000"/>
                </a:solidFill>
              </a:ln>
              <a:solidFill>
                <a:schemeClr val="bg1"/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Table'!$AJ$3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Table'!$AI$4:$AI$8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Table'!$AJ$4:$AJ$8</c:f>
              <c:numCache>
                <c:formatCode>General</c:formatCode>
                <c:ptCount val="4"/>
                <c:pt idx="0">
                  <c:v>6226.4003000000002</c:v>
                </c:pt>
                <c:pt idx="1">
                  <c:v>-3419.6166999999991</c:v>
                </c:pt>
                <c:pt idx="2">
                  <c:v>4775.9714999999969</c:v>
                </c:pt>
                <c:pt idx="3">
                  <c:v>17379.945400000008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E-4CAA-B650-07EDB6946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955823"/>
        <c:axId val="109503375"/>
      </c:barChart>
      <c:catAx>
        <c:axId val="10695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cap="all" baseline="0">
                <a:solidFill>
                  <a:schemeClr val="accent4">
                    <a:lumMod val="60000"/>
                    <a:lumOff val="40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109503375"/>
        <c:crosses val="autoZero"/>
        <c:auto val="1"/>
        <c:lblAlgn val="ctr"/>
        <c:lblOffset val="100"/>
        <c:noMultiLvlLbl val="0"/>
      </c:catAx>
      <c:valAx>
        <c:axId val="109503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695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Analysis.xlsx]pivot Table!PivotTable14</c:name>
    <c:fmtId val="5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rPr>
              <a:t>Sheap mode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ln>
                <a:solidFill>
                  <a:sysClr val="windowText" lastClr="000000"/>
                </a:solidFill>
              </a:ln>
              <a:solidFill>
                <a:schemeClr val="bg1"/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Table'!$AM$3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Table'!$AL$4:$AL$8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Table'!$AM$4:$AM$8</c:f>
              <c:numCache>
                <c:formatCode>General</c:formatCode>
                <c:ptCount val="4"/>
                <c:pt idx="0">
                  <c:v>47475.703000000001</c:v>
                </c:pt>
                <c:pt idx="1">
                  <c:v>21953.119999999988</c:v>
                </c:pt>
                <c:pt idx="2">
                  <c:v>69113.214999999967</c:v>
                </c:pt>
                <c:pt idx="3">
                  <c:v>169258.2910999998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D-4361-AF9C-A990198C7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3"/>
        <c:axId val="112548383"/>
        <c:axId val="222312959"/>
      </c:barChart>
      <c:catAx>
        <c:axId val="11254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cap="all" baseline="0">
                <a:solidFill>
                  <a:schemeClr val="accent4">
                    <a:lumMod val="60000"/>
                    <a:lumOff val="40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22312959"/>
        <c:crosses val="autoZero"/>
        <c:auto val="1"/>
        <c:lblAlgn val="ctr"/>
        <c:lblOffset val="100"/>
        <c:noMultiLvlLbl val="0"/>
      </c:catAx>
      <c:valAx>
        <c:axId val="222312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254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Analysis.xlsx]pivot Table!PivotTable15</c:name>
    <c:fmtId val="5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cap="all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rPr>
              <a:t>Quarter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cap="all" spc="0" baseline="0">
              <a:ln>
                <a:solidFill>
                  <a:sysClr val="windowText" lastClr="000000"/>
                </a:solidFill>
              </a:ln>
              <a:solidFill>
                <a:schemeClr val="bg1"/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all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all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cap="all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Table'!$AP$3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'pivot Table'!$AO$4:$AO$8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Table'!$AP$4:$AP$8</c:f>
              <c:numCache>
                <c:formatCode>General</c:formatCode>
                <c:ptCount val="4"/>
                <c:pt idx="0">
                  <c:v>65952.675800000012</c:v>
                </c:pt>
                <c:pt idx="1">
                  <c:v>83469.853499999939</c:v>
                </c:pt>
                <c:pt idx="2">
                  <c:v>78154.545800000022</c:v>
                </c:pt>
                <c:pt idx="3">
                  <c:v>80223.253999999957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B6-4A47-9777-54BD84B00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650383"/>
        <c:axId val="254917039"/>
      </c:lineChart>
      <c:catAx>
        <c:axId val="22065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cap="all" baseline="0">
                <a:solidFill>
                  <a:schemeClr val="accent4">
                    <a:lumMod val="60000"/>
                    <a:lumOff val="40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54917039"/>
        <c:crosses val="autoZero"/>
        <c:auto val="1"/>
        <c:lblAlgn val="ctr"/>
        <c:lblOffset val="100"/>
        <c:noMultiLvlLbl val="0"/>
      </c:catAx>
      <c:valAx>
        <c:axId val="254917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065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 algn="ctr">
        <a:defRPr lang="en-US" sz="900" b="1" i="0" u="none" strike="noStrike" kern="1200" cap="all" baseline="0">
          <a:solidFill>
            <a:schemeClr val="accent4">
              <a:lumMod val="60000"/>
              <a:lumOff val="40000"/>
            </a:schemeClr>
          </a:solidFill>
          <a:latin typeface="Arial Black" panose="020B0A04020102020204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Analysis.xlsx]pivot Table!PivotTable15</c:name>
    <c:fmtId val="5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Table'!$AP$3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'pivot Table'!$AO$4:$AO$8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Table'!$AP$4:$AP$8</c:f>
              <c:numCache>
                <c:formatCode>General</c:formatCode>
                <c:ptCount val="4"/>
                <c:pt idx="0">
                  <c:v>65952.675800000012</c:v>
                </c:pt>
                <c:pt idx="1">
                  <c:v>83469.853499999939</c:v>
                </c:pt>
                <c:pt idx="2">
                  <c:v>78154.545800000022</c:v>
                </c:pt>
                <c:pt idx="3">
                  <c:v>80223.253999999957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D-4422-AF65-E0ECB2D9F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9903855"/>
        <c:axId val="222312543"/>
      </c:barChart>
      <c:catAx>
        <c:axId val="14499038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2312543"/>
        <c:crosses val="autoZero"/>
        <c:auto val="1"/>
        <c:lblAlgn val="ctr"/>
        <c:lblOffset val="100"/>
        <c:noMultiLvlLbl val="0"/>
      </c:catAx>
      <c:valAx>
        <c:axId val="2223125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4990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Analysis.xlsx]pivot Table!PivotTable16</c:name>
    <c:fmtId val="6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cap="all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800" b="1" i="0" u="none" strike="noStrike" kern="1200" cap="all" spc="0" baseline="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  <a:effectLst>
                  <a:glow rad="101600">
                    <a:schemeClr val="accent1">
                      <a:satMod val="175000"/>
                      <a:alpha val="40000"/>
                    </a:schemeClr>
                  </a:glow>
                  <a:reflection blurRad="6350" stA="55000" endA="300" endPos="45500" dir="5400000" sy="-100000" algn="bl" rotWithShape="0"/>
                </a:effectLst>
                <a:latin typeface="Arial Black" panose="020B0A04020102020204" pitchFamily="34" charset="0"/>
                <a:ea typeface="+mn-ea"/>
                <a:cs typeface="+mn-cs"/>
              </a:rPr>
              <a:t>year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cap="all" spc="0" baseline="0">
              <a:ln>
                <a:solidFill>
                  <a:sysClr val="windowText" lastClr="000000"/>
                </a:solidFill>
              </a:ln>
              <a:solidFill>
                <a:schemeClr val="bg1"/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Table'!$AS$3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'pivot Table'!$AR$4:$AR$8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2014</c:v>
                </c:pt>
                <c:pt idx="3">
                  <c:v>2015</c:v>
                </c:pt>
              </c:strCache>
            </c:strRef>
          </c:cat>
          <c:val>
            <c:numRef>
              <c:f>'pivot Table'!$AS$4:$AS$8</c:f>
              <c:numCache>
                <c:formatCode>General</c:formatCode>
                <c:ptCount val="4"/>
                <c:pt idx="0">
                  <c:v>87254.649799999941</c:v>
                </c:pt>
                <c:pt idx="1">
                  <c:v>83419.187799999971</c:v>
                </c:pt>
                <c:pt idx="2">
                  <c:v>68842.390000000014</c:v>
                </c:pt>
                <c:pt idx="3">
                  <c:v>68284.101500000033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4-4791-9D0F-7FD74C397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623071"/>
        <c:axId val="254941583"/>
      </c:barChart>
      <c:catAx>
        <c:axId val="24962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cap="all" baseline="0">
                <a:solidFill>
                  <a:schemeClr val="accent4">
                    <a:lumMod val="60000"/>
                    <a:lumOff val="40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54941583"/>
        <c:crosses val="autoZero"/>
        <c:auto val="1"/>
        <c:lblAlgn val="ctr"/>
        <c:lblOffset val="100"/>
        <c:noMultiLvlLbl val="0"/>
      </c:catAx>
      <c:valAx>
        <c:axId val="2549415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962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Category Vs Analysis'!A1"/><Relationship Id="rId1" Type="http://schemas.openxmlformats.org/officeDocument/2006/relationships/hyperlink" Target="#'Index  of Deshboard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Index  of Deshboard'!A1"/><Relationship Id="rId7" Type="http://schemas.openxmlformats.org/officeDocument/2006/relationships/hyperlink" Target="#'Category vs Cost'!A1"/><Relationship Id="rId2" Type="http://schemas.openxmlformats.org/officeDocument/2006/relationships/hyperlink" Target="#'KPI Deshboard'!A1"/><Relationship Id="rId1" Type="http://schemas.openxmlformats.org/officeDocument/2006/relationships/chart" Target="../charts/chart1.xml"/><Relationship Id="rId6" Type="http://schemas.openxmlformats.org/officeDocument/2006/relationships/hyperlink" Target="#'Category Vs Sales'!A1"/><Relationship Id="rId5" Type="http://schemas.openxmlformats.org/officeDocument/2006/relationships/hyperlink" Target="#'Category Vs profit'!A1"/><Relationship Id="rId4" Type="http://schemas.openxmlformats.org/officeDocument/2006/relationships/hyperlink" Target="#'City Vs Analysis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hyperlink" Target="#'Category Vs Analysis'!A1"/><Relationship Id="rId1" Type="http://schemas.openxmlformats.org/officeDocument/2006/relationships/hyperlink" Target="#'Category Vs Count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hyperlink" Target="#'Category Vs Analysis'!A1"/><Relationship Id="rId1" Type="http://schemas.openxmlformats.org/officeDocument/2006/relationships/hyperlink" Target="#'Category Vs Count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hyperlink" Target="#'Category Vs Analysis'!A1"/><Relationship Id="rId1" Type="http://schemas.openxmlformats.org/officeDocument/2006/relationships/hyperlink" Target="#'Category Vs Count'!A1"/><Relationship Id="rId4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'Region vs analysis'!A1"/><Relationship Id="rId2" Type="http://schemas.openxmlformats.org/officeDocument/2006/relationships/hyperlink" Target="#'Index  of Deshboard'!A1"/><Relationship Id="rId1" Type="http://schemas.openxmlformats.org/officeDocument/2006/relationships/hyperlink" Target="#'Category Vs Analysis'!A1"/><Relationship Id="rId5" Type="http://schemas.openxmlformats.org/officeDocument/2006/relationships/hyperlink" Target="#'City Vs Profit'!A1"/><Relationship Id="rId4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'City Vs Analysis'!A1"/><Relationship Id="rId2" Type="http://schemas.openxmlformats.org/officeDocument/2006/relationships/hyperlink" Target="#'Category Vs Count'!A1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'State Vs analysis'!A1"/><Relationship Id="rId2" Type="http://schemas.openxmlformats.org/officeDocument/2006/relationships/hyperlink" Target="#'Index  of Deshboard'!A1"/><Relationship Id="rId1" Type="http://schemas.openxmlformats.org/officeDocument/2006/relationships/hyperlink" Target="#'City Vs Analysis'!A1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'Sheap Mode Vs Analysis'!A1"/><Relationship Id="rId2" Type="http://schemas.openxmlformats.org/officeDocument/2006/relationships/hyperlink" Target="#'Index  of Deshboard'!A1"/><Relationship Id="rId1" Type="http://schemas.openxmlformats.org/officeDocument/2006/relationships/hyperlink" Target="#'Region vs analysis'!A1"/><Relationship Id="rId5" Type="http://schemas.openxmlformats.org/officeDocument/2006/relationships/hyperlink" Target="#'Stats Vs profit'!A1"/><Relationship Id="rId4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hyperlink" Target="#'State Vs analysis'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'Index  of Deshboard'!A1"/><Relationship Id="rId2" Type="http://schemas.openxmlformats.org/officeDocument/2006/relationships/hyperlink" Target="#'State Vs analysis'!A1"/><Relationship Id="rId1" Type="http://schemas.openxmlformats.org/officeDocument/2006/relationships/chart" Target="../charts/chart12.xml"/><Relationship Id="rId5" Type="http://schemas.openxmlformats.org/officeDocument/2006/relationships/chart" Target="../charts/chart13.xml"/><Relationship Id="rId4" Type="http://schemas.openxmlformats.org/officeDocument/2006/relationships/hyperlink" Target="#'Date Vs Analysis'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hyperlink" Target="#'Index  of Deshboard'!A1"/><Relationship Id="rId1" Type="http://schemas.openxmlformats.org/officeDocument/2006/relationships/hyperlink" Target="#'Sheap Mode Vs Analysis'!A1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3095625</xdr:colOff>
      <xdr:row>6</xdr:row>
      <xdr:rowOff>28576</xdr:rowOff>
    </xdr:from>
    <xdr:to>
      <xdr:col>8</xdr:col>
      <xdr:colOff>3724275</xdr:colOff>
      <xdr:row>7</xdr:row>
      <xdr:rowOff>123826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93DBC860-2C58-4B3E-931E-835EBA763F09}"/>
            </a:ext>
          </a:extLst>
        </xdr:cNvPr>
        <xdr:cNvSpPr/>
      </xdr:nvSpPr>
      <xdr:spPr>
        <a:xfrm>
          <a:off x="7943850" y="1171576"/>
          <a:ext cx="628650" cy="285750"/>
        </a:xfrm>
        <a:prstGeom prst="rightArrow">
          <a:avLst>
            <a:gd name="adj1" fmla="val 50000"/>
            <a:gd name="adj2" fmla="val 123333"/>
          </a:avLst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3</xdr:row>
      <xdr:rowOff>66675</xdr:rowOff>
    </xdr:from>
    <xdr:to>
      <xdr:col>8</xdr:col>
      <xdr:colOff>190500</xdr:colOff>
      <xdr:row>5</xdr:row>
      <xdr:rowOff>28575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2A1F6A-94B2-4132-A7D7-301425C636CE}"/>
            </a:ext>
          </a:extLst>
        </xdr:cNvPr>
        <xdr:cNvGrpSpPr/>
      </xdr:nvGrpSpPr>
      <xdr:grpSpPr>
        <a:xfrm>
          <a:off x="4048125" y="847725"/>
          <a:ext cx="1019175" cy="638175"/>
          <a:chOff x="1609725" y="2562225"/>
          <a:chExt cx="1019175" cy="638175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A5B6BEA0-0E13-4330-9916-B3D3B0C9AE69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FA18D696-2382-44E7-A490-F2A3BBB7FA54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Home</a:t>
            </a:r>
          </a:p>
        </xdr:txBody>
      </xdr:sp>
    </xdr:grpSp>
    <xdr:clientData/>
  </xdr:twoCellAnchor>
  <xdr:twoCellAnchor>
    <xdr:from>
      <xdr:col>6</xdr:col>
      <xdr:colOff>361950</xdr:colOff>
      <xdr:row>5</xdr:row>
      <xdr:rowOff>152400</xdr:rowOff>
    </xdr:from>
    <xdr:to>
      <xdr:col>8</xdr:col>
      <xdr:colOff>161925</xdr:colOff>
      <xdr:row>7</xdr:row>
      <xdr:rowOff>133350</xdr:rowOff>
    </xdr:to>
    <xdr:grpSp>
      <xdr:nvGrpSpPr>
        <xdr:cNvPr id="6" name="Group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2E3CAC-3E3F-47A2-8C06-B082D663779C}"/>
            </a:ext>
          </a:extLst>
        </xdr:cNvPr>
        <xdr:cNvGrpSpPr/>
      </xdr:nvGrpSpPr>
      <xdr:grpSpPr>
        <a:xfrm>
          <a:off x="4019550" y="1609725"/>
          <a:ext cx="1019175" cy="638175"/>
          <a:chOff x="1609725" y="2562225"/>
          <a:chExt cx="1019175" cy="638175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B1ABBAEA-EA54-4F77-B611-C4BFF073D8A7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7E0B79B3-A312-441E-ABEB-36D983D5C6C4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Next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3</xdr:row>
      <xdr:rowOff>38100</xdr:rowOff>
    </xdr:from>
    <xdr:to>
      <xdr:col>16</xdr:col>
      <xdr:colOff>428625</xdr:colOff>
      <xdr:row>19</xdr:row>
      <xdr:rowOff>76200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AD13009-CAC1-47C8-89B8-9412BDC620D9}"/>
            </a:ext>
          </a:extLst>
        </xdr:cNvPr>
        <xdr:cNvSpPr/>
      </xdr:nvSpPr>
      <xdr:spPr>
        <a:xfrm>
          <a:off x="1962150" y="609600"/>
          <a:ext cx="8220075" cy="3086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114300</xdr:colOff>
      <xdr:row>3</xdr:row>
      <xdr:rowOff>161925</xdr:rowOff>
    </xdr:from>
    <xdr:to>
      <xdr:col>16</xdr:col>
      <xdr:colOff>390525</xdr:colOff>
      <xdr:row>19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AE52180-CF6C-4DF1-B354-89C72E5D8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</xdr:row>
      <xdr:rowOff>0</xdr:rowOff>
    </xdr:from>
    <xdr:to>
      <xdr:col>2</xdr:col>
      <xdr:colOff>285750</xdr:colOff>
      <xdr:row>8</xdr:row>
      <xdr:rowOff>133349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D7CDBFC-159D-4A89-A620-EB4582D52467}"/>
            </a:ext>
          </a:extLst>
        </xdr:cNvPr>
        <xdr:cNvSpPr txBox="1"/>
      </xdr:nvSpPr>
      <xdr:spPr>
        <a:xfrm>
          <a:off x="609600" y="1143000"/>
          <a:ext cx="895350" cy="514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800">
            <a:ln>
              <a:noFill/>
            </a:ln>
            <a:solidFill>
              <a:schemeClr val="bg1"/>
            </a:solidFill>
            <a:latin typeface="Americana BT" panose="02020504070506020904" pitchFamily="18" charset="0"/>
          </a:endParaRPr>
        </a:p>
      </xdr:txBody>
    </xdr:sp>
    <xdr:clientData/>
  </xdr:twoCellAnchor>
  <xdr:twoCellAnchor>
    <xdr:from>
      <xdr:col>1</xdr:col>
      <xdr:colOff>57150</xdr:colOff>
      <xdr:row>12</xdr:row>
      <xdr:rowOff>171450</xdr:rowOff>
    </xdr:from>
    <xdr:to>
      <xdr:col>2</xdr:col>
      <xdr:colOff>466725</xdr:colOff>
      <xdr:row>16</xdr:row>
      <xdr:rowOff>47625</xdr:rowOff>
    </xdr:to>
    <xdr:grpSp>
      <xdr:nvGrpSpPr>
        <xdr:cNvPr id="6" name="Group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78BFBA-7BE3-47DE-A441-C2E51277B2BA}"/>
            </a:ext>
          </a:extLst>
        </xdr:cNvPr>
        <xdr:cNvGrpSpPr/>
      </xdr:nvGrpSpPr>
      <xdr:grpSpPr>
        <a:xfrm>
          <a:off x="666750" y="2457450"/>
          <a:ext cx="1019175" cy="638175"/>
          <a:chOff x="1609725" y="2562225"/>
          <a:chExt cx="1019175" cy="638175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A0706710-4A60-4B07-B666-61E2121926C0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3D517BA9-953D-458D-8011-89FF84FF4F26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Back</a:t>
            </a:r>
          </a:p>
        </xdr:txBody>
      </xdr:sp>
    </xdr:grpSp>
    <xdr:clientData/>
  </xdr:twoCellAnchor>
  <xdr:twoCellAnchor>
    <xdr:from>
      <xdr:col>1</xdr:col>
      <xdr:colOff>85725</xdr:colOff>
      <xdr:row>4</xdr:row>
      <xdr:rowOff>142875</xdr:rowOff>
    </xdr:from>
    <xdr:to>
      <xdr:col>2</xdr:col>
      <xdr:colOff>495300</xdr:colOff>
      <xdr:row>8</xdr:row>
      <xdr:rowOff>19050</xdr:rowOff>
    </xdr:to>
    <xdr:grpSp>
      <xdr:nvGrpSpPr>
        <xdr:cNvPr id="11" name="Group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8C244BA-B7FE-4C4A-8F31-E944A873D1E8}"/>
            </a:ext>
          </a:extLst>
        </xdr:cNvPr>
        <xdr:cNvGrpSpPr/>
      </xdr:nvGrpSpPr>
      <xdr:grpSpPr>
        <a:xfrm>
          <a:off x="695325" y="904875"/>
          <a:ext cx="1019175" cy="638175"/>
          <a:chOff x="1609725" y="2562225"/>
          <a:chExt cx="1019175" cy="6381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565C6DD0-5E04-4A08-A57A-78ED531EEB21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BD2ABC2-853C-491B-BAF0-8642C8DFA734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Home</a:t>
            </a:r>
          </a:p>
        </xdr:txBody>
      </xdr:sp>
    </xdr:grpSp>
    <xdr:clientData/>
  </xdr:twoCellAnchor>
  <xdr:twoCellAnchor>
    <xdr:from>
      <xdr:col>1</xdr:col>
      <xdr:colOff>76200</xdr:colOff>
      <xdr:row>8</xdr:row>
      <xdr:rowOff>123825</xdr:rowOff>
    </xdr:from>
    <xdr:to>
      <xdr:col>2</xdr:col>
      <xdr:colOff>485775</xdr:colOff>
      <xdr:row>12</xdr:row>
      <xdr:rowOff>0</xdr:rowOff>
    </xdr:to>
    <xdr:grpSp>
      <xdr:nvGrpSpPr>
        <xdr:cNvPr id="14" name="Group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EDCCDF6-3C2C-4AFC-A10C-DD1FB1F5EC62}"/>
            </a:ext>
          </a:extLst>
        </xdr:cNvPr>
        <xdr:cNvGrpSpPr/>
      </xdr:nvGrpSpPr>
      <xdr:grpSpPr>
        <a:xfrm>
          <a:off x="685800" y="1647825"/>
          <a:ext cx="1019175" cy="638175"/>
          <a:chOff x="1609725" y="2562225"/>
          <a:chExt cx="1019175" cy="638175"/>
        </a:xfrm>
      </xdr:grpSpPr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13E42F3B-C78C-48DE-B5B0-2B5E88193148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65FBDC7C-AE5D-4A3B-BAAC-BC9796609E28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Next</a:t>
            </a:r>
          </a:p>
        </xdr:txBody>
      </xdr:sp>
    </xdr:grpSp>
    <xdr:clientData/>
  </xdr:twoCellAnchor>
  <xdr:twoCellAnchor>
    <xdr:from>
      <xdr:col>17</xdr:col>
      <xdr:colOff>19050</xdr:colOff>
      <xdr:row>3</xdr:row>
      <xdr:rowOff>95250</xdr:rowOff>
    </xdr:from>
    <xdr:to>
      <xdr:col>18</xdr:col>
      <xdr:colOff>466725</xdr:colOff>
      <xdr:row>7</xdr:row>
      <xdr:rowOff>1</xdr:rowOff>
    </xdr:to>
    <xdr:grpSp>
      <xdr:nvGrpSpPr>
        <xdr:cNvPr id="17" name="Group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E6BE282-592F-4409-8BB4-0485439C0A7D}"/>
            </a:ext>
          </a:extLst>
        </xdr:cNvPr>
        <xdr:cNvGrpSpPr/>
      </xdr:nvGrpSpPr>
      <xdr:grpSpPr>
        <a:xfrm>
          <a:off x="10382250" y="666750"/>
          <a:ext cx="1057275" cy="666751"/>
          <a:chOff x="1609725" y="2562225"/>
          <a:chExt cx="1019175" cy="638175"/>
        </a:xfrm>
        <a:solidFill>
          <a:schemeClr val="accent2">
            <a:lumMod val="60000"/>
            <a:lumOff val="40000"/>
          </a:schemeClr>
        </a:solidFill>
      </xdr:grpSpPr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2853F6D4-D10D-411B-B351-A37C8A18BD61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4CB7748F-8776-4CAA-8B1E-D50B2444E458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>
                <a:ln>
                  <a:noFill/>
                </a:ln>
                <a:solidFill>
                  <a:schemeClr val="accent6">
                    <a:lumMod val="50000"/>
                  </a:schemeClr>
                </a:solidFill>
                <a:latin typeface="Americana BT" panose="02020504070506020904" pitchFamily="18" charset="0"/>
              </a:rPr>
              <a:t>Category</a:t>
            </a:r>
            <a:r>
              <a:rPr lang="en-US" sz="1200" baseline="0">
                <a:ln>
                  <a:noFill/>
                </a:ln>
                <a:solidFill>
                  <a:schemeClr val="accent6">
                    <a:lumMod val="50000"/>
                  </a:schemeClr>
                </a:solidFill>
                <a:latin typeface="Americana BT" panose="02020504070506020904" pitchFamily="18" charset="0"/>
              </a:rPr>
              <a:t> Vs profit</a:t>
            </a:r>
            <a:endParaRPr lang="en-US" sz="1200">
              <a:ln>
                <a:noFill/>
              </a:ln>
              <a:solidFill>
                <a:schemeClr val="accent6">
                  <a:lumMod val="50000"/>
                </a:schemeClr>
              </a:solidFill>
              <a:latin typeface="Americana BT" panose="02020504070506020904" pitchFamily="18" charset="0"/>
            </a:endParaRPr>
          </a:p>
        </xdr:txBody>
      </xdr:sp>
    </xdr:grpSp>
    <xdr:clientData/>
  </xdr:twoCellAnchor>
  <xdr:twoCellAnchor>
    <xdr:from>
      <xdr:col>17</xdr:col>
      <xdr:colOff>19050</xdr:colOff>
      <xdr:row>7</xdr:row>
      <xdr:rowOff>95250</xdr:rowOff>
    </xdr:from>
    <xdr:to>
      <xdr:col>18</xdr:col>
      <xdr:colOff>485776</xdr:colOff>
      <xdr:row>10</xdr:row>
      <xdr:rowOff>180975</xdr:rowOff>
    </xdr:to>
    <xdr:grpSp>
      <xdr:nvGrpSpPr>
        <xdr:cNvPr id="26" name="Group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B369F80-ABA9-404B-95CC-129938879534}"/>
            </a:ext>
          </a:extLst>
        </xdr:cNvPr>
        <xdr:cNvGrpSpPr/>
      </xdr:nvGrpSpPr>
      <xdr:grpSpPr>
        <a:xfrm>
          <a:off x="10382250" y="1428750"/>
          <a:ext cx="1076326" cy="657225"/>
          <a:chOff x="1609725" y="2562225"/>
          <a:chExt cx="1019175" cy="638175"/>
        </a:xfrm>
        <a:solidFill>
          <a:schemeClr val="accent2">
            <a:lumMod val="60000"/>
            <a:lumOff val="40000"/>
          </a:schemeClr>
        </a:solidFill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7A6EC8B2-52E2-418D-A1E8-372FFD3FEA6E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986796B2-7DD5-422C-AB63-B90E4B06D0C3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>
                <a:ln>
                  <a:noFill/>
                </a:ln>
                <a:solidFill>
                  <a:schemeClr val="accent6">
                    <a:lumMod val="50000"/>
                  </a:schemeClr>
                </a:solidFill>
                <a:latin typeface="Americana BT" panose="02020504070506020904" pitchFamily="18" charset="0"/>
              </a:rPr>
              <a:t>Category</a:t>
            </a:r>
            <a:r>
              <a:rPr lang="en-US" sz="1200" b="1" baseline="0">
                <a:ln>
                  <a:noFill/>
                </a:ln>
                <a:solidFill>
                  <a:schemeClr val="accent6">
                    <a:lumMod val="50000"/>
                  </a:schemeClr>
                </a:solidFill>
                <a:latin typeface="Americana BT" panose="02020504070506020904" pitchFamily="18" charset="0"/>
              </a:rPr>
              <a:t> Vs Sales</a:t>
            </a:r>
            <a:endParaRPr lang="en-US" sz="1200" b="1">
              <a:ln>
                <a:noFill/>
              </a:ln>
              <a:solidFill>
                <a:schemeClr val="accent6">
                  <a:lumMod val="50000"/>
                </a:schemeClr>
              </a:solidFill>
              <a:latin typeface="Americana BT" panose="02020504070506020904" pitchFamily="18" charset="0"/>
            </a:endParaRPr>
          </a:p>
        </xdr:txBody>
      </xdr:sp>
    </xdr:grpSp>
    <xdr:clientData/>
  </xdr:twoCellAnchor>
  <xdr:twoCellAnchor>
    <xdr:from>
      <xdr:col>17</xdr:col>
      <xdr:colOff>28575</xdr:colOff>
      <xdr:row>11</xdr:row>
      <xdr:rowOff>76202</xdr:rowOff>
    </xdr:from>
    <xdr:to>
      <xdr:col>18</xdr:col>
      <xdr:colOff>523875</xdr:colOff>
      <xdr:row>15</xdr:row>
      <xdr:rowOff>95250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6062FF9E-DB47-4525-8A5C-235557EDD637}"/>
            </a:ext>
          </a:extLst>
        </xdr:cNvPr>
        <xdr:cNvGrpSpPr/>
      </xdr:nvGrpSpPr>
      <xdr:grpSpPr>
        <a:xfrm>
          <a:off x="10391775" y="2171702"/>
          <a:ext cx="1104900" cy="781048"/>
          <a:chOff x="1609725" y="2562226"/>
          <a:chExt cx="1019175" cy="638175"/>
        </a:xfrm>
        <a:solidFill>
          <a:schemeClr val="accent2">
            <a:lumMod val="60000"/>
            <a:lumOff val="40000"/>
          </a:schemeClr>
        </a:solidFill>
      </xdr:grpSpPr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5C6CBE56-316C-44C6-81C5-89E24B01DA60}"/>
              </a:ext>
            </a:extLst>
          </xdr:cNvPr>
          <xdr:cNvSpPr/>
        </xdr:nvSpPr>
        <xdr:spPr>
          <a:xfrm>
            <a:off x="1609725" y="2562226"/>
            <a:ext cx="1019175" cy="638175"/>
          </a:xfrm>
          <a:prstGeom prst="round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1" name="TextBox 3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950705C3-A637-42E6-B08C-784EB2A43A26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>
                <a:ln>
                  <a:noFill/>
                </a:ln>
                <a:solidFill>
                  <a:schemeClr val="accent6">
                    <a:lumMod val="50000"/>
                  </a:schemeClr>
                </a:solidFill>
                <a:latin typeface="Americana BT" panose="02020504070506020904" pitchFamily="18" charset="0"/>
              </a:rPr>
              <a:t>Category</a:t>
            </a:r>
            <a:r>
              <a:rPr lang="en-US" sz="1200" baseline="0">
                <a:ln>
                  <a:noFill/>
                </a:ln>
                <a:solidFill>
                  <a:schemeClr val="accent6">
                    <a:lumMod val="50000"/>
                  </a:schemeClr>
                </a:solidFill>
                <a:latin typeface="Americana BT" panose="02020504070506020904" pitchFamily="18" charset="0"/>
              </a:rPr>
              <a:t> Vs Cost</a:t>
            </a:r>
            <a:endParaRPr lang="en-US" sz="1200">
              <a:ln>
                <a:noFill/>
              </a:ln>
              <a:solidFill>
                <a:schemeClr val="accent6">
                  <a:lumMod val="50000"/>
                </a:schemeClr>
              </a:solidFill>
              <a:latin typeface="Americana BT" panose="020205040705060209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2</xdr:col>
      <xdr:colOff>285750</xdr:colOff>
      <xdr:row>8</xdr:row>
      <xdr:rowOff>133349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C48B9E-4985-4AE4-B942-CE5B02E6EB64}"/>
            </a:ext>
          </a:extLst>
        </xdr:cNvPr>
        <xdr:cNvSpPr txBox="1"/>
      </xdr:nvSpPr>
      <xdr:spPr>
        <a:xfrm>
          <a:off x="609600" y="1143000"/>
          <a:ext cx="895350" cy="514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800">
            <a:ln>
              <a:noFill/>
            </a:ln>
            <a:solidFill>
              <a:schemeClr val="bg1"/>
            </a:solidFill>
            <a:latin typeface="Americana BT" panose="02020504070506020904" pitchFamily="18" charset="0"/>
          </a:endParaRPr>
        </a:p>
      </xdr:txBody>
    </xdr:sp>
    <xdr:clientData/>
  </xdr:twoCellAnchor>
  <xdr:twoCellAnchor>
    <xdr:from>
      <xdr:col>15</xdr:col>
      <xdr:colOff>400050</xdr:colOff>
      <xdr:row>2</xdr:row>
      <xdr:rowOff>85725</xdr:rowOff>
    </xdr:from>
    <xdr:to>
      <xdr:col>17</xdr:col>
      <xdr:colOff>123825</xdr:colOff>
      <xdr:row>5</xdr:row>
      <xdr:rowOff>38100</xdr:rowOff>
    </xdr:to>
    <xdr:grpSp>
      <xdr:nvGrpSpPr>
        <xdr:cNvPr id="17" name="Group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80ABF1-6353-4516-B26D-3A0E54CA1D9C}"/>
            </a:ext>
          </a:extLst>
        </xdr:cNvPr>
        <xdr:cNvGrpSpPr/>
      </xdr:nvGrpSpPr>
      <xdr:grpSpPr>
        <a:xfrm>
          <a:off x="9544050" y="466725"/>
          <a:ext cx="942975" cy="523875"/>
          <a:chOff x="1609725" y="2562225"/>
          <a:chExt cx="1019175" cy="638175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3F030AFB-92E5-46F4-84E3-EBC9B921087D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TextBox 18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84E758A-CF0A-4852-B135-DB1D028AC80B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>
                <a:ln>
                  <a:noFill/>
                </a:ln>
                <a:solidFill>
                  <a:schemeClr val="tx1"/>
                </a:solidFill>
                <a:latin typeface="Americana BT" panose="02020504070506020904" pitchFamily="18" charset="0"/>
              </a:rPr>
              <a:t>Cancel</a:t>
            </a:r>
          </a:p>
        </xdr:txBody>
      </xdr:sp>
    </xdr:grpSp>
    <xdr:clientData/>
  </xdr:twoCellAnchor>
  <xdr:twoCellAnchor>
    <xdr:from>
      <xdr:col>2</xdr:col>
      <xdr:colOff>19050</xdr:colOff>
      <xdr:row>1</xdr:row>
      <xdr:rowOff>47625</xdr:rowOff>
    </xdr:from>
    <xdr:to>
      <xdr:col>15</xdr:col>
      <xdr:colOff>314325</xdr:colOff>
      <xdr:row>19</xdr:row>
      <xdr:rowOff>123825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9B55ABD1-D6A4-461E-A45D-2C0D25632D49}"/>
            </a:ext>
          </a:extLst>
        </xdr:cNvPr>
        <xdr:cNvGrpSpPr/>
      </xdr:nvGrpSpPr>
      <xdr:grpSpPr>
        <a:xfrm>
          <a:off x="1238250" y="238125"/>
          <a:ext cx="8220075" cy="3505200"/>
          <a:chOff x="2076450" y="638175"/>
          <a:chExt cx="8220075" cy="3086100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032BB319-6363-4971-8756-159E1F700437}"/>
              </a:ext>
            </a:extLst>
          </xdr:cNvPr>
          <xdr:cNvSpPr/>
        </xdr:nvSpPr>
        <xdr:spPr>
          <a:xfrm>
            <a:off x="2076450" y="638175"/>
            <a:ext cx="8220075" cy="30861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0B5DD734-A94D-4050-BC44-1A9E9F23FD19}"/>
              </a:ext>
            </a:extLst>
          </xdr:cNvPr>
          <xdr:cNvGraphicFramePr>
            <a:graphicFrameLocks/>
          </xdr:cNvGraphicFramePr>
        </xdr:nvGraphicFramePr>
        <xdr:xfrm>
          <a:off x="2095501" y="685799"/>
          <a:ext cx="7934324" cy="29813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2</xdr:col>
      <xdr:colOff>285750</xdr:colOff>
      <xdr:row>8</xdr:row>
      <xdr:rowOff>133349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7A29BD-D111-4E4E-B8B8-A7BFE8798C02}"/>
            </a:ext>
          </a:extLst>
        </xdr:cNvPr>
        <xdr:cNvSpPr txBox="1"/>
      </xdr:nvSpPr>
      <xdr:spPr>
        <a:xfrm>
          <a:off x="609600" y="1143000"/>
          <a:ext cx="895350" cy="514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800">
            <a:ln>
              <a:noFill/>
            </a:ln>
            <a:solidFill>
              <a:schemeClr val="bg1"/>
            </a:solidFill>
            <a:latin typeface="Americana BT" panose="02020504070506020904" pitchFamily="18" charset="0"/>
          </a:endParaRPr>
        </a:p>
      </xdr:txBody>
    </xdr:sp>
    <xdr:clientData/>
  </xdr:twoCellAnchor>
  <xdr:twoCellAnchor>
    <xdr:from>
      <xdr:col>15</xdr:col>
      <xdr:colOff>400050</xdr:colOff>
      <xdr:row>2</xdr:row>
      <xdr:rowOff>85725</xdr:rowOff>
    </xdr:from>
    <xdr:to>
      <xdr:col>17</xdr:col>
      <xdr:colOff>123825</xdr:colOff>
      <xdr:row>5</xdr:row>
      <xdr:rowOff>38100</xdr:rowOff>
    </xdr:to>
    <xdr:grpSp>
      <xdr:nvGrpSpPr>
        <xdr:cNvPr id="3" name="Group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F6FA77-16E9-408C-BDDE-5C627BCF527B}"/>
            </a:ext>
          </a:extLst>
        </xdr:cNvPr>
        <xdr:cNvGrpSpPr/>
      </xdr:nvGrpSpPr>
      <xdr:grpSpPr>
        <a:xfrm>
          <a:off x="9544050" y="466725"/>
          <a:ext cx="942975" cy="523875"/>
          <a:chOff x="1609725" y="2562225"/>
          <a:chExt cx="1019175" cy="638175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5BF9FEC7-590D-4E58-9FD1-DB036DC7016A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TextBox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4BBD9AD-9355-4A66-B6A4-C3352DDCCE5B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>
                <a:ln>
                  <a:noFill/>
                </a:ln>
                <a:solidFill>
                  <a:schemeClr val="tx1"/>
                </a:solidFill>
                <a:latin typeface="Americana BT" panose="02020504070506020904" pitchFamily="18" charset="0"/>
              </a:rPr>
              <a:t>Cancel</a:t>
            </a:r>
          </a:p>
        </xdr:txBody>
      </xdr:sp>
    </xdr:grpSp>
    <xdr:clientData/>
  </xdr:twoCellAnchor>
  <xdr:twoCellAnchor>
    <xdr:from>
      <xdr:col>2</xdr:col>
      <xdr:colOff>19050</xdr:colOff>
      <xdr:row>1</xdr:row>
      <xdr:rowOff>47625</xdr:rowOff>
    </xdr:from>
    <xdr:to>
      <xdr:col>15</xdr:col>
      <xdr:colOff>314325</xdr:colOff>
      <xdr:row>19</xdr:row>
      <xdr:rowOff>123825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B94A925-849A-408B-9C40-5208750B352A}"/>
            </a:ext>
          </a:extLst>
        </xdr:cNvPr>
        <xdr:cNvSpPr/>
      </xdr:nvSpPr>
      <xdr:spPr>
        <a:xfrm>
          <a:off x="1238250" y="238125"/>
          <a:ext cx="8220075" cy="35052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361951</xdr:colOff>
      <xdr:row>1</xdr:row>
      <xdr:rowOff>28575</xdr:rowOff>
    </xdr:from>
    <xdr:to>
      <xdr:col>16</xdr:col>
      <xdr:colOff>104394</xdr:colOff>
      <xdr:row>19</xdr:row>
      <xdr:rowOff>188943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0A0B6B1-1991-4EEC-B1D1-2C324FB74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2</xdr:col>
      <xdr:colOff>285750</xdr:colOff>
      <xdr:row>8</xdr:row>
      <xdr:rowOff>133349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CEE973-B509-4997-93F6-8BCEB8609524}"/>
            </a:ext>
          </a:extLst>
        </xdr:cNvPr>
        <xdr:cNvSpPr txBox="1"/>
      </xdr:nvSpPr>
      <xdr:spPr>
        <a:xfrm>
          <a:off x="609600" y="1143000"/>
          <a:ext cx="895350" cy="514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800">
            <a:ln>
              <a:noFill/>
            </a:ln>
            <a:solidFill>
              <a:schemeClr val="bg1"/>
            </a:solidFill>
            <a:latin typeface="Americana BT" panose="02020504070506020904" pitchFamily="18" charset="0"/>
          </a:endParaRPr>
        </a:p>
      </xdr:txBody>
    </xdr:sp>
    <xdr:clientData/>
  </xdr:twoCellAnchor>
  <xdr:twoCellAnchor>
    <xdr:from>
      <xdr:col>15</xdr:col>
      <xdr:colOff>400050</xdr:colOff>
      <xdr:row>2</xdr:row>
      <xdr:rowOff>85725</xdr:rowOff>
    </xdr:from>
    <xdr:to>
      <xdr:col>17</xdr:col>
      <xdr:colOff>123825</xdr:colOff>
      <xdr:row>5</xdr:row>
      <xdr:rowOff>38100</xdr:rowOff>
    </xdr:to>
    <xdr:grpSp>
      <xdr:nvGrpSpPr>
        <xdr:cNvPr id="3" name="Group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DAD7F1-EFA1-4E9B-8F17-739CD513C53D}"/>
            </a:ext>
          </a:extLst>
        </xdr:cNvPr>
        <xdr:cNvGrpSpPr/>
      </xdr:nvGrpSpPr>
      <xdr:grpSpPr>
        <a:xfrm>
          <a:off x="9544050" y="466725"/>
          <a:ext cx="942975" cy="523875"/>
          <a:chOff x="1609725" y="2562225"/>
          <a:chExt cx="1019175" cy="638175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DA8B4BF9-A1CD-46B8-BD2C-4BA61E3926D4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TextBox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C8308154-8A0B-468E-BCB3-2035F2521AD6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>
                <a:ln>
                  <a:noFill/>
                </a:ln>
                <a:solidFill>
                  <a:schemeClr val="tx1"/>
                </a:solidFill>
                <a:latin typeface="Americana BT" panose="02020504070506020904" pitchFamily="18" charset="0"/>
              </a:rPr>
              <a:t>Cancel</a:t>
            </a:r>
          </a:p>
        </xdr:txBody>
      </xdr:sp>
    </xdr:grpSp>
    <xdr:clientData/>
  </xdr:twoCellAnchor>
  <xdr:twoCellAnchor>
    <xdr:from>
      <xdr:col>2</xdr:col>
      <xdr:colOff>19050</xdr:colOff>
      <xdr:row>1</xdr:row>
      <xdr:rowOff>47625</xdr:rowOff>
    </xdr:from>
    <xdr:to>
      <xdr:col>15</xdr:col>
      <xdr:colOff>314325</xdr:colOff>
      <xdr:row>19</xdr:row>
      <xdr:rowOff>123825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F5C0C7C-6AE5-4316-859A-DDA8451D460C}"/>
            </a:ext>
          </a:extLst>
        </xdr:cNvPr>
        <xdr:cNvSpPr/>
      </xdr:nvSpPr>
      <xdr:spPr>
        <a:xfrm>
          <a:off x="1238250" y="238125"/>
          <a:ext cx="8220075" cy="35052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19051</xdr:colOff>
      <xdr:row>21</xdr:row>
      <xdr:rowOff>47625</xdr:rowOff>
    </xdr:from>
    <xdr:to>
      <xdr:col>21</xdr:col>
      <xdr:colOff>371094</xdr:colOff>
      <xdr:row>40</xdr:row>
      <xdr:rowOff>17493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EFE3173-4562-46EA-9F01-DF5265883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590550</xdr:colOff>
      <xdr:row>1</xdr:row>
      <xdr:rowOff>28575</xdr:rowOff>
    </xdr:from>
    <xdr:to>
      <xdr:col>15</xdr:col>
      <xdr:colOff>408337</xdr:colOff>
      <xdr:row>19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CB5B27-59E1-41C9-AA75-C78EB0FC8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3</xdr:row>
      <xdr:rowOff>38100</xdr:rowOff>
    </xdr:from>
    <xdr:to>
      <xdr:col>19</xdr:col>
      <xdr:colOff>142875</xdr:colOff>
      <xdr:row>19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9475397-0C4A-4BF1-9FAF-1BEEA9339305}"/>
            </a:ext>
          </a:extLst>
        </xdr:cNvPr>
        <xdr:cNvSpPr/>
      </xdr:nvSpPr>
      <xdr:spPr>
        <a:xfrm>
          <a:off x="1962150" y="609600"/>
          <a:ext cx="9763125" cy="3086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2</xdr:col>
      <xdr:colOff>285750</xdr:colOff>
      <xdr:row>8</xdr:row>
      <xdr:rowOff>133349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A2F5464-93BC-4526-BB44-96D23B2CE653}"/>
            </a:ext>
          </a:extLst>
        </xdr:cNvPr>
        <xdr:cNvSpPr txBox="1"/>
      </xdr:nvSpPr>
      <xdr:spPr>
        <a:xfrm>
          <a:off x="609600" y="1143000"/>
          <a:ext cx="895350" cy="514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800">
            <a:ln>
              <a:noFill/>
            </a:ln>
            <a:solidFill>
              <a:schemeClr val="bg1"/>
            </a:solidFill>
            <a:latin typeface="Americana BT" panose="02020504070506020904" pitchFamily="18" charset="0"/>
          </a:endParaRPr>
        </a:p>
      </xdr:txBody>
    </xdr:sp>
    <xdr:clientData/>
  </xdr:twoCellAnchor>
  <xdr:twoCellAnchor>
    <xdr:from>
      <xdr:col>1</xdr:col>
      <xdr:colOff>57150</xdr:colOff>
      <xdr:row>12</xdr:row>
      <xdr:rowOff>171450</xdr:rowOff>
    </xdr:from>
    <xdr:to>
      <xdr:col>2</xdr:col>
      <xdr:colOff>466725</xdr:colOff>
      <xdr:row>16</xdr:row>
      <xdr:rowOff>47625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CB8B72-93FC-458C-97FA-C3CF92AB7470}"/>
            </a:ext>
          </a:extLst>
        </xdr:cNvPr>
        <xdr:cNvGrpSpPr/>
      </xdr:nvGrpSpPr>
      <xdr:grpSpPr>
        <a:xfrm>
          <a:off x="666750" y="2457450"/>
          <a:ext cx="1019175" cy="638175"/>
          <a:chOff x="1609725" y="2562225"/>
          <a:chExt cx="1019175" cy="6381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8F36CBB2-3A4D-4604-BB68-DA1DC2129826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C1CECE12-A834-4BE3-9F72-2B500CAF85A6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Back</a:t>
            </a:r>
          </a:p>
        </xdr:txBody>
      </xdr:sp>
    </xdr:grpSp>
    <xdr:clientData/>
  </xdr:twoCellAnchor>
  <xdr:twoCellAnchor>
    <xdr:from>
      <xdr:col>1</xdr:col>
      <xdr:colOff>85725</xdr:colOff>
      <xdr:row>4</xdr:row>
      <xdr:rowOff>142875</xdr:rowOff>
    </xdr:from>
    <xdr:to>
      <xdr:col>2</xdr:col>
      <xdr:colOff>495300</xdr:colOff>
      <xdr:row>8</xdr:row>
      <xdr:rowOff>19050</xdr:rowOff>
    </xdr:to>
    <xdr:grpSp>
      <xdr:nvGrpSpPr>
        <xdr:cNvPr id="8" name="Group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58B871-174A-42EA-8F09-12221B39D6FF}"/>
            </a:ext>
          </a:extLst>
        </xdr:cNvPr>
        <xdr:cNvGrpSpPr/>
      </xdr:nvGrpSpPr>
      <xdr:grpSpPr>
        <a:xfrm>
          <a:off x="695325" y="904875"/>
          <a:ext cx="1019175" cy="638175"/>
          <a:chOff x="1609725" y="2562225"/>
          <a:chExt cx="1019175" cy="638175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9038FAC7-81A7-4898-B4A5-313A926D8EA5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98249E10-9D08-457F-BEE5-B0402A2E403D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Home</a:t>
            </a:r>
          </a:p>
        </xdr:txBody>
      </xdr:sp>
    </xdr:grpSp>
    <xdr:clientData/>
  </xdr:twoCellAnchor>
  <xdr:twoCellAnchor>
    <xdr:from>
      <xdr:col>1</xdr:col>
      <xdr:colOff>76200</xdr:colOff>
      <xdr:row>8</xdr:row>
      <xdr:rowOff>123825</xdr:rowOff>
    </xdr:from>
    <xdr:to>
      <xdr:col>2</xdr:col>
      <xdr:colOff>485775</xdr:colOff>
      <xdr:row>12</xdr:row>
      <xdr:rowOff>0</xdr:rowOff>
    </xdr:to>
    <xdr:grpSp>
      <xdr:nvGrpSpPr>
        <xdr:cNvPr id="11" name="Group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03CC03-3737-4728-A191-BE44486936E6}"/>
            </a:ext>
          </a:extLst>
        </xdr:cNvPr>
        <xdr:cNvGrpSpPr/>
      </xdr:nvGrpSpPr>
      <xdr:grpSpPr>
        <a:xfrm>
          <a:off x="685800" y="1647825"/>
          <a:ext cx="1019175" cy="638175"/>
          <a:chOff x="1609725" y="2562225"/>
          <a:chExt cx="1019175" cy="6381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5B68810-B3B6-4AC7-8894-DC650982D9F6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02F161D-0B31-4561-B9DA-7716A3971695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Next</a:t>
            </a:r>
          </a:p>
        </xdr:txBody>
      </xdr:sp>
    </xdr:grpSp>
    <xdr:clientData/>
  </xdr:twoCellAnchor>
  <xdr:twoCellAnchor>
    <xdr:from>
      <xdr:col>3</xdr:col>
      <xdr:colOff>133351</xdr:colOff>
      <xdr:row>2</xdr:row>
      <xdr:rowOff>190499</xdr:rowOff>
    </xdr:from>
    <xdr:to>
      <xdr:col>19</xdr:col>
      <xdr:colOff>161925</xdr:colOff>
      <xdr:row>19</xdr:row>
      <xdr:rowOff>133350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80330FC-CD21-44A0-9778-3789F7DFE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533400</xdr:colOff>
      <xdr:row>0</xdr:row>
      <xdr:rowOff>38100</xdr:rowOff>
    </xdr:from>
    <xdr:to>
      <xdr:col>18</xdr:col>
      <xdr:colOff>304800</xdr:colOff>
      <xdr:row>2</xdr:row>
      <xdr:rowOff>161925</xdr:rowOff>
    </xdr:to>
    <xdr:grpSp>
      <xdr:nvGrpSpPr>
        <xdr:cNvPr id="24" name="Group 2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7A59814-4EA9-4779-90BF-EE149D86D817}"/>
            </a:ext>
          </a:extLst>
        </xdr:cNvPr>
        <xdr:cNvGrpSpPr/>
      </xdr:nvGrpSpPr>
      <xdr:grpSpPr>
        <a:xfrm>
          <a:off x="9677400" y="38100"/>
          <a:ext cx="1600200" cy="504825"/>
          <a:chOff x="1609725" y="2562226"/>
          <a:chExt cx="1019175" cy="638175"/>
        </a:xfrm>
        <a:solidFill>
          <a:schemeClr val="accent2">
            <a:lumMod val="60000"/>
            <a:lumOff val="40000"/>
          </a:schemeClr>
        </a:solidFill>
      </xdr:grpSpPr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2546496F-8AE5-40C9-B829-D834AC4150CD}"/>
              </a:ext>
            </a:extLst>
          </xdr:cNvPr>
          <xdr:cNvSpPr/>
        </xdr:nvSpPr>
        <xdr:spPr>
          <a:xfrm>
            <a:off x="1609725" y="2562226"/>
            <a:ext cx="1019175" cy="638175"/>
          </a:xfrm>
          <a:prstGeom prst="round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" name="TextBox 2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105BD00-1911-4B31-A19D-02689F3C84FA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>
                <a:ln>
                  <a:noFill/>
                </a:ln>
                <a:solidFill>
                  <a:schemeClr val="accent6">
                    <a:lumMod val="50000"/>
                  </a:schemeClr>
                </a:solidFill>
                <a:latin typeface="Americana BT" panose="02020504070506020904" pitchFamily="18" charset="0"/>
              </a:rPr>
              <a:t>City</a:t>
            </a:r>
            <a:r>
              <a:rPr lang="en-US" sz="1200" baseline="0">
                <a:ln>
                  <a:noFill/>
                </a:ln>
                <a:solidFill>
                  <a:schemeClr val="accent6">
                    <a:lumMod val="50000"/>
                  </a:schemeClr>
                </a:solidFill>
                <a:latin typeface="Americana BT" panose="02020504070506020904" pitchFamily="18" charset="0"/>
              </a:rPr>
              <a:t> Vs profit</a:t>
            </a:r>
            <a:endParaRPr lang="en-US" sz="1200">
              <a:ln>
                <a:noFill/>
              </a:ln>
              <a:solidFill>
                <a:schemeClr val="accent6">
                  <a:lumMod val="50000"/>
                </a:schemeClr>
              </a:solidFill>
              <a:latin typeface="Americana BT" panose="02020504070506020904" pitchFamily="18" charset="0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2</xdr:row>
      <xdr:rowOff>142875</xdr:rowOff>
    </xdr:from>
    <xdr:to>
      <xdr:col>20</xdr:col>
      <xdr:colOff>85725</xdr:colOff>
      <xdr:row>18</xdr:row>
      <xdr:rowOff>180975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9537E05-F836-422C-8EDF-6AAB10F2B096}"/>
            </a:ext>
          </a:extLst>
        </xdr:cNvPr>
        <xdr:cNvSpPr/>
      </xdr:nvSpPr>
      <xdr:spPr>
        <a:xfrm>
          <a:off x="676275" y="523875"/>
          <a:ext cx="11601450" cy="3086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2</xdr:col>
      <xdr:colOff>285750</xdr:colOff>
      <xdr:row>8</xdr:row>
      <xdr:rowOff>133349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9D74062-8BE1-4A13-BEDB-9C6827359906}"/>
            </a:ext>
          </a:extLst>
        </xdr:cNvPr>
        <xdr:cNvSpPr txBox="1"/>
      </xdr:nvSpPr>
      <xdr:spPr>
        <a:xfrm>
          <a:off x="609600" y="1143000"/>
          <a:ext cx="895350" cy="514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800">
            <a:ln>
              <a:noFill/>
            </a:ln>
            <a:solidFill>
              <a:schemeClr val="bg1"/>
            </a:solidFill>
            <a:latin typeface="Americana BT" panose="02020504070506020904" pitchFamily="18" charset="0"/>
          </a:endParaRPr>
        </a:p>
      </xdr:txBody>
    </xdr:sp>
    <xdr:clientData/>
  </xdr:twoCellAnchor>
  <xdr:twoCellAnchor>
    <xdr:from>
      <xdr:col>1</xdr:col>
      <xdr:colOff>114299</xdr:colOff>
      <xdr:row>2</xdr:row>
      <xdr:rowOff>161925</xdr:rowOff>
    </xdr:from>
    <xdr:to>
      <xdr:col>20</xdr:col>
      <xdr:colOff>66674</xdr:colOff>
      <xdr:row>19</xdr:row>
      <xdr:rowOff>47625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BA74081-53D3-4E5D-8421-1EA1DE095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0</xdr:row>
      <xdr:rowOff>85726</xdr:rowOff>
    </xdr:from>
    <xdr:to>
      <xdr:col>1</xdr:col>
      <xdr:colOff>447675</xdr:colOff>
      <xdr:row>2</xdr:row>
      <xdr:rowOff>114300</xdr:rowOff>
    </xdr:to>
    <xdr:grpSp>
      <xdr:nvGrpSpPr>
        <xdr:cNvPr id="18" name="Group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126FFA-BD17-402A-8CF1-266C5095F489}"/>
            </a:ext>
          </a:extLst>
        </xdr:cNvPr>
        <xdr:cNvGrpSpPr/>
      </xdr:nvGrpSpPr>
      <xdr:grpSpPr>
        <a:xfrm>
          <a:off x="152400" y="85726"/>
          <a:ext cx="904875" cy="409574"/>
          <a:chOff x="1609725" y="2562225"/>
          <a:chExt cx="1019175" cy="638175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A16FD29A-1D0E-4BCE-B98E-D0ABAFE4D8A6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TextBox 19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740E92BE-ED51-430E-B7EB-4713044E1B56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>
                <a:ln>
                  <a:noFill/>
                </a:ln>
                <a:solidFill>
                  <a:schemeClr val="tx1"/>
                </a:solidFill>
                <a:latin typeface="Americana BT" panose="02020504070506020904" pitchFamily="18" charset="0"/>
              </a:rPr>
              <a:t>Cancel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3</xdr:row>
      <xdr:rowOff>38100</xdr:rowOff>
    </xdr:from>
    <xdr:to>
      <xdr:col>11</xdr:col>
      <xdr:colOff>400049</xdr:colOff>
      <xdr:row>19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A90AD0C-F972-4287-95A3-17F8E30C861D}"/>
            </a:ext>
          </a:extLst>
        </xdr:cNvPr>
        <xdr:cNvSpPr/>
      </xdr:nvSpPr>
      <xdr:spPr>
        <a:xfrm>
          <a:off x="1962150" y="609600"/>
          <a:ext cx="5143499" cy="3086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2</xdr:col>
      <xdr:colOff>285750</xdr:colOff>
      <xdr:row>8</xdr:row>
      <xdr:rowOff>133349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91CDCF5-5C33-4185-AF84-D1CC14089ABF}"/>
            </a:ext>
          </a:extLst>
        </xdr:cNvPr>
        <xdr:cNvSpPr txBox="1"/>
      </xdr:nvSpPr>
      <xdr:spPr>
        <a:xfrm>
          <a:off x="609600" y="1143000"/>
          <a:ext cx="895350" cy="514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800">
            <a:ln>
              <a:noFill/>
            </a:ln>
            <a:solidFill>
              <a:schemeClr val="bg1"/>
            </a:solidFill>
            <a:latin typeface="Americana BT" panose="02020504070506020904" pitchFamily="18" charset="0"/>
          </a:endParaRPr>
        </a:p>
      </xdr:txBody>
    </xdr:sp>
    <xdr:clientData/>
  </xdr:twoCellAnchor>
  <xdr:twoCellAnchor>
    <xdr:from>
      <xdr:col>1</xdr:col>
      <xdr:colOff>57150</xdr:colOff>
      <xdr:row>12</xdr:row>
      <xdr:rowOff>171450</xdr:rowOff>
    </xdr:from>
    <xdr:to>
      <xdr:col>2</xdr:col>
      <xdr:colOff>466725</xdr:colOff>
      <xdr:row>16</xdr:row>
      <xdr:rowOff>47625</xdr:rowOff>
    </xdr:to>
    <xdr:grpSp>
      <xdr:nvGrpSpPr>
        <xdr:cNvPr id="4" name="Group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93788D-57D8-43D9-A2D0-A925BDF0FE5C}"/>
            </a:ext>
          </a:extLst>
        </xdr:cNvPr>
        <xdr:cNvGrpSpPr/>
      </xdr:nvGrpSpPr>
      <xdr:grpSpPr>
        <a:xfrm>
          <a:off x="666750" y="2457450"/>
          <a:ext cx="1019175" cy="638175"/>
          <a:chOff x="1609725" y="2562225"/>
          <a:chExt cx="1019175" cy="638175"/>
        </a:xfrm>
      </xdr:grpSpPr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2F9A2C18-8053-45FF-AF24-6E8AE38A47DA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7E5E1762-EE5A-4F0B-93F6-96A73F8297EF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Back</a:t>
            </a:r>
          </a:p>
        </xdr:txBody>
      </xdr:sp>
    </xdr:grpSp>
    <xdr:clientData/>
  </xdr:twoCellAnchor>
  <xdr:twoCellAnchor>
    <xdr:from>
      <xdr:col>1</xdr:col>
      <xdr:colOff>85725</xdr:colOff>
      <xdr:row>4</xdr:row>
      <xdr:rowOff>142875</xdr:rowOff>
    </xdr:from>
    <xdr:to>
      <xdr:col>2</xdr:col>
      <xdr:colOff>495300</xdr:colOff>
      <xdr:row>8</xdr:row>
      <xdr:rowOff>19050</xdr:rowOff>
    </xdr:to>
    <xdr:grpSp>
      <xdr:nvGrpSpPr>
        <xdr:cNvPr id="7" name="Group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67E04B-F746-42F0-B5A6-CD04584D5BEC}"/>
            </a:ext>
          </a:extLst>
        </xdr:cNvPr>
        <xdr:cNvGrpSpPr/>
      </xdr:nvGrpSpPr>
      <xdr:grpSpPr>
        <a:xfrm>
          <a:off x="695325" y="904875"/>
          <a:ext cx="1019175" cy="638175"/>
          <a:chOff x="1609725" y="2562225"/>
          <a:chExt cx="1019175" cy="638175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10B78F81-77F6-4787-8B3A-EDB6FCECE012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D7B17095-68AB-4E94-9462-B2F1709A4787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Home</a:t>
            </a:r>
          </a:p>
        </xdr:txBody>
      </xdr:sp>
    </xdr:grpSp>
    <xdr:clientData/>
  </xdr:twoCellAnchor>
  <xdr:twoCellAnchor>
    <xdr:from>
      <xdr:col>1</xdr:col>
      <xdr:colOff>76200</xdr:colOff>
      <xdr:row>8</xdr:row>
      <xdr:rowOff>123825</xdr:rowOff>
    </xdr:from>
    <xdr:to>
      <xdr:col>2</xdr:col>
      <xdr:colOff>485775</xdr:colOff>
      <xdr:row>12</xdr:row>
      <xdr:rowOff>0</xdr:rowOff>
    </xdr:to>
    <xdr:grpSp>
      <xdr:nvGrpSpPr>
        <xdr:cNvPr id="10" name="Group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579525-624E-4744-BF9A-9716D577A64E}"/>
            </a:ext>
          </a:extLst>
        </xdr:cNvPr>
        <xdr:cNvGrpSpPr/>
      </xdr:nvGrpSpPr>
      <xdr:grpSpPr>
        <a:xfrm>
          <a:off x="685800" y="1647825"/>
          <a:ext cx="1019175" cy="638175"/>
          <a:chOff x="1609725" y="2562225"/>
          <a:chExt cx="1019175" cy="638175"/>
        </a:xfrm>
      </xdr:grpSpPr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891F8C2F-D37C-4779-B48D-1677A46B2AF5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3EA697FD-2D90-4724-A6FA-C29F807FC4E2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Next</a:t>
            </a:r>
          </a:p>
        </xdr:txBody>
      </xdr:sp>
    </xdr:grpSp>
    <xdr:clientData/>
  </xdr:twoCellAnchor>
  <xdr:twoCellAnchor>
    <xdr:from>
      <xdr:col>3</xdr:col>
      <xdr:colOff>228601</xdr:colOff>
      <xdr:row>3</xdr:row>
      <xdr:rowOff>57148</xdr:rowOff>
    </xdr:from>
    <xdr:to>
      <xdr:col>11</xdr:col>
      <xdr:colOff>276225</xdr:colOff>
      <xdr:row>19</xdr:row>
      <xdr:rowOff>26668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3499C4D-4425-4683-A8BE-8D69B9CFF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552450</xdr:colOff>
      <xdr:row>3</xdr:row>
      <xdr:rowOff>28575</xdr:rowOff>
    </xdr:from>
    <xdr:to>
      <xdr:col>20</xdr:col>
      <xdr:colOff>19050</xdr:colOff>
      <xdr:row>19</xdr:row>
      <xdr:rowOff>104775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902776D7-18B5-48F5-B114-F8CEEACE6D9B}"/>
            </a:ext>
          </a:extLst>
        </xdr:cNvPr>
        <xdr:cNvSpPr/>
      </xdr:nvSpPr>
      <xdr:spPr>
        <a:xfrm>
          <a:off x="7258050" y="600075"/>
          <a:ext cx="4953000" cy="31242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66675</xdr:colOff>
      <xdr:row>4</xdr:row>
      <xdr:rowOff>9525</xdr:rowOff>
    </xdr:from>
    <xdr:to>
      <xdr:col>20</xdr:col>
      <xdr:colOff>161925</xdr:colOff>
      <xdr:row>19</xdr:row>
      <xdr:rowOff>142875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29DE68D-EB34-467B-A9A8-A61D365CF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3</xdr:row>
      <xdr:rowOff>38100</xdr:rowOff>
    </xdr:from>
    <xdr:to>
      <xdr:col>17</xdr:col>
      <xdr:colOff>400050</xdr:colOff>
      <xdr:row>19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5C8DFCD-21E2-4CB2-B276-83A11E221F79}"/>
            </a:ext>
          </a:extLst>
        </xdr:cNvPr>
        <xdr:cNvSpPr/>
      </xdr:nvSpPr>
      <xdr:spPr>
        <a:xfrm>
          <a:off x="1962150" y="609600"/>
          <a:ext cx="8801100" cy="3086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2</xdr:col>
      <xdr:colOff>285750</xdr:colOff>
      <xdr:row>8</xdr:row>
      <xdr:rowOff>133349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2C735E1-948A-4979-891E-4A67E6365DD0}"/>
            </a:ext>
          </a:extLst>
        </xdr:cNvPr>
        <xdr:cNvSpPr txBox="1"/>
      </xdr:nvSpPr>
      <xdr:spPr>
        <a:xfrm>
          <a:off x="609600" y="1143000"/>
          <a:ext cx="895350" cy="514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800">
            <a:ln>
              <a:noFill/>
            </a:ln>
            <a:solidFill>
              <a:schemeClr val="bg1"/>
            </a:solidFill>
            <a:latin typeface="Americana BT" panose="02020504070506020904" pitchFamily="18" charset="0"/>
          </a:endParaRPr>
        </a:p>
      </xdr:txBody>
    </xdr:sp>
    <xdr:clientData/>
  </xdr:twoCellAnchor>
  <xdr:twoCellAnchor>
    <xdr:from>
      <xdr:col>1</xdr:col>
      <xdr:colOff>57150</xdr:colOff>
      <xdr:row>12</xdr:row>
      <xdr:rowOff>171450</xdr:rowOff>
    </xdr:from>
    <xdr:to>
      <xdr:col>2</xdr:col>
      <xdr:colOff>466725</xdr:colOff>
      <xdr:row>16</xdr:row>
      <xdr:rowOff>47625</xdr:rowOff>
    </xdr:to>
    <xdr:grpSp>
      <xdr:nvGrpSpPr>
        <xdr:cNvPr id="4" name="Group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575181-A3EB-4FCA-92B1-C72B98958CC6}"/>
            </a:ext>
          </a:extLst>
        </xdr:cNvPr>
        <xdr:cNvGrpSpPr/>
      </xdr:nvGrpSpPr>
      <xdr:grpSpPr>
        <a:xfrm>
          <a:off x="666750" y="2457450"/>
          <a:ext cx="1019175" cy="638175"/>
          <a:chOff x="1609725" y="2562225"/>
          <a:chExt cx="1019175" cy="638175"/>
        </a:xfrm>
      </xdr:grpSpPr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25B46454-4518-4785-880E-C1AEA123C8E7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7DA148BF-31A7-4CA0-8D6E-713AC72EB627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Back</a:t>
            </a:r>
          </a:p>
        </xdr:txBody>
      </xdr:sp>
    </xdr:grpSp>
    <xdr:clientData/>
  </xdr:twoCellAnchor>
  <xdr:twoCellAnchor>
    <xdr:from>
      <xdr:col>1</xdr:col>
      <xdr:colOff>85725</xdr:colOff>
      <xdr:row>4</xdr:row>
      <xdr:rowOff>142875</xdr:rowOff>
    </xdr:from>
    <xdr:to>
      <xdr:col>2</xdr:col>
      <xdr:colOff>495300</xdr:colOff>
      <xdr:row>8</xdr:row>
      <xdr:rowOff>19050</xdr:rowOff>
    </xdr:to>
    <xdr:grpSp>
      <xdr:nvGrpSpPr>
        <xdr:cNvPr id="7" name="Group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368F08-E220-4251-B54C-D17CAEDEF65E}"/>
            </a:ext>
          </a:extLst>
        </xdr:cNvPr>
        <xdr:cNvGrpSpPr/>
      </xdr:nvGrpSpPr>
      <xdr:grpSpPr>
        <a:xfrm>
          <a:off x="695325" y="904875"/>
          <a:ext cx="1019175" cy="638175"/>
          <a:chOff x="1609725" y="2562225"/>
          <a:chExt cx="1019175" cy="638175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B0F8AEE4-7BDD-4353-953C-E0968E3F8061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195D0788-A803-49DD-9322-8A4A8C9FBB51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Home</a:t>
            </a:r>
          </a:p>
        </xdr:txBody>
      </xdr:sp>
    </xdr:grpSp>
    <xdr:clientData/>
  </xdr:twoCellAnchor>
  <xdr:twoCellAnchor>
    <xdr:from>
      <xdr:col>1</xdr:col>
      <xdr:colOff>76200</xdr:colOff>
      <xdr:row>8</xdr:row>
      <xdr:rowOff>123825</xdr:rowOff>
    </xdr:from>
    <xdr:to>
      <xdr:col>2</xdr:col>
      <xdr:colOff>485775</xdr:colOff>
      <xdr:row>12</xdr:row>
      <xdr:rowOff>0</xdr:rowOff>
    </xdr:to>
    <xdr:grpSp>
      <xdr:nvGrpSpPr>
        <xdr:cNvPr id="10" name="Group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17EF11-B243-4A84-9824-E1F2CC8F449C}"/>
            </a:ext>
          </a:extLst>
        </xdr:cNvPr>
        <xdr:cNvGrpSpPr/>
      </xdr:nvGrpSpPr>
      <xdr:grpSpPr>
        <a:xfrm>
          <a:off x="685800" y="1647825"/>
          <a:ext cx="1019175" cy="638175"/>
          <a:chOff x="1609725" y="2562225"/>
          <a:chExt cx="1019175" cy="638175"/>
        </a:xfrm>
      </xdr:grpSpPr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FA1C031C-256F-4B5E-B9A9-A3C602C42CD4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B29F38AD-516F-4D14-B25B-2B4D6AD0C22A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Next</a:t>
            </a:r>
          </a:p>
        </xdr:txBody>
      </xdr:sp>
    </xdr:grpSp>
    <xdr:clientData/>
  </xdr:twoCellAnchor>
  <xdr:twoCellAnchor>
    <xdr:from>
      <xdr:col>2</xdr:col>
      <xdr:colOff>476250</xdr:colOff>
      <xdr:row>3</xdr:row>
      <xdr:rowOff>19049</xdr:rowOff>
    </xdr:from>
    <xdr:to>
      <xdr:col>17</xdr:col>
      <xdr:colOff>380999</xdr:colOff>
      <xdr:row>18</xdr:row>
      <xdr:rowOff>180974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E606772-7419-4DDC-865B-398DCF3F7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533400</xdr:colOff>
      <xdr:row>9</xdr:row>
      <xdr:rowOff>152400</xdr:rowOff>
    </xdr:from>
    <xdr:to>
      <xdr:col>20</xdr:col>
      <xdr:colOff>219075</xdr:colOff>
      <xdr:row>13</xdr:row>
      <xdr:rowOff>28575</xdr:rowOff>
    </xdr:to>
    <xdr:grpSp>
      <xdr:nvGrpSpPr>
        <xdr:cNvPr id="17" name="Group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18D43B6-3965-4A44-B1AF-643B461D63A9}"/>
            </a:ext>
          </a:extLst>
        </xdr:cNvPr>
        <xdr:cNvGrpSpPr/>
      </xdr:nvGrpSpPr>
      <xdr:grpSpPr>
        <a:xfrm>
          <a:off x="10896600" y="1866900"/>
          <a:ext cx="1514475" cy="638175"/>
          <a:chOff x="1609725" y="2562225"/>
          <a:chExt cx="1019175" cy="638175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0943C464-AACF-48C2-A4AF-89360CC6E0CC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53868DFA-67C2-428B-92A9-6F14F040A7BF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state</a:t>
            </a:r>
            <a:r>
              <a:rPr lang="en-US" sz="1400" baseline="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 Vs profit</a:t>
            </a:r>
            <a:endParaRPr lang="en-US" sz="1400">
              <a:ln>
                <a:noFill/>
              </a:ln>
              <a:solidFill>
                <a:schemeClr val="bg1"/>
              </a:solidFill>
              <a:latin typeface="Americana BT" panose="02020504070506020904" pitchFamily="18" charset="0"/>
            </a:endParaRP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133349</xdr:colOff>
      <xdr:row>3</xdr:row>
      <xdr:rowOff>38100</xdr:rowOff>
    </xdr:from>
    <xdr:to>
      <xdr:col>20</xdr:col>
      <xdr:colOff>47625</xdr:colOff>
      <xdr:row>19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69FC72C-FE8C-45FD-8B3E-EA52A184F981}"/>
            </a:ext>
          </a:extLst>
        </xdr:cNvPr>
        <xdr:cNvSpPr/>
      </xdr:nvSpPr>
      <xdr:spPr>
        <a:xfrm>
          <a:off x="1962149" y="609600"/>
          <a:ext cx="10277476" cy="3086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2</xdr:col>
      <xdr:colOff>285750</xdr:colOff>
      <xdr:row>8</xdr:row>
      <xdr:rowOff>133349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D5AF1D-A06C-4403-AE69-DB821FE0D806}"/>
            </a:ext>
          </a:extLst>
        </xdr:cNvPr>
        <xdr:cNvSpPr txBox="1"/>
      </xdr:nvSpPr>
      <xdr:spPr>
        <a:xfrm>
          <a:off x="609600" y="1143000"/>
          <a:ext cx="895350" cy="514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800">
            <a:ln>
              <a:noFill/>
            </a:ln>
            <a:solidFill>
              <a:schemeClr val="bg1"/>
            </a:solidFill>
            <a:latin typeface="Americana BT" panose="02020504070506020904" pitchFamily="18" charset="0"/>
          </a:endParaRPr>
        </a:p>
      </xdr:txBody>
    </xdr:sp>
    <xdr:clientData/>
  </xdr:twoCellAnchor>
  <xdr:twoCellAnchor>
    <xdr:from>
      <xdr:col>1</xdr:col>
      <xdr:colOff>85725</xdr:colOff>
      <xdr:row>4</xdr:row>
      <xdr:rowOff>142875</xdr:rowOff>
    </xdr:from>
    <xdr:to>
      <xdr:col>2</xdr:col>
      <xdr:colOff>495300</xdr:colOff>
      <xdr:row>8</xdr:row>
      <xdr:rowOff>19050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9A708134-B305-4D04-8D21-1AFCAB45CA85}"/>
            </a:ext>
          </a:extLst>
        </xdr:cNvPr>
        <xdr:cNvGrpSpPr/>
      </xdr:nvGrpSpPr>
      <xdr:grpSpPr>
        <a:xfrm>
          <a:off x="695325" y="904875"/>
          <a:ext cx="1019175" cy="638175"/>
          <a:chOff x="1609725" y="2562225"/>
          <a:chExt cx="1019175" cy="638175"/>
        </a:xfrm>
        <a:solidFill>
          <a:srgbClr val="FFC000"/>
        </a:solidFill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9D53D146-C0AA-47FD-A650-78241A05AC02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TextBox 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AB1935D1-CA22-49C6-9632-DA59F021B356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Cancel</a:t>
            </a:r>
          </a:p>
        </xdr:txBody>
      </xdr:sp>
    </xdr:grpSp>
    <xdr:clientData/>
  </xdr:twoCellAnchor>
  <xdr:twoCellAnchor>
    <xdr:from>
      <xdr:col>3</xdr:col>
      <xdr:colOff>123825</xdr:colOff>
      <xdr:row>2</xdr:row>
      <xdr:rowOff>171450</xdr:rowOff>
    </xdr:from>
    <xdr:to>
      <xdr:col>19</xdr:col>
      <xdr:colOff>590550</xdr:colOff>
      <xdr:row>19</xdr:row>
      <xdr:rowOff>133350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09793F1-79A5-4C46-B77F-C323AA86C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3</xdr:row>
      <xdr:rowOff>38100</xdr:rowOff>
    </xdr:from>
    <xdr:to>
      <xdr:col>11</xdr:col>
      <xdr:colOff>104775</xdr:colOff>
      <xdr:row>19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880148C-3359-4637-B915-A1CB3AACC962}"/>
            </a:ext>
          </a:extLst>
        </xdr:cNvPr>
        <xdr:cNvSpPr/>
      </xdr:nvSpPr>
      <xdr:spPr>
        <a:xfrm>
          <a:off x="1962150" y="609600"/>
          <a:ext cx="4848225" cy="3086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238125</xdr:colOff>
      <xdr:row>3</xdr:row>
      <xdr:rowOff>9526</xdr:rowOff>
    </xdr:from>
    <xdr:to>
      <xdr:col>11</xdr:col>
      <xdr:colOff>142875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1EC476-6AFF-47B6-BE24-F3D4C3296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</xdr:row>
      <xdr:rowOff>0</xdr:rowOff>
    </xdr:from>
    <xdr:to>
      <xdr:col>2</xdr:col>
      <xdr:colOff>285750</xdr:colOff>
      <xdr:row>8</xdr:row>
      <xdr:rowOff>133349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698623-7D6A-4003-9DD4-2FC1BF115E8F}"/>
            </a:ext>
          </a:extLst>
        </xdr:cNvPr>
        <xdr:cNvSpPr txBox="1"/>
      </xdr:nvSpPr>
      <xdr:spPr>
        <a:xfrm>
          <a:off x="609600" y="1143000"/>
          <a:ext cx="895350" cy="514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800">
            <a:ln>
              <a:noFill/>
            </a:ln>
            <a:solidFill>
              <a:schemeClr val="bg1"/>
            </a:solidFill>
            <a:latin typeface="Americana BT" panose="02020504070506020904" pitchFamily="18" charset="0"/>
          </a:endParaRPr>
        </a:p>
      </xdr:txBody>
    </xdr:sp>
    <xdr:clientData/>
  </xdr:twoCellAnchor>
  <xdr:twoCellAnchor>
    <xdr:from>
      <xdr:col>1</xdr:col>
      <xdr:colOff>57150</xdr:colOff>
      <xdr:row>12</xdr:row>
      <xdr:rowOff>171450</xdr:rowOff>
    </xdr:from>
    <xdr:to>
      <xdr:col>2</xdr:col>
      <xdr:colOff>466725</xdr:colOff>
      <xdr:row>16</xdr:row>
      <xdr:rowOff>47625</xdr:rowOff>
    </xdr:to>
    <xdr:grpSp>
      <xdr:nvGrpSpPr>
        <xdr:cNvPr id="5" name="Group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5AFA37-0FA5-4A3A-AD72-63BF384E1FB7}"/>
            </a:ext>
          </a:extLst>
        </xdr:cNvPr>
        <xdr:cNvGrpSpPr/>
      </xdr:nvGrpSpPr>
      <xdr:grpSpPr>
        <a:xfrm>
          <a:off x="666750" y="2457450"/>
          <a:ext cx="1019175" cy="638175"/>
          <a:chOff x="1609725" y="2562225"/>
          <a:chExt cx="1019175" cy="6381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006928C9-95A4-4182-9C4E-EC0AFD7F170C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2E3D36E8-FFEA-4315-AAA9-6DF4923F290D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Back</a:t>
            </a:r>
          </a:p>
        </xdr:txBody>
      </xdr:sp>
    </xdr:grpSp>
    <xdr:clientData/>
  </xdr:twoCellAnchor>
  <xdr:twoCellAnchor>
    <xdr:from>
      <xdr:col>1</xdr:col>
      <xdr:colOff>85725</xdr:colOff>
      <xdr:row>4</xdr:row>
      <xdr:rowOff>142875</xdr:rowOff>
    </xdr:from>
    <xdr:to>
      <xdr:col>2</xdr:col>
      <xdr:colOff>495300</xdr:colOff>
      <xdr:row>8</xdr:row>
      <xdr:rowOff>19050</xdr:rowOff>
    </xdr:to>
    <xdr:grpSp>
      <xdr:nvGrpSpPr>
        <xdr:cNvPr id="8" name="Group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C0883BB-90E3-4A0E-AC73-1D0FB03FCC45}"/>
            </a:ext>
          </a:extLst>
        </xdr:cNvPr>
        <xdr:cNvGrpSpPr/>
      </xdr:nvGrpSpPr>
      <xdr:grpSpPr>
        <a:xfrm>
          <a:off x="695325" y="904875"/>
          <a:ext cx="1019175" cy="638175"/>
          <a:chOff x="1609725" y="2562225"/>
          <a:chExt cx="1019175" cy="638175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FA6CB646-8AB3-4FEB-9187-CA32A4FB7959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1EC719DB-329E-43E8-A812-3307A2CD609A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Home</a:t>
            </a:r>
          </a:p>
        </xdr:txBody>
      </xdr:sp>
    </xdr:grpSp>
    <xdr:clientData/>
  </xdr:twoCellAnchor>
  <xdr:twoCellAnchor>
    <xdr:from>
      <xdr:col>1</xdr:col>
      <xdr:colOff>76200</xdr:colOff>
      <xdr:row>8</xdr:row>
      <xdr:rowOff>123825</xdr:rowOff>
    </xdr:from>
    <xdr:to>
      <xdr:col>2</xdr:col>
      <xdr:colOff>485775</xdr:colOff>
      <xdr:row>12</xdr:row>
      <xdr:rowOff>0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0C1E2A6-F85F-4FFA-A4E3-421C573977FE}"/>
            </a:ext>
          </a:extLst>
        </xdr:cNvPr>
        <xdr:cNvGrpSpPr/>
      </xdr:nvGrpSpPr>
      <xdr:grpSpPr>
        <a:xfrm>
          <a:off x="685800" y="1647825"/>
          <a:ext cx="1019175" cy="638175"/>
          <a:chOff x="1609725" y="2562225"/>
          <a:chExt cx="1019175" cy="6381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61A4FEFC-0CBD-458E-BE83-77E63258842C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79AA88BC-6AEB-444B-A7E5-BBAECB9C75C4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Next</a:t>
            </a:r>
          </a:p>
        </xdr:txBody>
      </xdr:sp>
    </xdr:grpSp>
    <xdr:clientData/>
  </xdr:twoCellAnchor>
  <xdr:twoCellAnchor>
    <xdr:from>
      <xdr:col>11</xdr:col>
      <xdr:colOff>200025</xdr:colOff>
      <xdr:row>3</xdr:row>
      <xdr:rowOff>19051</xdr:rowOff>
    </xdr:from>
    <xdr:to>
      <xdr:col>19</xdr:col>
      <xdr:colOff>152400</xdr:colOff>
      <xdr:row>19</xdr:row>
      <xdr:rowOff>123825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DFF0E1E3-DB74-4588-BCC5-2FA458455D80}"/>
            </a:ext>
          </a:extLst>
        </xdr:cNvPr>
        <xdr:cNvSpPr/>
      </xdr:nvSpPr>
      <xdr:spPr>
        <a:xfrm>
          <a:off x="6905625" y="590551"/>
          <a:ext cx="4829175" cy="31527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104774</xdr:colOff>
      <xdr:row>3</xdr:row>
      <xdr:rowOff>142875</xdr:rowOff>
    </xdr:from>
    <xdr:to>
      <xdr:col>19</xdr:col>
      <xdr:colOff>95249</xdr:colOff>
      <xdr:row>18</xdr:row>
      <xdr:rowOff>28575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AE46DB6-0FB7-42D9-B4BC-56A31E4BF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3</xdr:row>
      <xdr:rowOff>95250</xdr:rowOff>
    </xdr:from>
    <xdr:to>
      <xdr:col>11</xdr:col>
      <xdr:colOff>57150</xdr:colOff>
      <xdr:row>19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3C01A86-69FC-4DCA-A146-29B054C5A1B2}"/>
            </a:ext>
          </a:extLst>
        </xdr:cNvPr>
        <xdr:cNvSpPr/>
      </xdr:nvSpPr>
      <xdr:spPr>
        <a:xfrm>
          <a:off x="1914525" y="666750"/>
          <a:ext cx="4848225" cy="3086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2</xdr:col>
      <xdr:colOff>285750</xdr:colOff>
      <xdr:row>8</xdr:row>
      <xdr:rowOff>133349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B43FF1D-F7EF-4A32-AF52-523522579DB3}"/>
            </a:ext>
          </a:extLst>
        </xdr:cNvPr>
        <xdr:cNvSpPr txBox="1"/>
      </xdr:nvSpPr>
      <xdr:spPr>
        <a:xfrm>
          <a:off x="609600" y="1143000"/>
          <a:ext cx="895350" cy="514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800">
            <a:ln>
              <a:noFill/>
            </a:ln>
            <a:solidFill>
              <a:schemeClr val="bg1"/>
            </a:solidFill>
            <a:latin typeface="Americana BT" panose="02020504070506020904" pitchFamily="18" charset="0"/>
          </a:endParaRPr>
        </a:p>
      </xdr:txBody>
    </xdr:sp>
    <xdr:clientData/>
  </xdr:twoCellAnchor>
  <xdr:twoCellAnchor>
    <xdr:from>
      <xdr:col>1</xdr:col>
      <xdr:colOff>95250</xdr:colOff>
      <xdr:row>9</xdr:row>
      <xdr:rowOff>19050</xdr:rowOff>
    </xdr:from>
    <xdr:to>
      <xdr:col>2</xdr:col>
      <xdr:colOff>504825</xdr:colOff>
      <xdr:row>12</xdr:row>
      <xdr:rowOff>85725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837B54-8B56-4403-B98D-B7A47EB3CFEF}"/>
            </a:ext>
          </a:extLst>
        </xdr:cNvPr>
        <xdr:cNvGrpSpPr/>
      </xdr:nvGrpSpPr>
      <xdr:grpSpPr>
        <a:xfrm>
          <a:off x="704850" y="1733550"/>
          <a:ext cx="1019175" cy="638175"/>
          <a:chOff x="1609725" y="2562225"/>
          <a:chExt cx="1019175" cy="6381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AC7FE01B-CA55-4671-B96E-BBF46CEDD525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B788991-22E2-4D4D-B4C4-D08D4509FB48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Back</a:t>
            </a:r>
          </a:p>
        </xdr:txBody>
      </xdr:sp>
    </xdr:grpSp>
    <xdr:clientData/>
  </xdr:twoCellAnchor>
  <xdr:twoCellAnchor>
    <xdr:from>
      <xdr:col>1</xdr:col>
      <xdr:colOff>85725</xdr:colOff>
      <xdr:row>4</xdr:row>
      <xdr:rowOff>142875</xdr:rowOff>
    </xdr:from>
    <xdr:to>
      <xdr:col>2</xdr:col>
      <xdr:colOff>495300</xdr:colOff>
      <xdr:row>8</xdr:row>
      <xdr:rowOff>19050</xdr:rowOff>
    </xdr:to>
    <xdr:grpSp>
      <xdr:nvGrpSpPr>
        <xdr:cNvPr id="8" name="Group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293DA4-D48F-4337-A5D0-8C8F4B86B8E6}"/>
            </a:ext>
          </a:extLst>
        </xdr:cNvPr>
        <xdr:cNvGrpSpPr/>
      </xdr:nvGrpSpPr>
      <xdr:grpSpPr>
        <a:xfrm>
          <a:off x="695325" y="904875"/>
          <a:ext cx="1019175" cy="638175"/>
          <a:chOff x="1609725" y="2562225"/>
          <a:chExt cx="1019175" cy="638175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46416D20-3E2C-438A-9049-6043B7D036BA}"/>
              </a:ext>
            </a:extLst>
          </xdr:cNvPr>
          <xdr:cNvSpPr/>
        </xdr:nvSpPr>
        <xdr:spPr>
          <a:xfrm>
            <a:off x="1609725" y="2562225"/>
            <a:ext cx="1019175" cy="638175"/>
          </a:xfrm>
          <a:prstGeom prst="round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DF76DFBB-6454-4BB7-896E-EAD752731F69}"/>
              </a:ext>
            </a:extLst>
          </xdr:cNvPr>
          <xdr:cNvSpPr txBox="1"/>
        </xdr:nvSpPr>
        <xdr:spPr>
          <a:xfrm>
            <a:off x="1657350" y="2619375"/>
            <a:ext cx="895350" cy="514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ln>
                  <a:noFill/>
                </a:ln>
                <a:solidFill>
                  <a:schemeClr val="bg1"/>
                </a:solidFill>
                <a:latin typeface="Americana BT" panose="02020504070506020904" pitchFamily="18" charset="0"/>
              </a:rPr>
              <a:t>Home</a:t>
            </a:r>
          </a:p>
        </xdr:txBody>
      </xdr:sp>
    </xdr:grpSp>
    <xdr:clientData/>
  </xdr:twoCellAnchor>
  <xdr:twoCellAnchor>
    <xdr:from>
      <xdr:col>11</xdr:col>
      <xdr:colOff>200025</xdr:colOff>
      <xdr:row>3</xdr:row>
      <xdr:rowOff>19051</xdr:rowOff>
    </xdr:from>
    <xdr:to>
      <xdr:col>19</xdr:col>
      <xdr:colOff>152400</xdr:colOff>
      <xdr:row>19</xdr:row>
      <xdr:rowOff>123825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918E606A-1DE4-49E1-92AF-CD42753B202A}"/>
            </a:ext>
          </a:extLst>
        </xdr:cNvPr>
        <xdr:cNvSpPr/>
      </xdr:nvSpPr>
      <xdr:spPr>
        <a:xfrm>
          <a:off x="6905625" y="590551"/>
          <a:ext cx="4829175" cy="31527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180975</xdr:colOff>
      <xdr:row>3</xdr:row>
      <xdr:rowOff>95251</xdr:rowOff>
    </xdr:from>
    <xdr:to>
      <xdr:col>10</xdr:col>
      <xdr:colOff>561975</xdr:colOff>
      <xdr:row>19</xdr:row>
      <xdr:rowOff>123825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0D1EBA7-CA67-4A33-A6DB-13940D0299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247650</xdr:colOff>
      <xdr:row>9</xdr:row>
      <xdr:rowOff>57149</xdr:rowOff>
    </xdr:from>
    <xdr:to>
      <xdr:col>10</xdr:col>
      <xdr:colOff>552450</xdr:colOff>
      <xdr:row>17</xdr:row>
      <xdr:rowOff>161924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5FDDAEF-5810-443D-BD37-B281597EC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238125</xdr:colOff>
      <xdr:row>3</xdr:row>
      <xdr:rowOff>28575</xdr:rowOff>
    </xdr:from>
    <xdr:to>
      <xdr:col>19</xdr:col>
      <xdr:colOff>219075</xdr:colOff>
      <xdr:row>19</xdr:row>
      <xdr:rowOff>161924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FA0C8B0-4ECA-487E-A4A3-588DEFAFB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65.936885532406" createdVersion="6" refreshedVersion="6" minRefreshableVersion="3" recordCount="1334" xr:uid="{66C68006-D688-4A5B-AED1-3F4AE09BA556}">
  <cacheSource type="worksheet">
    <worksheetSource name="Ecommerce_Sales_analysis"/>
  </cacheSource>
  <cacheFields count="19">
    <cacheField name="Order Date" numFmtId="14">
      <sharedItems containsSemiMixedTypes="0" containsNonDate="0" containsDate="1" containsString="0" minDate="2014-01-04T00:00:00" maxDate="2017-12-31T00:00:00" count="860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02-02T00:00:00"/>
        <d v="2016-10-13T00:00:00"/>
        <d v="2016-09-05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6-11-16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6-01-22T00:00:00"/>
        <d v="2017-12-28T00:00:00"/>
        <d v="2015-07-30T00:00:00"/>
        <d v="2017-10-13T00:00:00"/>
        <d v="2015-09-26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4-02-12T00:00:00"/>
        <d v="2015-01-17T00:00:00"/>
        <d v="2017-03-31T00:00:00"/>
        <d v="2014-11-09T00:00:00"/>
        <d v="2016-07-12T00:00:00"/>
        <d v="2016-10-27T00:00:00"/>
        <d v="2016-06-26T00:00:00"/>
        <d v="2014-10-06T00:00:00"/>
        <d v="2017-06-10T00:00:00"/>
        <d v="2014-10-29T00:00:00"/>
        <d v="2016-05-09T00:00:00"/>
        <d v="2016-03-18T00:00:00"/>
        <d v="2016-07-25T00:00:00"/>
        <d v="2016-05-30T00:00:00"/>
        <d v="2017-11-12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7-09-11T00:00:00"/>
        <d v="2017-06-29T00:00:00"/>
        <d v="2014-03-03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6-07-16T00:00:00"/>
        <d v="2014-03-15T00:00:00"/>
        <d v="2014-05-23T00:00:00"/>
        <d v="2016-04-28T00:00:00"/>
        <d v="2017-11-14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7-06-19T00:00:00"/>
        <d v="2016-08-22T00:00:00"/>
        <d v="2016-09-19T00:00:00"/>
        <d v="2015-08-24T00:00:00"/>
        <d v="2016-03-26T00:00:00"/>
        <d v="2016-11-04T00:00:00"/>
        <d v="2017-12-05T00:00:00"/>
        <d v="2017-03-18T00:00:00"/>
        <d v="2017-11-04T00:00:00"/>
        <d v="2014-07-05T00:00:00"/>
        <d v="2014-06-21T00:00:00"/>
        <d v="2015-03-28T00:00:00"/>
        <d v="2015-05-14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7-09-16T00:00:00"/>
        <d v="2016-12-03T00:00:00"/>
        <d v="2014-01-04T00:00:00"/>
        <d v="2017-10-02T00:00:00"/>
        <d v="2016-04-07T00:00:00"/>
        <d v="2014-12-29T00:00:00"/>
        <d v="2017-07-23T00:00:00"/>
        <d v="2017-09-18T00:00:00"/>
        <d v="2015-08-31T00:00:00"/>
        <d v="2014-01-13T00:00:00"/>
        <d v="2014-05-14T00:00:00"/>
        <d v="2016-05-19T00:00:00"/>
        <d v="2015-08-21T00:00:00"/>
        <d v="2015-10-03T00:00:00"/>
        <d v="2015-05-23T00:00:00"/>
        <d v="2017-03-17T00:00:00"/>
        <d v="2015-12-12T00:00:00"/>
        <d v="2017-02-20T00:00:00"/>
        <d v="2016-08-18T00:00:00"/>
        <d v="2016-03-12T00:00:00"/>
        <d v="2017-04-22T00:00:00"/>
        <d v="2014-11-01T00:00:00"/>
        <d v="2014-10-13T00:00:00"/>
        <d v="2017-05-14T00:00:00"/>
        <d v="2015-03-20T00:00:00"/>
        <d v="2014-06-28T00:00:00"/>
        <d v="2017-06-20T00:00:00"/>
        <d v="2017-06-16T00:00:00"/>
        <d v="2016-07-23T00:00:00"/>
        <d v="2016-03-07T00:00:00"/>
        <d v="2015-11-20T00:00:00"/>
        <d v="2016-11-07T00:00:00"/>
        <d v="2015-10-13T00:00:00"/>
        <d v="2017-01-01T00:00:00"/>
        <d v="2014-02-07T00:00:00"/>
        <d v="2016-02-19T00:00:00"/>
        <d v="2017-04-10T00:00:00"/>
        <d v="2016-01-05T00:00:00"/>
        <d v="2016-09-29T00:00:00"/>
        <d v="2014-04-06T00:00:00"/>
        <d v="2016-09-03T00:00:00"/>
        <d v="2014-12-10T00:00:00"/>
        <d v="2017-08-25T00:00:00"/>
        <d v="2016-01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4-12-09T00:00:00"/>
        <d v="2016-11-10T00:00:00"/>
        <d v="2016-10-03T00:00:00"/>
        <d v="2014-09-09T00:00:00"/>
        <d v="2017-10-29T00:00:00"/>
        <d v="2016-04-10T00:00:00"/>
        <d v="2017-11-27T00:00:00"/>
        <d v="2014-06-15T00:00:00"/>
        <d v="2016-03-05T00:00:00"/>
        <d v="2015-04-11T00:00:00"/>
        <d v="2016-09-15T00:00:00"/>
        <d v="2017-09-02T00:00:00"/>
        <d v="2017-11-05T00:00:00"/>
        <d v="2015-12-13T00:00:00"/>
        <d v="2016-06-19T00:00:00"/>
        <d v="2015-07-26T00:00:00"/>
        <d v="2017-04-03T00:00:00"/>
        <d v="2017-05-15T00:00:00"/>
        <d v="2017-04-09T00:00:00"/>
        <d v="2014-01-16T00:00:00"/>
        <d v="2017-07-09T00:00:00"/>
        <d v="2017-01-07T00:00:00"/>
        <d v="2017-09-29T00:00:00"/>
        <d v="2015-03-10T00:00:00"/>
        <d v="2017-05-21T00:00:00"/>
        <d v="2015-03-29T00:00:00"/>
        <d v="2016-08-26T00:00:00"/>
        <d v="2014-05-21T00:00:00"/>
        <d v="2015-10-28T00:00:00"/>
        <d v="2016-11-13T00:00:00"/>
        <d v="2015-08-27T00:00:00"/>
        <d v="2015-07-06T00:00:00"/>
        <d v="2015-04-27T00:00:00"/>
        <d v="2015-06-16T00:00:00"/>
        <d v="2016-01-11T00:00:00"/>
        <d v="2014-07-11T00:00:00"/>
        <d v="2016-04-22T00:00:00"/>
        <d v="2015-06-13T00:00:00"/>
        <d v="2017-11-20T00:00:00"/>
        <d v="2017-10-12T00:00:00"/>
        <d v="2014-05-27T00:00:00"/>
        <d v="2015-04-04T00:00:00"/>
        <d v="2017-12-10T00:00:00"/>
        <d v="2016-11-24T00:00:00"/>
        <d v="2015-03-23T00:00:00"/>
        <d v="2015-04-16T00:00:00"/>
        <d v="2017-09-28T00:00:00"/>
        <d v="2015-07-25T00:00:00"/>
        <d v="2016-11-12T00:00:00"/>
        <d v="2017-09-23T00:00:00"/>
        <d v="2016-03-01T00:00:00"/>
        <d v="2016-08-12T00:00:00"/>
        <d v="2015-12-06T00:00:00"/>
        <d v="2017-01-21T00:00:00"/>
        <d v="2014-06-25T00:00:00"/>
        <d v="2016-06-14T00:00:00"/>
        <d v="2016-07-22T00:00:00"/>
        <d v="2014-01-20T00:00:00"/>
        <d v="2016-04-12T00:00:00"/>
        <d v="2016-12-06T00:00:00"/>
        <d v="2015-05-08T00:00:00"/>
        <d v="2014-12-20T00:00:00"/>
        <d v="2016-07-02T00:00:00"/>
        <d v="2014-09-01T00:00:00"/>
        <d v="2014-05-04T00:00:00"/>
        <d v="2015-11-02T00:00:00"/>
        <d v="2014-03-10T00:00:00"/>
        <d v="2014-04-21T00:00:00"/>
        <d v="2015-10-22T00:00:00"/>
        <d v="2015-08-22T00:00:00"/>
        <d v="2017-01-14T00:00:00"/>
        <d v="2017-02-26T00:00:00"/>
        <d v="2015-09-15T00:00:00"/>
        <d v="2017-08-01T00:00:00"/>
        <d v="2017-09-09T00:00:00"/>
        <d v="2016-02-15T00:00:00"/>
        <d v="2014-12-12T00:00:00"/>
        <d v="2017-12-18T00:00:00"/>
        <d v="2017-03-10T00:00:00"/>
        <d v="2016-12-24T00:00:00"/>
        <d v="2017-10-23T00:00:00"/>
        <d v="2017-07-07T00:00:00"/>
        <d v="2017-06-04T00:00:00"/>
        <d v="2016-05-26T00:00:00"/>
        <d v="2016-05-02T00:00:00"/>
        <d v="2015-07-04T00:00:00"/>
        <d v="2016-11-22T00:00:00"/>
        <d v="2015-05-25T00:00:00"/>
        <d v="2016-12-08T00:00:00"/>
        <d v="2016-12-23T00:00:00"/>
        <d v="2015-09-19T00:00:00"/>
        <d v="2017-07-03T00:00:00"/>
        <d v="2017-02-03T00:00:00"/>
        <d v="2017-03-03T00:00:00"/>
        <d v="2017-10-09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7-01-02T00:00:00"/>
        <d v="2014-03-17T00:00:00"/>
        <d v="2014-10-03T00:00:00"/>
        <d v="2016-03-28T00:00:00"/>
        <d v="2017-05-04T00:00:00"/>
        <d v="2014-09-26T00:00:00"/>
        <d v="2017-03-07T00:00:00"/>
        <d v="2014-04-01T00:00:00"/>
        <d v="2016-02-05T00:00:00"/>
        <d v="2016-11-01T00:00:00"/>
        <d v="2016-04-19T00:00:00"/>
        <d v="2016-07-09T00:00:00"/>
        <d v="2017-01-28T00:00:00"/>
        <d v="2016-12-26T00:00:00"/>
        <d v="2017-08-05T00:00:00"/>
        <d v="2017-06-13T00:00:00"/>
        <d v="2014-04-23T00:00:00"/>
        <d v="2015-05-01T00:00:00"/>
        <d v="2015-07-19T00:00:00"/>
        <d v="2016-11-26T00:00:00"/>
        <d v="2015-08-17T00:00:00"/>
        <d v="2015-05-16T00:00:00"/>
        <d v="2015-09-24T00:00:00"/>
        <d v="2016-11-19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6-10-17T00:00:00"/>
        <d v="2015-08-01T00:00:00"/>
        <d v="2017-08-18T00:00:00"/>
        <d v="2014-02-03T00:00:00"/>
        <d v="2017-02-11T00:00:00"/>
        <d v="2017-04-16T00:00:00"/>
        <d v="2017-08-31T00:00:00"/>
        <d v="2014-03-11T00:00:00"/>
        <d v="2014-02-04T00:00:00"/>
        <d v="2015-11-23T00:00:00"/>
        <d v="2014-05-03T00:00:00"/>
        <d v="2017-10-16T00:00:00"/>
        <d v="2014-04-04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6-03-15T00:00:00"/>
        <d v="2015-11-16T00:00:00"/>
        <d v="2017-06-21T00:00:00"/>
        <d v="2014-08-29T00:00:00"/>
        <d v="2015-01-10T00:00:00"/>
        <d v="2016-03-22T00:00:00"/>
        <d v="2014-08-16T00:00:00"/>
        <d v="2015-07-13T00:00:00"/>
        <d v="2016-03-08T00:00:00"/>
        <d v="2015-01-30T00:00:00"/>
        <d v="2017-10-07T00:00:00"/>
        <d v="2016-04-30T00:00:00"/>
        <d v="2015-12-19T00:00:00"/>
        <d v="2017-04-29T00:00:00"/>
        <d v="2016-02-07T00:00:00"/>
        <d v="2017-07-29T00:00:00"/>
        <d v="2014-06-06T00:00:00"/>
        <d v="2016-08-13T00:00:00"/>
        <d v="2014-04-25T00:00:00"/>
        <d v="2014-01-05T00:00:00"/>
        <d v="2016-08-04T00:00:00"/>
        <d v="2014-03-22T00:00:00"/>
        <d v="2014-04-28T00:00:00"/>
        <d v="2016-11-11T00:00:00"/>
        <d v="2015-07-09T00:00:00"/>
        <d v="2015-02-15T00:00:00"/>
        <d v="2014-09-30T00:00:00"/>
        <d v="2014-12-08T00:00:00"/>
        <d v="2016-08-08T00:00:00"/>
        <d v="2016-02-11T00:00:00"/>
        <d v="2015-09-14T00:00:00"/>
        <d v="2015-06-04T00:00:00"/>
        <d v="2014-05-25T00:00:00"/>
        <d v="2016-02-16T00:00:00"/>
        <d v="2016-02-08T00:00:00"/>
        <d v="2014-05-18T00:00:00"/>
        <d v="2017-02-19T00:00:00"/>
        <d v="2016-07-18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7-03-25T00:00:00"/>
        <d v="2015-03-05T00:00:00"/>
        <d v="2014-10-21T00:00:00"/>
        <d v="2014-03-14T00:00:00"/>
        <d v="2015-12-31T00:00:00"/>
        <d v="2016-05-17T00:00:00"/>
        <d v="2014-01-15T00:00:00"/>
        <d v="2015-11-08T00:00:00"/>
        <d v="2015-10-30T00:00:00"/>
        <d v="2017-08-17T00:00:00"/>
        <d v="2016-07-08T00:00:00"/>
        <d v="2017-03-09T00:00:00"/>
        <d v="2017-11-28T00:00:00"/>
        <d v="2017-03-16T00:00:00"/>
        <d v="2017-08-06T00:00:00"/>
        <d v="2017-05-06T00:00:00"/>
        <d v="2014-10-18T00:00:00"/>
        <d v="2014-11-25T00:00:00"/>
        <d v="2015-11-09T00:00:00"/>
        <d v="2014-02-06T00:00:00"/>
        <d v="2014-11-15T00:00:00"/>
        <d v="2015-03-13T00:00:00"/>
        <d v="2015-01-23T00:00:00"/>
        <d v="2015-06-18T00:00:00"/>
        <d v="2015-10-02T00:00:00"/>
        <d v="2014-08-17T00:00:00"/>
        <d v="2014-10-31T00:00:00"/>
        <d v="2015-04-13T00:00:00"/>
        <d v="2014-12-01T00:00:00"/>
        <d v="2017-02-23T00:00:00"/>
        <d v="2016-06-23T00:00:00"/>
        <d v="2015-10-26T00:00:00"/>
        <d v="2017-07-15T00:00:00"/>
        <d v="2015-11-25T00:00:00"/>
        <d v="2014-07-18T00:00:00"/>
        <d v="2017-03-24T00:00:00"/>
        <d v="2017-09-22T00:00:00"/>
        <d v="2014-05-20T00:00:00"/>
        <d v="2016-01-07T00:00:00"/>
        <d v="2017-03-13T00:00:00"/>
        <d v="2017-01-27T00:00:00"/>
        <d v="2014-08-01T00:00:00"/>
        <d v="2016-07-30T00:00:00"/>
        <d v="2016-05-07T00:00:00"/>
        <d v="2017-08-10T00:00:00"/>
        <d v="2016-09-10T00:00:00"/>
        <d v="2014-07-14T00:00:00"/>
        <d v="2014-11-14T00:00:00"/>
        <d v="2016-11-27T00:00:00"/>
        <d v="2017-07-31T00:00:00"/>
        <d v="2016-10-01T00:00:00"/>
        <d v="2014-03-31T00:00:00"/>
        <d v="2017-04-20T00:00:00"/>
        <d v="2015-09-28T00:00:00"/>
        <d v="2017-02-06T00:00:00"/>
        <d v="2017-12-20T00:00:00"/>
        <d v="2015-03-06T00:00:00"/>
        <d v="2014-06-27T00:00:00"/>
        <d v="2017-06-01T00:00:00"/>
        <d v="2017-01-08T00:00:00"/>
        <d v="2015-04-20T00:00:00"/>
        <d v="2015-11-01T00:00:00"/>
        <d v="2015-08-06T00:00:00"/>
        <d v="2016-09-24T00:00:00"/>
        <d v="2014-08-19T00:00:00"/>
        <d v="2014-12-31T00:00:00"/>
        <d v="2014-07-26T00:00:00"/>
        <d v="2016-02-22T00:00:00"/>
        <d v="2017-02-10T00:00:00"/>
        <d v="2016-09-23T00:00:00"/>
        <d v="2016-05-06T00:00:00"/>
        <d v="2016-03-17T00:00:00"/>
        <d v="2015-11-14T00:00:00"/>
        <d v="2017-08-14T00:00:00"/>
        <d v="2016-09-27T00:00:00"/>
        <d v="2015-06-07T00:00:00"/>
        <d v="2016-12-29T00:00:00"/>
        <d v="2016-04-18T00:00:00"/>
        <d v="2017-05-13T00:00:00"/>
        <d v="2014-03-25T00:00:00"/>
        <d v="2014-11-18T00:00:00"/>
        <d v="2017-07-17T00:00:00"/>
        <d v="2016-10-31T00:00:00"/>
        <d v="2017-08-15T00:00:00"/>
        <d v="2017-12-03T00:00:00"/>
        <d v="2017-08-28T00:00:00"/>
        <d v="2014-06-16T00:00:00"/>
        <d v="2015-07-02T00:00:00"/>
        <d v="2016-11-18T00:00:00"/>
        <d v="2017-12-02T00:00:00"/>
        <d v="2014-09-05T00:00:00"/>
        <d v="2017-05-02T00:00:00"/>
        <d v="2014-10-24T00:00:00"/>
        <d v="2015-01-27T00:00:00"/>
        <d v="2015-07-16T00:00:00"/>
        <d v="2015-08-16T00:00:00"/>
        <d v="2016-09-14T00:00:00"/>
        <d v="2016-10-08T00:00:00"/>
        <d v="2014-01-26T00:00:00"/>
        <d v="2016-05-05T00:00:00"/>
        <d v="2017-04-23T00:00:00"/>
        <d v="2016-03-04T00:00:00"/>
        <d v="2015-08-15T00:00:00"/>
        <d v="2017-06-12T00:00:00"/>
        <d v="2015-02-20T00:00:00"/>
        <d v="2017-09-17T00:00:00"/>
        <d v="2015-08-25T00:00:00"/>
        <d v="2014-03-18T00:00:00"/>
        <d v="2014-12-04T00:00:00"/>
        <d v="2017-02-13T00:00:00"/>
        <d v="2015-02-21T00:00:00"/>
        <d v="2016-02-25T00:00:00"/>
        <d v="2017-08-07T00:00:00"/>
        <d v="2017-01-15T00:00:00"/>
        <d v="2015-04-02T00:00:00"/>
        <d v="2015-07-17T00:00:00"/>
        <d v="2016-10-09T00:00:00"/>
        <d v="2015-09-21T00:00:00"/>
        <d v="2016-12-31T00:00:00"/>
        <d v="2014-09-25T00:00:00"/>
        <d v="2016-06-09T00:00:00"/>
        <d v="2017-05-18T00:00:00"/>
        <d v="2016-12-27T00:00:00"/>
        <d v="2016-06-02T00:00:00"/>
        <d v="2017-08-20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4-03-30T00:00:00"/>
        <d v="2016-01-04T00:00:00"/>
        <d v="2016-06-27T00:00:00"/>
        <d v="2017-11-18T00:00:00"/>
        <d v="2017-12-14T00:00:00"/>
        <d v="2017-04-26T00:00:00"/>
        <d v="2015-06-12T00:00:00"/>
        <d v="2014-12-06T00:00:00"/>
        <d v="2016-05-25T00:00:00"/>
        <d v="2016-02-21T00:00:00"/>
        <d v="2017-03-11T00:00:00"/>
        <d v="2014-05-17T00:00:00"/>
        <d v="2017-04-17T00:00:00"/>
        <d v="2016-08-23T00:00:00"/>
        <d v="2016-03-24T00:00:00"/>
        <d v="2015-06-11T00:00:00"/>
        <d v="2014-07-20T00:00:00"/>
        <d v="2017-05-27T00:00:00"/>
        <d v="2017-04-14T00:00:00"/>
        <d v="2014-08-24T00:00:00"/>
        <d v="2014-06-30T00:00:00"/>
        <d v="2016-06-07T00:00:00"/>
        <d v="2016-10-29T00:00:00"/>
        <d v="2016-05-28T00:00:00"/>
        <d v="2016-01-09T00:00:00"/>
        <d v="2017-10-27T00:00:00"/>
        <d v="2014-11-17T00:00:00"/>
        <d v="2014-07-15T00:00:00"/>
        <d v="2014-08-15T00:00:00"/>
        <d v="2015-11-05T00:00:00"/>
        <d v="2015-08-13T00:00:00"/>
        <d v="2014-09-23T00:00:00"/>
        <d v="2014-01-31T00:00:00"/>
        <d v="2017-07-01T00:00:00"/>
        <d v="2016-09-20T00:00:00"/>
        <d v="2015-09-06T00:00:00"/>
        <d v="2016-07-29T00:00:00"/>
        <d v="2016-08-06T00:00:00"/>
        <d v="2016-10-07T00:00:00"/>
        <d v="2015-03-01T00:00:00"/>
        <d v="2014-04-18T00:00:00"/>
        <d v="2014-05-09T00:00:00"/>
        <d v="2016-03-29T00:00:00"/>
        <d v="2017-09-04T00:00:00"/>
        <d v="2016-07-03T00:00:00"/>
        <d v="2016-09-22T00:00:00"/>
        <d v="2017-04-24T00:00:00"/>
        <d v="2015-03-12T00:00:00"/>
        <d v="2015-11-19T00:00:00"/>
        <d v="2016-03-03T00:00:00"/>
        <d v="2016-02-29T00:00:00"/>
        <d v="2017-02-25T00:00:00"/>
        <d v="2014-12-16T00:00:00"/>
        <d v="2016-12-17T00:00:00"/>
        <d v="2014-04-11T00:00:00"/>
        <d v="2015-05-03T00:00:00"/>
        <d v="2017-02-16T00:00:00"/>
        <d v="2015-02-27T00:00:00"/>
        <d v="2017-03-05T00:00:00"/>
        <d v="2014-04-08T00:00:00"/>
        <d v="2014-06-08T00:00:00"/>
        <d v="2017-02-17T00:00:00"/>
        <d v="2014-07-27T00:00:00"/>
        <d v="2015-10-23T00:00:00"/>
        <d v="2017-01-29T00:00:00"/>
        <d v="2014-11-22T00:00:00"/>
        <d v="2015-01-03T00:00:00"/>
        <d v="2017-07-18T00:00:00"/>
        <d v="2015-10-19T00:00:00"/>
        <d v="2015-06-01T00:00:00"/>
        <d v="2015-02-22T00:00:00"/>
        <d v="2014-12-23T00:00:00"/>
        <d v="2017-04-08T00:00:00"/>
        <d v="2016-04-17T00:00:00"/>
        <d v="2015-03-08T00:00:00"/>
        <d v="2016-03-10T00:00:00"/>
        <d v="2014-06-23T00:00:00"/>
        <d v="2016-08-28T00:00:00"/>
        <d v="2016-12-30T00:00:00"/>
        <d v="2014-05-19T00:00:00"/>
        <d v="2017-01-30T00:00:00"/>
        <d v="2014-04-07T00:00:00"/>
        <d v="2015-02-18T00:00:00"/>
        <d v="2017-04-01T00:00:00"/>
        <d v="2015-01-05T00:00:00"/>
        <d v="2014-03-26T00:00:00"/>
        <d v="2016-04-16T00:00:00"/>
        <d v="2015-05-17T00:00:00"/>
        <d v="2017-08-23T00:00:00"/>
        <d v="2014-08-22T00:00:00"/>
        <d v="2016-10-04T00:00:00"/>
        <d v="2014-10-26T00:00:00"/>
        <d v="2016-01-25T00:00:00"/>
        <d v="2017-10-03T00:00:00"/>
        <d v="2015-08-07T00:00:00"/>
        <d v="2014-03-24T00:00:00"/>
        <d v="2014-02-20T00:00:00"/>
        <d v="2014-11-02T00:00:00"/>
        <d v="2016-11-14T00:00:00"/>
        <d v="2015-07-12T00:00:00"/>
        <d v="2014-04-19T00:00:00"/>
        <d v="2016-12-12T00:00:00"/>
        <d v="2015-06-09T00:00:00"/>
        <d v="2015-07-31T00:00:00"/>
        <d v="2016-01-24T00:00:00"/>
        <d v="2014-05-30T00:00:00"/>
        <d v="2016-01-10T00:00:00"/>
        <d v="2015-10-10T00:00:00"/>
        <d v="2016-05-22T00:00:00"/>
        <d v="2014-07-08T00:00:00"/>
        <d v="2015-06-29T00:00:00"/>
        <d v="2016-05-14T00:00:00"/>
        <d v="2017-07-13T00:00:00"/>
        <d v="2015-04-07T00:00:00"/>
        <d v="2015-07-23T00:00:00"/>
        <d v="2015-01-13T00:00:00"/>
        <d v="2017-05-23T00:00:00"/>
        <d v="2014-10-15T00:00:00"/>
        <d v="2014-09-02T00:00:00"/>
        <d v="2015-03-15T00:00:00"/>
        <d v="2015-08-02T00:00:00"/>
        <d v="2016-01-31T00:00:00"/>
        <d v="2014-04-30T00:00:00"/>
        <d v="2017-05-11T00:00:00"/>
        <d v="2015-07-11T00:00:00"/>
        <d v="2016-04-03T00:00:00"/>
        <d v="2014-04-20T00:00:00"/>
        <d v="2015-06-21T00:00:00"/>
        <d v="2016-05-27T00:00:00"/>
        <d v="2015-01-12T00:00:00"/>
        <d v="2014-06-14T00:00:00"/>
        <d v="2014-03-07T00:00:00"/>
        <d v="2017-01-03T00:00:00"/>
        <d v="2015-05-21T00:00:00"/>
        <d v="2014-01-18T00:00:00"/>
        <d v="2014-01-19T00:00:00"/>
        <d v="2014-02-14T00:00:00"/>
        <d v="2015-10-24T00:00:00"/>
        <d v="2015-10-08T00:00:00"/>
        <d v="2014-02-24T00:00:00"/>
        <d v="2014-02-11T00:00:00"/>
        <d v="2015-05-15T00:00:00"/>
        <d v="2014-05-28T00:00:00"/>
        <d v="2016-07-28T00:00:00"/>
        <d v="2014-07-28T00:00:00"/>
        <d v="2016-02-03T00:00:00"/>
        <d v="2015-02-25T00:00:00"/>
        <d v="2015-07-18T00:00:00"/>
        <d v="2015-04-29T00:00:00"/>
        <d v="2016-07-04T00:00:00"/>
        <d v="2016-07-19T00:00:00"/>
        <d v="2016-02-04T00:00:00"/>
        <d v="2015-04-10T00:00:00"/>
        <d v="2017-08-22T00:00:00"/>
        <d v="2016-03-14T00:00:00"/>
        <d v="2016-08-16T00:00:00"/>
        <d v="2015-10-18T00:00:00"/>
        <d v="2017-04-04T00:00:00"/>
        <d v="2015-05-12T00:00:00"/>
        <d v="2017-05-05T00:00:00"/>
        <d v="2015-04-22T00:00:00"/>
        <d v="2014-01-30T00:00:00"/>
        <d v="2015-11-30T00:00:00"/>
        <d v="2014-02-23T00:00:00"/>
        <d v="2015-06-05T00:00:00"/>
        <d v="2014-05-07T00:00:00"/>
        <d v="2016-08-07T00:00:00"/>
        <d v="2014-09-06T00:00:00"/>
        <d v="2015-08-08T00:00:00"/>
        <d v="2015-09-11T00:00:00"/>
        <d v="2014-10-10T00:00:00"/>
        <d v="2015-05-20T00:00:00"/>
        <d v="2014-07-04T00:00:00"/>
        <d v="2014-05-26T00:00:00"/>
        <d v="2015-02-16T00:00:00"/>
        <d v="2015-03-31T00:00:00"/>
        <d v="2015-05-24T00:00:00"/>
        <d v="2017-08-03T00:00:00"/>
        <d v="2015-01-09T00:00:00"/>
        <d v="2014-01-06T00:00:00"/>
        <d v="2016-02-12T00:00:00"/>
        <d v="2015-08-11T00:00:00"/>
        <d v="2015-05-26T00:00:00"/>
        <d v="2015-02-10T00:00:00"/>
        <d v="2014-03-29T00:00:00"/>
        <d v="2014-10-28T00:00:00"/>
        <d v="2014-09-15T00:00:00"/>
        <d v="2014-05-10T00:00:00"/>
        <d v="2014-02-22T00:00:00"/>
        <d v="2015-04-28T00:00:00"/>
        <d v="2015-02-14T00:00:00"/>
        <d v="2015-01-06T00:00:00"/>
        <d v="2015-02-03T00:00:00"/>
        <d v="2016-08-01T00:00:00"/>
        <d v="2016-02-14T00:00:00"/>
        <d v="2015-01-24T00:00:00"/>
        <d v="2015-12-10T00:00:00"/>
        <d v="2014-07-09T00:00:00"/>
        <d v="2017-04-11T00:00:00"/>
        <d v="2016-12-22T00:00:00"/>
        <d v="2017-03-30T00:00:00"/>
        <d v="2014-08-23T00:00:00"/>
        <d v="2017-07-11T00:00:00"/>
        <d v="2015-09-22T00:00:00"/>
        <d v="2015-01-26T00:00:00"/>
        <d v="2015-02-06T00:00:00"/>
        <d v="2017-01-19T00:00:00"/>
        <d v="2014-01-23T00:00:00"/>
        <d v="2017-02-21T00:00:00"/>
        <d v="2015-10-25T00:00:00"/>
        <d v="2014-02-27T00:00:00"/>
        <d v="2017-01-24T00:00:00"/>
        <d v="2015-01-28T00:00:00"/>
        <d v="2017-04-02T00:00:00"/>
        <d v="2015-05-09T00:00:00"/>
        <d v="2015-03-26T00:00:00"/>
        <d v="2016-08-21T00:00:00"/>
        <d v="2014-01-21T00:00:00"/>
      </sharedItems>
      <fieldGroup par="18" base="0">
        <rangePr groupBy="months" startDate="2014-01-04T00:00:00" endDate="2017-12-31T00:00:00"/>
        <groupItems count="14">
          <s v="&lt;1/4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324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Bloomington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Lakeville"/>
        <s v="San Diego"/>
        <s v="Brentwood"/>
        <s v="Morristown"/>
        <s v="Cincinnati"/>
        <s v="Tamarac"/>
        <s v="Belleville"/>
        <s v="Taylor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Wilmington"/>
        <s v="Huntington Beach"/>
        <s v="Richmond"/>
        <s v="Louisville"/>
        <s v="Canton"/>
        <s v="New Rochelle"/>
        <s v="Gastonia"/>
        <s v="Jacksonville"/>
        <s v="Auburn"/>
        <s v="Park Ridge"/>
        <s v="Amarillo"/>
        <s v="Huntsville"/>
        <s v="Costa Mesa"/>
        <s v="Parker"/>
        <s v="Atlanta"/>
        <s v="Gladstone"/>
        <s v="Great Falls"/>
        <s v="Lawrence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Tyler"/>
        <s v="Burlington"/>
        <s v="Waynesboro"/>
        <s v="Chester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Edmonds"/>
        <s v="Santa Ana"/>
        <s v="Milwaukee"/>
        <s v="Florence"/>
        <s v="Lorain"/>
        <s v="Linden"/>
        <s v="New Brunswick"/>
        <s v="Norwich"/>
        <s v="Alexandria"/>
        <s v="Farmington"/>
        <s v="Riverside"/>
        <s v="Round Rock"/>
        <s v="Phoenix"/>
        <s v="Fayetteville"/>
        <s v="Virginia Beach"/>
        <s v="Murrieta"/>
        <s v="Washington"/>
        <s v="Jefferson City"/>
        <s v="Rockford"/>
        <s v="Toledo"/>
        <s v="Brownsville"/>
        <s v="Yonkers"/>
        <s v="Oakland"/>
        <s v="Jonesboro"/>
        <s v="Antioch"/>
        <s v="Homestead"/>
        <s v="La Porte"/>
        <s v="Lansing"/>
        <s v="Cuyahoga Falls"/>
        <s v="Harrisonburg"/>
        <s v="Escondido"/>
        <s v="Royal Oak"/>
        <s v="Rockville"/>
        <s v="Coral Springs"/>
        <s v="Boynton Beach"/>
        <s v="Gulfport"/>
        <s v="Fresno"/>
        <s v="Macon"/>
        <s v="Cedar Rapids"/>
        <s v="Providence"/>
        <s v="Pueblo"/>
        <s v="Deltona"/>
        <s v="Murray"/>
        <s v="Freeport"/>
        <s v="Pico Rivera"/>
        <s v="Colorado Springs"/>
        <s v="Clinton"/>
        <s v="Smyrna"/>
        <s v="Mobile"/>
        <s v="New Bedford"/>
        <s v="Vineland"/>
        <s v="Glendale"/>
        <s v="Niagara Falls"/>
        <s v="Westminster"/>
        <s v="Pomona"/>
        <s v="Tempe"/>
        <s v="Appleton"/>
        <s v="El Paso"/>
        <s v="Grapevine"/>
        <s v="Olympia"/>
        <s v="Cleveland"/>
        <s v="Tigard"/>
        <s v="North Las Vegas"/>
        <s v="Plano"/>
        <s v="Suffolk"/>
        <s v="Greensboro"/>
        <s v="Baltimore"/>
        <s v="Kenosha"/>
        <s v="Tulsa"/>
        <s v="Raleigh"/>
        <s v="Meriden"/>
        <s v="Roswell"/>
        <s v="Bowling Green"/>
        <s v="South Bend"/>
        <s v="Spokane"/>
        <s v="Missoula"/>
        <s v="Apopka"/>
        <s v="Watertown"/>
        <s v="Lafayette"/>
        <s v="Carrollton"/>
        <s v="Paterson"/>
        <s v="Chesapeake"/>
        <s v="Johnson City"/>
        <s v="Bozeman"/>
        <s v="Rancho Cucamonga"/>
        <s v="Ormond Beach"/>
        <s v="Grand Prairie"/>
        <s v="Manteca"/>
        <s v="Kent"/>
        <s v="Lincoln Park"/>
        <s v="Marion"/>
        <s v="Indianapolis"/>
        <s v="Southaven"/>
        <s v="New Castle"/>
        <s v="Malden"/>
        <s v="Holyoke"/>
        <s v="Coachella"/>
        <s v="Elmhurst"/>
        <s v="Newport News"/>
        <s v="Jamestown"/>
        <s v="Mishawaka"/>
        <s v="Oklahoma City"/>
        <s v="Woodstock"/>
        <s v="Hot Springs"/>
        <s v="Provo"/>
        <s v="Cary"/>
        <s v="Las Cruces"/>
        <s v="Vacaville"/>
        <s v="Bakersfield"/>
        <s v="Omaha"/>
        <s v="Tallahassee"/>
        <s v="Sioux Falls"/>
        <s v="Orlando"/>
        <s v="Lake Charles"/>
        <s v="Highland Park"/>
        <s v="Mount Pleasant"/>
        <s v="Eau Claire"/>
        <s v="Pharr"/>
        <s v="Gresham"/>
        <s v="Maple Grove"/>
        <s v="Grand Rapids"/>
        <s v="Muskogee"/>
        <s v="Yucaipa"/>
        <s v="Nashville"/>
        <s v="Dearborn Heights"/>
        <s v="Carol Stream"/>
        <s v="Saint Cloud"/>
        <s v="North Miami"/>
        <s v="Plantation"/>
        <s v="Rock Hill"/>
        <s v="Odessa"/>
        <s v="West Allis"/>
        <s v="Chula Vista"/>
        <s v="Altoona"/>
        <s v="Knoxville"/>
        <s v="Bolingbrook"/>
        <s v="Baytown"/>
        <s v="Buffalo"/>
        <s v="Sterling Heights"/>
        <s v="Sacramento"/>
        <s v="Deer Park"/>
        <s v="Midland"/>
        <s v="Cranston"/>
        <s v="Lakewood"/>
        <s v="The Colony"/>
        <s v="Portage"/>
        <s v="San Gabriel"/>
        <s v="Margate"/>
        <s v="Sandy Springs"/>
        <s v="Boise"/>
        <s v="Lewiston"/>
        <s v="Hampton"/>
        <s v="Hattiesburg"/>
        <s v="Everett"/>
        <s v="Waterbury"/>
        <s v="Athens"/>
        <s v="Avondale"/>
        <s v="Wichita"/>
        <s v="Marietta"/>
        <s v="Parma"/>
        <s v="Lehi"/>
        <s v="Medford"/>
        <s v="Santa Barbara"/>
        <s v="Pocatello"/>
        <s v="Holland"/>
        <s v="Leominster"/>
        <s v="Conway"/>
        <s v="Bartlett"/>
        <s v="Redwood City"/>
        <s v="Mcallen"/>
        <s v="Des Plaines"/>
        <s v="Draper"/>
        <s v="Wilson"/>
        <s v="Bellevue"/>
        <s v="Garden City"/>
        <s v="Camarillo"/>
        <s v="Moreno Valley"/>
        <s v="West Palm Beach"/>
        <s v="Davis"/>
        <s v="Saint Charles"/>
        <s v="Rapid City"/>
        <s v="Hollywood"/>
        <s v="Buffalo Grove"/>
      </sharedItems>
    </cacheField>
    <cacheField name="State" numFmtId="0">
      <sharedItems count="44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Montana"/>
        <s v="New Hampshire"/>
        <s v="Arkansas"/>
        <s v="District of Columbia"/>
        <s v="Maryland"/>
        <s v="South Dakota"/>
        <s v="Idaho"/>
        <s v="Kansas"/>
      </sharedItems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Labels"/>
        <s v="Tables"/>
        <s v="Furnishings"/>
        <s v="Paper"/>
        <s v="Binders"/>
        <s v="Appliances"/>
        <s v="Storage"/>
        <s v="Art"/>
        <s v="Chairs"/>
        <s v="Envelopes"/>
        <s v="Phones"/>
        <s v="Accessories"/>
        <s v="Fasteners"/>
        <s v="Machines"/>
        <s v="Supplies"/>
        <s v="Copiers"/>
      </sharedItems>
    </cacheField>
    <cacheField name="Product Name" numFmtId="0">
      <sharedItems count="943">
        <s v="Bush Somerset Collection Bookcase"/>
        <s v="Self-Adhesive Address Labels for Typewriters by Universal"/>
        <s v="Bretford CR4500 Series Slim Rectangular Table"/>
        <s v="Eldon Expressions Wood and Plastic Desk Accessories, Cherry Wood"/>
        <s v="Xerox 1967"/>
        <s v="Fellowes PB200 Plastic Comb Binding Machine"/>
        <s v="Holmes Replacement Filter for HEPA Air Cleaner, Very Large Room, HEPA Filter"/>
        <s v="Stur-D-Stor Shelving, Vertical 5-Shelf: 72&quot;H x 36&quot;W x 18 1/2&quot;D"/>
        <s v="Fellowes Super Stor/Drawer"/>
        <s v="Newell 341"/>
        <s v="Newell 318"/>
        <s v="Global Deluxe Stacking Chair, Gray"/>
        <s v="Wilson Jones Active Use Binders"/>
        <s v="Riverside Palais Royal Lawyers Bookcase, Royale Cherry Finish"/>
        <s v="Easy-staple paper"/>
        <s v="#10-4 1/8&quot; x 9 1/2&quot; Premium Diagonal Seam Envelopes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Gould Plastics 9-Pocket Panel Bin, 18-3/8w x 5-1/4d x 20-1/2h, Black"/>
        <s v="Imation 8gb Micro Traveldrive Usb 2.0 Flash Drive"/>
        <s v="C-Line Peel &amp; Stick Add-On Filing Pockets, 8-3/4 x 5-1/8, 10/Pack"/>
        <s v="Advantus Push Pins"/>
        <s v="Home/Office Personal File Carts"/>
        <s v="Verbatim 25 GB 6x Blu-ray Single Layer Recordable Disc, 3/Pack"/>
        <s v="Global Value Mid-Back Manager's Chair, Gray"/>
        <s v="Hunt BOSTON Model 1606 High-Volume Electric Pencil Sharpener, Beig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Economy Binders"/>
        <s v="Eldon Expressions Desk Accessory, Wood Pencil Holder, Oak"/>
        <s v="1.7 Cubic Foot Compact &quot;Cube&quot; Office Refrigerators"/>
        <s v="Premium Writing Pencils, Soft, #2 by Central Association for the Blind"/>
        <s v="Jet-Pak Recycled Peel 'N' Seal Padded Mailers"/>
        <s v="Safco Industrial Wire Shelving"/>
        <s v="Novimex Swivel Fabric Task Chair"/>
        <s v="Logitech LS21 Speaker System - PC Multimedia - 2.1-CH - Wired"/>
        <s v="Eldon Portable Mobile Manager"/>
        <s v="Turquoise Lead Holder with Pocket Clip"/>
        <s v="Xerox 1999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Universal Premium White Copier/Laser Paper (20Lb. and 87 Bright)"/>
        <s v="Logitech K350 2.4Ghz Wireless Keyboard"/>
        <s v="Memorex Mini Travel Drive 8 GB USB 2.0 Flash Drive"/>
        <s v="Logitech Gaming G510s - Keyboard"/>
        <s v="Magnifier Swing Arm Lamp"/>
        <s v="Hunt PowerHouse Electric Pencil Sharpener, Blue"/>
        <s v="OIC Colored Binder Clips, Assorted Sizes"/>
        <s v="Hon Racetrack Conference Tables"/>
        <s v="GBC DocuBind 300 Electric Binding Machine"/>
        <s v="Global Deluxe High-Back Manager's Chair"/>
        <s v="Bevis 44 x 96 Conference Tables"/>
        <s v="Anker 36W 4-Port USB Wall Charger Travel Power Adapter for iPhone 5s 5c 5"/>
        <s v="Xerox 195"/>
        <s v="Howard Miller 13-3/4&quot; Diameter Brushed Chrome Round Wall Clock"/>
        <s v="Sanyo 2.5 Cubic Foot Mid-Size Office Refrigerators"/>
        <s v="Seth Thomas 14&quot; Putty-Colored Wall Clock"/>
        <s v="Plantronics Cordless Phone Headset with In-line Volume - M214C"/>
        <s v="Belkin 7 Outlet SurgeMaster Surge Protector with Phone Protection"/>
        <s v="Southworth 25% Cotton Antique Laid Paper &amp; Envelopes"/>
        <s v="Newell 311"/>
        <s v="Avery 519"/>
        <s v="Xerox 1920"/>
        <s v="Staple envelope"/>
        <s v="BIC Brite Liner Highlighters"/>
        <s v="Adams Phone Message Book, Professional, 400 Message Capacity, 5 3/6” x 11”"/>
        <s v="Kensington 7 Outlet MasterPiece HOMEOFFICE Power Control Center"/>
        <s v="Acco 7-Outlet Masterpiece Power Center, Wihtout Fax/Phone Line Protection"/>
        <s v="Padded Folding Chairs, Black, 4/Carton"/>
        <s v="Sanford Colorific Eraseable Coloring Pencils, 12 Count"/>
        <s v="Tenex File Box, Personal Filing Tote with Lid, Black"/>
        <s v="AT&amp;T TR1909W"/>
        <s v="Avery Poly Binder Pockets"/>
        <s v="SanDisk Ultra 32 GB MicroSDHC Class 10 Memory Card"/>
        <s v="Atlantic Metals Mobile 4-Shelf Bookcases, Custom Colors"/>
        <s v="Poly String Tie Envelopes"/>
        <s v="Binney &amp; Smith Crayola Metallic Colored Pencils, 8-Color Set"/>
        <s v="Decoflex Hanging Personal Folder File"/>
        <s v="Pressboard Covers with Storage Hooks, 9 1/2&quot; x 11&quot;, Light Blue"/>
        <s v="Southworth 25% Cotton Linen-Finish Paper &amp; Envelopes"/>
        <s v="BoxOffice By Design Rectangular and Half-Moon Meeting Room Tables"/>
        <s v="Eureka Sanitaire  Commercial Upright"/>
        <s v="Eldon 200 Class Desk Accessories, Burgundy"/>
        <s v="Nortel Business Series Terminal T7208 Digital phone"/>
        <s v="Tennsco Lockers, Gray"/>
        <s v="Memorex Micro Travel Drive 8 GB"/>
        <s v="Avery 505"/>
        <s v="Personal Filing Tote with Lid, Black/Gray"/>
        <s v="OIC Bulk Pack Metal Binder Clips"/>
        <s v="Sanford Uni-Blazer View Highlighters, Chisel Tip, Yellow"/>
        <s v="Global Low Back Tilter Chair"/>
        <s v="GBC Instant Index System for Binding Systems"/>
        <s v="Bush Advantage Collection Round Conference Table"/>
        <s v="Xerox 1957"/>
        <s v="Global Leather Highback Executive Chair with Pneumatic Height Adjustment, Black"/>
        <s v="Wirebound Message Books, Two 4 1/4&quot; x 5&quot; Forms per Page"/>
        <s v="Eldon 100 Class Desk Accessories"/>
        <s v="Sabrent 4-Port USB 2.0 Hub"/>
        <s v="Eureka Disposable Bags for Sanitaire Vibra Groomer I Upright Vac"/>
        <s v="Lexmark MX611dhe Monochrome Laser Printer"/>
        <s v="Cisco Small Business SPA 502G VoIP phone"/>
        <s v="Microsoft Sculpt Comfort Mouse"/>
        <s v="Bagged Rubber Bands"/>
        <s v="Safco Commercial Shelving"/>
        <s v="Adjustable Depth Letter/Legal Cart"/>
        <s v="Logitech 910-002974 M325 Wireless Mouse for Web Scrolling"/>
        <s v="Post-it “Important Message” Note Pad, Neon Colors, 50 Sheets/Pad"/>
        <s v="Round Ring Binders"/>
        <s v="GBC VeloBinder Electric Binding Machine"/>
        <s v="Xerox 223"/>
        <s v="BPI Conference Tables"/>
        <s v="Electrix 20W Halogen Replacement Bulb for Zoom-In Desk Lamp"/>
        <s v="Newell 350"/>
        <s v="Faber Castell Col-Erase Pencils"/>
        <s v="C-Line Cubicle Keepers Polyproplyene Holder With Velcro Backings"/>
        <s v="Deflect-o SuperTray Unbreakable Stackable Tray, Letter, Black"/>
        <s v="AT&amp;T 1070 Corded Phone"/>
        <s v="Boston School Pro Electric Pencil Sharpener, 1670"/>
        <s v="DMI Arturo Collection Mission-style Design Wood Chair"/>
        <s v="OIC Binder Clips"/>
        <s v="Ibico Laser Imprintable Binding System Covers"/>
        <s v="Telescoping Adjustable Floor Lamp"/>
        <s v="Aastra 57i VoIP phone"/>
        <s v="AT&amp;T 841000 Phone"/>
        <s v="Storex Dura Pro Binders"/>
        <s v="Tuff Stuff Recycled Round Ring Binders"/>
        <s v="OIC Binder Clips, Mini, 1/4&quot; Capacity, Black"/>
        <s v="Newell 314"/>
        <s v="Binney &amp; Smith inkTank Erasable Desk Highlighter, Chisel Tip, Yellow, 12/Box"/>
        <s v="Sauder Barrister Bookcases"/>
        <s v="Belkin 8 Outlet SurgeMaster II Gold Surge Protector with Phone Protection"/>
        <s v="Avery Address/Shipping Labels for Typewriters, 4&quot; x 2&quot;"/>
        <s v="Wilson Jones “Snap” Scratch Pad Binder Tool for Ring Binders"/>
        <s v="Xerox 1930"/>
        <s v="Wilson Jones Custom Binder Spines &amp; Labels"/>
        <s v="Xerox 1960"/>
        <s v="Office Impressions End Table, 20-1/2&quot;H x 24&quot;W x 20&quot;D"/>
        <s v="Southworth Structures Collection"/>
        <s v="Sony 32GB Class 10 Micro SDHC R40 Memory Card"/>
        <s v="Hon Practical Foundations 30 x 60 Training Table, Light Gray/Charcoal"/>
        <s v="Lexmark MarkNet N8150 Wireless Print Server"/>
        <s v="Crayola Colored Pencils"/>
        <s v="Angle-D Binders with Locking Rings, Label Holders"/>
        <s v="Nortel Meridian M3904 Professional Digital phone"/>
        <s v="Wilson Jones Century Plastic Molded Ring Binders"/>
        <s v="Tuf-Vin Binders"/>
        <s v="2300 Heavy-Duty Transfer File Systems by Perma"/>
        <s v="Acme 10&quot; Easy Grip Assistive Scissors"/>
        <s v="Super Decoflex Portable Personal File"/>
        <s v="Xerox 1974"/>
        <s v="Avery Hi-Liter EverBold Pen Style Fluorescent Highlighters, 4/Pack"/>
        <s v="Staple holder"/>
        <s v="Sony 64GB Class 10 Micro SDHC R40 Memory Card"/>
        <s v="Xerox 191"/>
        <s v="Bulldog Vacuum Base Pencil Sharpener"/>
        <s v="Bevis Steel Folding Chairs"/>
        <s v="Xerox 1987"/>
        <s v="American Pencil"/>
        <s v="KeyTronic 6101 Series - Keyboard - Black"/>
        <s v="Hon Multipurpose Stacking Arm Chairs"/>
        <s v="Coloredge Poster Frame"/>
        <s v="Epson WorkForce WF-2530 All-in-One Printer, Copier Scanner"/>
        <s v="Design Ebony Sketching Pencil"/>
        <s v="GBC ProClick 150 Presentation Binding System"/>
        <s v="Letter Size Cart"/>
        <s v="Insertable Tab Post Binder Dividers"/>
        <s v="Canon Color ImageCLASS MF8580Cdw Wireless Laser All-In-One Printer, Copier, Scanner"/>
        <s v="Xerox 1897"/>
        <s v="Global Deluxe Steno Chair"/>
        <s v="GE General Purpose, Extra Long Life, Showcase &amp; Floodlight Incandescent Bulbs"/>
        <s v="Newell 345"/>
        <s v="Chromcraft Rectangular Conference Tables"/>
        <s v="Global Geo Office Task Chair, Gray"/>
        <s v="3M Office Air Cleaner"/>
        <s v="Eldon ClusterMat Chair Mat with Cordless Antistatic Protection"/>
        <s v="Bush Mission Pointe Library"/>
        <s v="SAFCO Boltless Steel Shelving"/>
        <s v="Cisco SPA525G2 IP Phone - Wireless"/>
        <s v="Prang Colored Pencils"/>
        <s v="Imation USB 2.0 Swivel Flash Drive USB flash drive - 4 GB - Pink"/>
        <s v="Alphabetical Labels for Top Tab Filing"/>
        <s v="Apple iPhone 5S"/>
        <s v="Square Credit Card Reader"/>
        <s v="Sony Micro Vault Click 8 GB USB 2.0 Flash Drive"/>
        <s v="Balt Solid Wood Rectangular Table"/>
        <s v="Clear Mylar Reinforcing Strips"/>
        <s v="Vinyl Sectional Post Binders"/>
        <s v="Avery Durable Slant Ring Binders, No Labels"/>
        <s v="Rogers Handheld Barrel Pencil Sharpener"/>
        <s v="Executive Impressions Supervisor Wall Clock"/>
        <s v="Newell 327"/>
        <s v="Canon Image Class D660 Copier"/>
        <s v="Motorola HK250 Universal Bluetooth Headset"/>
        <s v="Staples"/>
        <s v="Global Commerce Series High-Back Swivel/Tilt Chairs"/>
        <s v="Eldon Gobal File Keeper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Enermax Aurora Lite Keyboard"/>
        <s v="LG Electronics Tone+ HBS-730 Bluetooth Headset"/>
        <s v="Fellowes Officeware Wire Shelving"/>
        <s v="SanDisk Cruzer 64 GB USB Flash Drive"/>
        <s v="Avery Printable Repositionable Plastic Tabs"/>
        <s v="HON 5400 Series Task Chairs for Big and Tall"/>
        <s v="Howard Miller 11-1/2&quot; Diameter Grantwood Wall Clock"/>
        <s v="Tennsco 16-Compartment Lockers with Coat Rack"/>
        <s v="Zebra Zazzle Fluorescent Highlighters"/>
        <s v="Sanitaire Vibra Groomer IR Commercial Upright Vacuum, Replacement Belts"/>
        <s v="Alliance Big Bands Rubber Bands, 12/Pack"/>
        <s v="Cisco SPA301"/>
        <s v="Avery 473"/>
        <s v="Newell 332"/>
        <s v="Personal Creations Ink Jet Cards and Labels"/>
        <s v="Trav-L-File Heavy-Duty Shuttle II, Black"/>
        <s v="Martin-Yale Premier Letter Opener"/>
        <s v="GE 30524EE4"/>
        <s v="Novimex High-Tech Fabric Mesh Task Chair"/>
        <s v="i.Sound Portable Power - 8000 mAh"/>
        <s v="Newell 312"/>
        <s v="Fellowes Superior 10 Outlet Split Surge Protector"/>
        <s v="Mophie Juice Pack Helium for iPhone"/>
        <s v="Hot File 7-Pocket, Floor Stand"/>
        <s v="Angle-D Ring Binders"/>
        <s v="Xerox 1972"/>
        <s v="PureGear Roll-On Screen Protector"/>
        <s v="Cardinal Slant-D Ring Binder, Heavy Gauge Vinyl"/>
        <s v="Global Manager's Adjustable Task Chair, Storm"/>
        <s v="Belkin Premiere Surge Master II 8-outlet surge protector"/>
        <s v="Verbatim 25 GB 6x Blu-ray Single Layer Recordable Disc, 1/Pack"/>
        <s v="Office Star - Mesh Screen back chair with Vinyl seat"/>
        <s v="Premium Transparent Presentation Covers by GBC"/>
        <s v="Luxo Professional Fluorescent Magnifier Lamp with Clamp-Mount Base"/>
        <s v="Eldon 200 Class Desk Accessories"/>
        <s v="Economy Rollaway Files"/>
        <s v="Imation 16GB Mini TravelDrive USB 2.0 Flash Drive"/>
        <s v="Xerox 1993"/>
        <s v="Eureka The Boss Plus 12-Amp Hard Box Upright Vacuum, Red"/>
        <s v="3M Hangers With Command Adhesive"/>
        <s v="Xerox 1943"/>
        <s v="Tripp Lite Isotel 8 Ultra 8 Outlet Metal Surge"/>
        <s v="Global Troy Executive Leather Low-Back Tilter"/>
        <s v="Gould Plastics 18-Pocket Panel Bin, 34w x 5-1/4d x 20-1/2h"/>
        <s v="Acme Tagit Stainless Steel Antibacterial Scissors"/>
        <s v="Newell 331"/>
        <s v="Kensington 6 Outlet Guardian Standard Surge Protector"/>
        <s v="Hoover Portapower Portable Vacuum"/>
        <s v="Cubify CubeX 3D Printer Triple Head Print"/>
        <s v="NETGEAR AC1750 Dual Band Gigabit Smart WiFi Router"/>
        <s v="Luxo Professional Magnifying Clamp-On Fluorescent Lamps"/>
        <s v="Imation Bio 8GB USB Flash Drive Imation Corp"/>
        <s v="Tenex &quot;The Solids&quot; Textured Chair Mats"/>
        <s v="Laminate Occasional Tables"/>
        <s v="Eaton Premium Continuous-Feed Paper, 25% Cotton, Letter Size, White, 1000 Shts/Box"/>
        <s v="#10- 4 1/8&quot; x 9 1/2&quot; Security-Tint Envelopes"/>
        <s v="Bionaire Personal Warm Mist Humidifier/Vaporizer"/>
        <s v="Cardinal Holdit Business Card Pockets"/>
        <s v="DAX Value U-Channel Document Frames, Easel Back"/>
        <s v="Howard Miller 13&quot; Diameter Pewter Finish Round Wall Clock"/>
        <s v="GBC Standard Therm-A-Bind Covers"/>
        <s v="Tops Green Bar Computer Printout Paper"/>
        <s v="Chromcraft Bull-Nose Wood Oval Conference Tables &amp; Bases"/>
        <s v="Seth Thomas 16&quot; Steel Case Clock"/>
        <s v="Acme Softgrip Scissors"/>
        <s v="Manila Recycled Extra-Heavyweight Clasp Envelopes, 6&quot; x 9&quot;"/>
        <s v="Xerox 1964"/>
        <s v="Avery 508"/>
        <s v="Belkin iPhone and iPad Lightning Cable"/>
        <s v="GBC Durable Plastic Covers"/>
        <s v="Hewlett Packard 610 Color Digital Copier / Printer"/>
        <s v="12-1/2 Diameter Round Wall Clock"/>
        <s v="Recycled Eldon Regeneration Jumbo File"/>
        <s v="Adams Telephone Message Book W/Dividers/Space For Phone Numbers, 5 1/4&quot;X8 1/2&quot;, 200/Messages"/>
        <s v="Xerox 226"/>
        <s v="Electrix Halogen Magnifier Lamp"/>
        <s v="Hon 4070 Series Pagoda Round Back Stacking Chairs"/>
        <s v="Hon GuestStacker Chair"/>
        <s v="Acco D-Ring Binder w/DublLock"/>
        <s v="Cameo Buff Policy Envelopes"/>
        <s v="Heavy-Duty E-Z-D Binders"/>
        <s v="Lifetime Advantage Folding Chairs, 4/Carton"/>
        <s v="GBC VeloBinder Manual Binding System"/>
        <s v="Cisco Unified IP Phone 7945G VoIP phone"/>
        <s v="Avery 499"/>
        <s v="Xerox 1887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Newell 32"/>
        <s v="Xerox 205"/>
        <s v="Xerox 1995"/>
        <s v="Razer Kraken PRO Over Ear PC and Music Headset"/>
        <s v="Advantus Plastic Paper Clips"/>
        <s v="Global Airflow Leather Mesh Back Chair, Black"/>
        <s v="Boston 16801 Nautilus Battery Pencil Sharpener"/>
        <s v="Belkin Grip Candy Sheer Case / Cover for iPhone 5 and 5S"/>
        <s v="Boston 19500 Mighty Mite Electric Pencil Sharpener"/>
        <s v="Fellowes Binding Cases"/>
        <s v="I Need's 3d Hello Kitty Hybrid Silicone Case Cover for HTC One X 4g with 3d Hello Kitty Stylus Pen Green/pink"/>
        <s v="Linden 10&quot; Round Wall Clock, Black"/>
        <s v="Maxell DVD-RAM Discs"/>
        <s v="Xerox 1884"/>
        <s v="Staple remover"/>
        <s v="Logitech MX Performance Wireless Mouse"/>
        <s v="Avery 483"/>
        <s v="Large Capacity Hanging Post Binders"/>
        <s v="GBC Ibimaster 500 Manual ProClick Binding System"/>
        <s v="Adams Write n' Stick Phone Message Book, 11&quot; X 5 1/4&quot;, 200 Messages"/>
        <s v="Xerox 1910"/>
        <s v="Tenex Contemporary Contur Chairmats for Low and Medium Pile Carpet, Computer, 39&quot; x 49&quot;"/>
        <s v="Lock-Up Easel 'Spel-Binder'"/>
        <s v="Decoflex Hanging Personal Folder File, Blue"/>
        <s v="Binney &amp; Smith Crayola Metallic Crayons, 16-Color Pack"/>
        <s v="Dax Clear Box Frame"/>
        <s v="Fellowes Black Plastic Comb Bindings"/>
        <s v="Eldon Shelf Savers Cubes and Bins"/>
        <s v="Anker Ultrathin Bluetooth Wireless Keyboard Aluminum Cover with Stand "/>
        <s v="File Shuttle I and Handi-File"/>
        <s v="Things To Do Today Pad"/>
        <s v="Wilson Jones Hanging Recycled Pressboard Data Binders"/>
        <s v="Bush Westfield Collection Bookcases, Fully Assembled"/>
        <s v="Howard Miller 13&quot; Diameter Goldtone Round Wall Clock"/>
        <s v="Lesro Sheffield Collection Coffee Table, End Table, Center Table, Corner Table"/>
        <s v="Maxell 4.7GB DVD-R"/>
        <s v="Xerox 1985"/>
        <s v="RSVP Cards &amp; Envelopes, Blank White, 8-1/2&quot; X 11&quot;, 24 Cards/25 Envelopes/Set"/>
        <s v="Wirebound Message Books, 2 7/8&quot; x 5&quot;, 3 Forms per Page"/>
        <s v="Xerox 213"/>
        <s v="Message Book, Standard Line &quot;While You Were Out&quot;, 5 1/2&quot; X 4&quot;, 200 Sets/Book"/>
        <s v="Bevis Boat-Shaped Conference Table"/>
        <s v="Staple-based wall hangings"/>
        <s v="Stanley Bostitch Contemporary Electric Pencil Sharpeners"/>
        <s v="Logitech B530 USB Headset - headset - Full size, Binaural"/>
        <s v="Zipper Ring Binder Pockets"/>
        <s v="White Business Envelopes with Contemporary Seam, Recycled White Business Envelopes"/>
        <s v="Color-Coded Legal Exhibit Labels"/>
        <s v="DAX Black Cherry Wood-Tone Poster Frame"/>
        <s v="Wilson Jones Easy Flow II Sheet Lifters"/>
        <s v="Office Star - Contemporary Task Swivel Chair"/>
        <s v="BIC Brite Liner Grip Highlighters, Assorted, 5/Pack"/>
        <s v="Acco Suede Grain Vinyl Round Ring Binder"/>
        <s v="Hon 4070 Series Pagoda Armless Upholstered Stacking Chairs"/>
        <s v="Advantus SlideClip Paper Clips"/>
        <s v="Fellowes PB300 Plastic Comb Binding Machine"/>
        <s v="Laser &amp; Ink Jet Business Envelopes"/>
        <s v="Fellowes Super Stor/Drawer Files"/>
        <s v="Xerox 216"/>
        <s v="G.E. Halogen Desk Lamp Bulbs"/>
        <s v="Staples in misc. colors"/>
        <s v="Peel &amp; Seel Envelopes"/>
        <s v="GBC Plastic Binding Combs"/>
        <s v="Xerox 2"/>
        <s v="Southworth 25% Cotton Granite Paper &amp; Envelopes"/>
        <s v="Eldon Advantage Chair Mats for Low to Medium Pile Carpets"/>
        <s v="Aluminum Screw Posts"/>
        <s v="Newell 336"/>
        <s v="Maxell 4.7GB DVD+RW 3/Pack"/>
        <s v="Global Stack Chair without Arms, Black"/>
        <s v="Plantronics HL10 Handset Lifter"/>
        <s v="Eldon Antistatic Chair Mats for Low to Medium Pile Carpets"/>
        <s v="DIXON Ticonderoga Erasable Checking Pencils"/>
        <s v="Avery Hole Reinforcements"/>
        <s v="Stockwell Gold Paper Clips"/>
        <s v="Belkin F9H710-06 7 Outlet SurgeMaster Surge Protector"/>
        <s v="GBC Premium Transparent Covers with Diagonal Lined Pattern"/>
        <s v="Xerox 1881"/>
        <s v="Avery Durable Slant Ring Binders With Label Holder"/>
        <s v="Newell 328"/>
        <s v="Belkin 8 Outlet SurgeMaster II Gold Surge Protector"/>
        <s v="Chromcraft Round Conference Tables"/>
        <s v="Xerox 224"/>
        <s v="Nokia Lumia 521 (T-Mobile)"/>
        <s v="Stanley Contemporary Battery Pencil Sharpeners"/>
        <s v="Fellowes Mobile File Cart, Black"/>
        <s v="Hon 4060 Series Tables"/>
        <s v="Newell 326"/>
        <s v="Avery Non-Stick Binders"/>
        <s v="Rediform Wirebound &quot;Phone Memo&quot; Message Book, 11 x 5-3/4"/>
        <s v="Self-Adhesive Removable Labels"/>
        <s v="Apple iPhone 5C"/>
        <s v="50 Colored Long Pencils"/>
        <s v="KI Adjustable-Height Table"/>
        <s v="Steel Personal Filing/Posting Tote"/>
        <s v="Tyvek  Top-Opening Peel &amp; Seel  Envelopes, Gray"/>
        <s v="Hoover Shoulder Vac Commercial Portable Vacuum"/>
        <s v="Eldon Regeneration Recycled Desk Accessories, Smoke"/>
        <s v="SAFCO Commercial Wire Shelving, 72h"/>
        <s v="Hon Deluxe Fabric Upholstered Stacking Chairs"/>
        <s v="Belkin 325VA UPS Surge Protector, 6'"/>
        <s v="BOSTON Model 1800 Electric Pencil Sharpeners, Putty/Woodgrain"/>
        <s v="PowerGen Dual USB Car Charger"/>
        <s v="Geographics Note Cards, Blank, White, 8 1/2&quot; x 11&quot;"/>
        <s v="ACCOHIDE Binder by Acco"/>
        <s v="GBC Instant Report Kit"/>
        <s v="Avery 3 1/2&quot; Diskette Storage Pages, 10/Pack"/>
        <s v="Harbour Creations Steel Folding Chair"/>
        <s v="Tyvek  Top-Opening Peel &amp; Seel Envelopes, Plain White"/>
        <s v="Peel &amp; Stick Add-On Corner Pockets"/>
        <s v="Xerox 21"/>
        <s v="Nortel Networks T7316 E Nt8 B27"/>
        <s v="Personal Folder Holder, Ebony"/>
        <s v="24-Hour Round Wall Clock"/>
        <s v="GBC DocuBind P100 Manual Binding Machine"/>
        <s v="Fashion Color Clasp Envelopes"/>
        <s v="Hon Non-Folding Utility Tables"/>
        <s v="Newell 337"/>
        <s v="GBC Linen Binding Covers"/>
        <s v="Wilson SignalBoost 841262 DB PRO Amplifier Kit"/>
        <s v="Aluminum Document Frame"/>
        <s v="Ampad Phone Message Book, Recycled, 400 Message Capacity, 5 ¾” x 11”"/>
        <s v="Xerox 212"/>
        <s v="Panasonic KP-380BK Classic Electric Pencil Sharpener"/>
        <s v="Memorex Froggy Flash Drive 4 GB"/>
        <s v="Geemarc AmpliPOWER60"/>
        <s v="Woodgrain Magazine Files by Perma"/>
        <s v="Colorific Watercolor Pencils"/>
        <s v="Luxo Economy Swing Arm Lamp"/>
        <s v="Fiskars Softgrip Scissors"/>
        <s v="Kensington 4 Outlet MasterPiece Compact Power Control Center"/>
        <s v="Tenex Personal Project File with Scoop Front Design, Black"/>
        <s v="Electrix Architect's Clamp-On Swing Arm Lamp, Black"/>
        <s v="Sauder Cornerstone Collection Library"/>
        <s v="Westinghouse Floor Lamp with Metal Mesh Shade, Black"/>
        <s v="Xerox 1898"/>
        <s v="Eureka Recycled Copy Paper 8 1/2&quot; x 11&quot;, Ream"/>
        <s v="Acco 6 Outlet Guardian Premium Surge Suppressor"/>
        <s v="Avoid Verbal Orders Carbonless Minifold Book"/>
        <s v="Fellowes Presentation Covers for Comb Binding Machines"/>
        <s v="Eldon Expressions Punched Metal &amp; Wood Desk Accessories, Pewter &amp; Cherry"/>
        <s v="Xerox 188"/>
        <s v="Panasonic KP-310 Heavy-Duty Electric Pencil Sharpener"/>
        <s v="Eldon Image Series Desk Accessories, Ebony"/>
        <s v="Cush Cases Heavy Duty Rugged Cover Case for Samsung Galaxy S5 - Purple"/>
        <s v="Wilson Jones Legal Size Ring Binders"/>
        <s v="Tensor Computer Mounted Lamp"/>
        <s v="Cisco CP-7937G Unified IP Conference Station Phone"/>
        <s v="Boston 16701 Slimline Battery Pencil Sharpener"/>
        <s v="Global High-Back Leather Tilter, Burgundy"/>
        <s v="Hanging Personal Folder File"/>
        <s v="Motorola L804"/>
        <s v="Leather Task Chair, Black"/>
        <s v="Logitech Desktop MK120 Mouse and keyboard Combo"/>
        <s v="Avery 490"/>
        <s v="Carina 42&quot;Hx23 3/4&quot;W Media Storage Unit"/>
        <s v="Bevis Oval Conference Table, Walnut"/>
        <s v="LF Elite 3D Dazzle Designer Hard Case Cover, Lf Stylus Pen and Wiper For Apple Iphone 5c Mini Lite"/>
        <s v="Bush Andora Conference Table, Maple/Graphite Gray Finish"/>
        <s v="Logitech G13 Programmable Gameboard with LCD Display"/>
        <s v="Strathmore Photo Mount Cards"/>
        <s v="Plantronics Audio 995 Wireless Stereo Headset"/>
        <s v="Adams Phone Message Book, 200 Message Capacity, 8 1/16” x 11”"/>
        <s v="Mitel MiVoice 5330e IP Phone"/>
        <s v="Belkin 19&quot; Vented Equipment Shelf, Black"/>
        <s v="Wilson Jones Suede Grain Vinyl Binders"/>
        <s v="OtterBox Defender Series Case - iPhone 5c"/>
        <s v="Wilson Jones DublLock D-Ring Binders"/>
        <s v="Eldon Delta Triangular Chair Mat, 52&quot; x 58&quot;, Clear"/>
        <s v="Newell 320"/>
        <s v="Newell 340"/>
        <s v="Avery 506"/>
        <s v="Xerox 192"/>
        <s v="WD My Passport Ultra 500GB Portable External Hard Drive"/>
        <s v="Cisco IP Phone 7961G-GE VoIP phone"/>
        <s v="Avery 488"/>
        <s v="Magna Visual Magnetic Picture Hangers"/>
        <s v="Avery Durable Plastic 1&quot; Binders"/>
        <s v="Wirebound Message Books, 5-1/2 x 4 Forms, 2 or 4 Forms per Page"/>
        <s v="Prang Dustless Chalk Sticks"/>
        <s v="Boston Heavy-Duty Trimline Electric Pencil Sharpeners"/>
        <s v="Safco Steel Mobile File Cart"/>
        <s v="Acco Pressboard Covers with Storage Hooks, 14 7/8&quot; x 11&quot;, Dark Blue"/>
        <s v="Newell 325"/>
        <s v="Rubber Band Ball"/>
        <s v="Neat Ideas Personal Hanging Folder Files, Black"/>
        <s v="Eldon Wave Desk Accessories"/>
        <s v="GBC Recycled Grain Textured Covers"/>
        <s v="Xerox 1915"/>
        <s v="Xerox 1934"/>
        <s v="Avery 481"/>
        <s v="Avery 518"/>
        <s v="Sensible Storage WireTech Storage Systems"/>
        <s v="Wireless Extenders zBoost YX545 SOHO Signal Booster"/>
        <s v="White Dual Perf Computer Printout Paper, 2700 Sheets, 1 Part, Heavyweight, 20 lbs., 14 7/8 x 11"/>
        <s v="ARKON Windshield Dashboard Air Vent Car Mount Holder"/>
        <s v="Conquest 14 Commercial Heavy-Duty Upright Vacuum, Collection System, Accessory Kit"/>
        <s v="Dixon Ticonderoga Erasable Colored Pencil Set, 12-Color"/>
        <s v="Pyle PRT45 Retro Home Telephone"/>
        <s v="Spiral Phone Message Books with Labels by Adams"/>
        <s v="Sauder Inglewood Library Bookcases"/>
        <s v="Global Chrome Stack Chair"/>
        <s v="Tenex 46&quot; x 60&quot; Computer Anti-Static Chairmat, Rectangular Shaped"/>
        <s v="V7 USB Numeric Keypad"/>
        <s v="Stacking Tray, Side-Loading, Legal, Smoke"/>
        <s v="Smead Adjustable Mobile File Trolley with Lockable Top"/>
        <s v="Deluxe Rollaway Locking File with Drawer"/>
        <s v="Catalog Binders with Expanding Posts"/>
        <s v="Xerox 1940"/>
        <s v="Polycom SoundPoint IP 450 VoIP phone"/>
        <s v="Bush Advantage Collection Racetrack Conference Table"/>
        <s v="Logitech ClearChat Comfort/USB Headset H390"/>
        <s v="Memorex Mini Travel Drive 4 GB USB 2.0 Flash Drive"/>
        <s v="GBC Standard Recycled Report Covers, Clear Plastic Sheets"/>
        <s v="Rediform Voice Mail Log Books"/>
        <s v="O'Sullivan Manor Hill 2-Door Library in Brianna Oak"/>
        <s v="Avanti 4.4 Cu. Ft. Refrigerator"/>
        <s v="SAFCO PlanMaster Heigh-Adjustable Drafting Table Base, 43w x 30d x 30-37h, Black"/>
        <s v="Micro Innovations USB RF Wireless Keyboard with Mouse"/>
        <s v="Fellowes Strictly Business Drawer File, Letter/Legal Size"/>
        <s v="Holmes HEPA Air Purifier"/>
        <s v="Sanford Liquid Accent Highlighters"/>
        <s v="Acco Translucent Poly Ring Binders"/>
        <s v="Acco Data Flex Cable Posts For Top &amp; Bottom Load Binders, 6&quot; Capacity"/>
        <s v="Xerox 1919"/>
        <s v="Micropad Numeric Keypads"/>
        <s v="Tops Wirebound Message Log Books"/>
        <s v="Innergie mMini Combo Duo USB Travel Charging Kit"/>
        <s v="Companion Letter/Legal File, Black"/>
        <s v="Iris Project Case"/>
        <s v="Mediabridge Sport Armband iPhone 5s"/>
        <s v="KI Conference Tables"/>
        <s v="Avery 501"/>
        <s v="Avery 513"/>
        <s v="Harmony Air Purifier"/>
        <s v="Honeywell Enviracaire Portable Air Cleaner for up to 8 x 10 Room"/>
        <s v="Samsung Galaxy S4 Mini"/>
        <s v="Apple iPhone 5"/>
        <s v="Bady BDG101FRU Card Printer"/>
        <s v="Kensington 7 Outlet MasterPiece Power Center"/>
        <s v="Hon Olson Stacker Stools"/>
        <s v="Round Specialty Laser Printer Labels"/>
        <s v="Imation 8GB Mini TravelDrive USB 2.0 Flash Drive"/>
        <s v="Multi-Use Personal File Cart and Caster Set, Three Stacking Bins"/>
        <s v="Fellowes Bankers Box Stor/Drawer Steel Plus"/>
        <s v="Sauder Forest Hills Library with Doors, Woodland Oak Finish"/>
        <s v="Hon 5100 Series Wood Tables"/>
        <s v="Howard Miller 12&quot; Round Wall Clock"/>
        <s v="Xerox 211"/>
        <s v="Xerox 1931"/>
        <s v="Newell 334"/>
        <s v="Safco Drafting Table"/>
        <s v="Ibico Hi-Tech Manual Binding System"/>
        <s v="Jiffy Padded Mailers with Self-Seal Closure"/>
        <s v="Pressboard Hanging Data Binders for Unburst Sheets"/>
        <s v="Xerox 1891"/>
        <s v="Panasonic KX T7736-B Digital phone"/>
        <s v="GBC DocuBind TL200 Manual Binding Machine"/>
        <s v="Cisco SPA 502G IP Phone"/>
        <s v="Logitech Wireless Headset h800"/>
        <s v="Xerox 214"/>
        <s v="O'Sullivan 2-Shelf Heavy-Duty Bookcases"/>
        <s v="Ultra Door Push Plate"/>
        <s v="Logitech Trackman Marble Mouse"/>
        <s v="Jabra SPEAK 410"/>
        <s v="Blackstonian Pencils"/>
        <s v="Newell 321"/>
        <s v="Belkin F9G930V10-GRY 9 Outlet Surge"/>
        <s v="Binder Posts"/>
        <s v="Avery 480"/>
        <s v="Newell 310"/>
        <s v="Safco Value Mate Series Steel Bookcases, Baked Enamel Finish on Steel, Gray"/>
        <s v="Wirebound Service Call Books, 5 1/2&quot; x 4&quot;"/>
        <s v="Xerox 1922"/>
        <s v="GBC Personal VeloBind Strips"/>
        <s v="Xerox 203"/>
        <s v="Plantronics Audio 478 Stereo USB Headset"/>
        <s v="Floodlight Indoor Halogen Bulbs, 1 Bulb per Pack, 60 Watts"/>
        <s v="Computer Printout Paper with Letter-Trim Perforations"/>
        <s v="Avery 4027 File Folder Labels for Dot Matrix Printers, 5000 Labels per Box, White"/>
        <s v="Avery 507"/>
        <s v="GBC Standard Plastic Binding Systems Combs"/>
        <s v="Newell 349"/>
        <s v="Tennsco 6- and 18-Compartment Lockers"/>
        <s v="Office Star - Ergonomically Designed Knee Chair"/>
        <s v="Xerox 1888"/>
        <s v="Xerox 217"/>
        <s v="O'Sullivan 4-Shelf Bookcase in Odessa Pine"/>
        <s v="Acco 6 Outlet Guardian Basic Surge Suppressor"/>
        <s v="Eldon Expressions Wood Desk Accessories, Oak"/>
        <s v="Spigen Samsung Galaxy S5 Case Wallet"/>
        <s v="Flat Face Poster Frame"/>
        <s v="Panasonic KP-350BK Electric Pencil Sharpener with Auto Stop"/>
        <s v="Multicolor Computer Printout Paper"/>
        <s v="Wilson Jones data.warehouse D-Ring Binders with DublLock"/>
        <s v="GBC VeloBind Cover Sets"/>
        <s v="Eldon ProFile File 'N Store Portable File Tub Letter/Legal Size Black"/>
        <s v="GBC Twin Loop Wire Binding Elements, 9/16&quot; Spine, Black"/>
        <s v="Boston Model 1800 Electric Pencil Sharpener, Gray"/>
        <s v="Newell Chalk Holder"/>
        <s v="Polycom SoundPoint Pro SE-225 Corded phone"/>
        <s v="Euro-Pro Shark Turbo Vacuum"/>
        <s v="Polycom SoundStation2 EX Conference phone"/>
        <s v="Xerox 1991"/>
        <s v="Chromcraft Bull-Nose Wood 48&quot; x 96&quot; Rectangular Conference Tables"/>
        <s v="GBC DocuBind 200 Manual Binding Machine"/>
        <s v="Recycled Steel Personal File for Hanging File Folders"/>
        <s v="Fellowes Stor/Drawer Steel Plus Storage Drawers"/>
        <s v="Eldon Cleatmat Chair Mats for Medium Pile Carpets"/>
        <s v="Xerox 1959"/>
        <s v="Holmes Odor Grabber"/>
        <s v="Bush Andora Bookcase, Maple/Graphite Gray Finish"/>
        <s v="Xerox 1989"/>
        <s v="Xerox 227"/>
        <s v="Deflect-o Glass Clear Studded Chair Mats"/>
        <s v="Eureka Sanitaire  Multi-Pro Heavy-Duty Upright, Disposable Bags"/>
        <s v="Balt Solid Wood Round Tables"/>
        <s v="Pyle PMP37LED"/>
        <s v="Nu-Dell Executive Frame"/>
        <s v="Belkin 5 Outlet SurgeMaster Power Centers"/>
        <s v="TOPS Carbonless Receipt Book, Four 2-3/4 x 7-1/4 Money Receipts per Page"/>
        <s v="Atlantic Metals Mobile 3-Shelf Bookcases, Custom Colors"/>
        <s v="Bretford Rectangular Conference Table Tops"/>
        <s v="HP Office Recycled Paper (20Lb. and 87 Bright)"/>
        <s v="Rubbermaid ClusterMat Chairmats, Mat Size- 66&quot; x 60&quot;, Lip 20&quot; x 11&quot; -90 Degree Angle"/>
        <s v="GBC DocuBind P50 Personal Binding Machine"/>
        <s v="Advantus T-Pin Paper Clips"/>
        <s v="Acco Smartsocket Color-Coded Six-Outlet AC Adapter Model Surge Protectors"/>
        <s v="Xerox 219"/>
        <s v="Imation Clip USB flash drive - 8 GB"/>
        <s v="Avery File Folder Labels"/>
        <s v="O'Sullivan Plantations 2-Door Library in Landvery Oak"/>
        <s v="Logitech G19 Programmable Gaming Keyboard"/>
        <s v="Acco Clips to Go Binder Clips, 24 Clips in Two Sizes"/>
        <s v="3-ring staple pack"/>
        <s v="Global Leather &amp; Oak Executive Chair, Burgundy"/>
        <s v="Safco Wire Cube Shelving System, For Use as 4 or 5 14&quot; Cubes, Black"/>
        <s v="Iceberg Nesting Folding Chair, 19w x 6d x 43h"/>
        <s v="Tenex Traditional Chairmats for Medium Pile Carpet, Standard Lip, 36&quot; x 48&quot;"/>
        <s v="Bevis Rectangular Conference Tables"/>
        <s v="C-Line Magnetic Cubicle Keepers, Clear Polypropylene"/>
        <s v="Avery 496"/>
        <s v="Fellowes Premier Superior Surge Suppressor, 10-Outlet, With Phone and Remote"/>
        <s v="Black Print Carbonless Snap-Off Rapid Letter, 8 1/2&quot; x 7&quot;"/>
        <s v="Office Impressions Heavy Duty Welded Shelving &amp; Multimedia Storage Drawers"/>
        <s v="Anker 24W Portable Micro USB Car Charger"/>
        <s v="Belkin 8 Outlet Surge Protector"/>
        <s v="Tennsco Snap-Together Open Shelving Units, Starter Sets and Add-On Units"/>
        <s v="Ames Color-File Green Diamond Border X-ray Mailers"/>
        <s v="Xerox 210"/>
        <s v="Tennsco Single-Tier Lockers"/>
        <s v="Hon 2090 “Pillow Soft” Series Mid Back Swivel/Tilt Chairs"/>
        <s v="Newell 346"/>
        <s v="Contemporary Wood/Metal Frame"/>
        <s v="Crayola Anti Dust Chalk, 12/Pack"/>
        <s v="Logitech diNovo Edge Keyboard"/>
        <s v="GE General Use Halogen Bulbs, 100 Watts, 1 Bulb per Pack"/>
        <s v="Perma STOR-ALL Hanging File Box, 13 1/8&quot;W x 12 1/4&quot;D x 10 1/2&quot;H"/>
        <s v="Tyvek Side-Opening Peel &amp; Seel Expanding Envelopes"/>
        <s v="Tripp Lite Isotel 6 Outlet Surge Protector with Fax/Modem Protection"/>
        <s v="Berol Giant Pencil Sharpener"/>
        <s v="TOPS Voice Message Log Book, Flash Format"/>
        <s v="Ibico Presentation Index for Binding Systems"/>
        <s v="Xerox 1912"/>
        <s v="Hewlett-Packard Deskjet 6540 Color Inkjet Printer"/>
        <s v="Computer Room Manger, 14&quot;"/>
        <s v="Plantronics Voyager Pro HD - Bluetooth Headset"/>
        <s v="Logitech G700s Rechargeable Gaming Mouse"/>
        <s v="Advantus Rolling Drawer Organizers"/>
        <s v="Belkin F9M820V08 8 Outlet Surge"/>
        <s v="APC 7 Outlet Network SurgeArrest Surge Protector"/>
        <s v="Sauder Camden County Collection Libraries, Planked Cherry Finish"/>
        <s v="Hon Every-Day Series Multi-Task Chairs"/>
        <s v="Metal Folding Chairs, Beige, 4/Carton"/>
        <s v="Plymouth Boxed Rubber Bands by Plymouth"/>
        <s v="Adtran 1202752G1"/>
        <s v="Xerox 1954"/>
        <s v="Carina Mini System Audio Rack, Model AR050B"/>
        <s v="Xerox 1945"/>
        <s v="KeyTronic KT800P2 - Keyboard - Black"/>
        <s v="Carina Double Wide Media Storage Towers in Natural &amp; Black"/>
        <s v="Avery 498"/>
        <s v="Xerox 2000"/>
        <s v="Global Super Steno Chair"/>
        <s v="Quality Park Security Envelopes"/>
        <s v="Xerox 1969"/>
        <s v="Peel-Off China Markers"/>
        <s v="Hewlett Packard 310 Color Digital Copier"/>
        <s v="Wirebound Message Books, Four 2 3/4 x 5 White Forms per Page"/>
        <s v="Global Highback Leather Tilter in Burgundy"/>
        <s v="Eldon 400 Class Desk Accessories, Black Carbon"/>
        <s v="GE DSL Phone Line Filter"/>
        <s v="Xerox 1997"/>
        <s v="Eldon Expressions Mahogany Wood Desk Collection"/>
        <s v="SanDisk Ultra 16 GB MicroSDHC Class 10 Memory Card"/>
        <s v="Eldon Fold 'N Roll Cart System"/>
        <s v="Surelock Post Binders"/>
        <s v="BlackBerry Q10"/>
        <s v="Kingston Digital DataTraveler 16GB USB 2.0"/>
        <s v="Important Message Pads, 50 4-1/4 x 5-1/2 Forms per Pad"/>
        <s v="Binding Machine Supplies"/>
        <s v="G.E. Longer-Life Indoor Recessed Floodlight Bulbs"/>
        <s v="BIC Brite Liner Highlighters, Chisel Tip"/>
        <s v="Ibico Ibimaster 300 Manual Binding System"/>
        <s v="Tenex Personal Self-Stacking Standard File Box, Black/Gray"/>
        <s v="Novimex Fabric Task Chair"/>
        <s v="Sterilite Show Offs Storage Containers"/>
        <s v="Prestige Round Ring Binders"/>
        <s v="Alliance Super-Size Bands, Assorted Sizes"/>
        <s v="BlueLounge Milo Smartphone Stand, White/Metallic"/>
        <s v="Logitech G500s Laser Gaming Mouse with Adjustable Weight Tuning"/>
        <s v="Satellite Sectional Post Binders"/>
        <s v="Global Wood Trimmed Manager's Task Chair, Khaki"/>
        <s v="Hon 61000 Series Interactive Training Tables"/>
        <s v="Xerox 221"/>
        <s v="Case Logic 2.4GHz Wireless Keyboard"/>
        <s v="Maxell 4.7GB DVD-R 5/Pack"/>
        <s v="Master Caster Door Stop, Brown"/>
        <s v="Newell 351"/>
        <s v="Fellowes Powershred HS-440 4-Sheet High Security Shredder"/>
        <s v="Cardinal EasyOpen D-Ring Binders"/>
        <s v="Wilson Jones 1&quot; Hanging DublLock Ring Binders"/>
        <s v="Rush Hierlooms Collection 1&quot; Thick Stackable Bookcases"/>
        <s v="Sauder Facets Collection Library, Sky Alder Finish"/>
        <s v="Xerox 1953"/>
        <s v="Strathmore Photo Frame Cards"/>
        <s v="GBC Recycled VeloBinder Covers"/>
        <s v="Holmes Replacement Filter for HEPA Air Cleaner, Medium Room"/>
        <s v="XtraLife ClearVue Slant-D Ring Binder, White, 3&quot;"/>
        <s v="Binney &amp; Smith inkTank Desk Highlighter, Chisel Tip, Yellow, 12/Box"/>
        <s v="Global Ergonomic Managers Chair"/>
        <s v="Avery Reinforcements for Hole-Punch Pages"/>
        <s v="KeyTronic E03601U1 - Keyboard - Beige"/>
        <s v="Xerox 1894"/>
        <s v="AT&amp;T 1080 Phone"/>
        <s v="Ativa MDM8000 8-Sheet Micro-Cut Shredder"/>
        <s v="DIXON Oriole Pencils"/>
        <s v="Xerox 200"/>
        <s v="Quartet Omega Colored Chalk, 12/Pack"/>
        <s v="Adams Telephone Message Books, 5 1/4” x 11”"/>
        <s v="Avery Hanging File Binders"/>
        <s v="Convenience Packs of Business Envelopes"/>
        <s v="Tenex V2T-RE Standard Weight Series Chair Mat, 45&quot; x 53&quot;, Lip 25&quot; x 12&quot;"/>
        <s v="Newell 31"/>
        <s v="Advantus Map Pennant Flags and Round Head Tacks"/>
        <s v="Eldon Mobile Mega Data Cart  Mega Stackable  Add-On Trays"/>
        <s v="Newell 34"/>
        <s v="O'Sullivan Living Dimensions 2-Shelf Bookcases"/>
        <s v="Avery Hidden Tab Dividers for Binding Systems"/>
        <s v="Bretford “Just In Time” Height-Adjustable Multi-Task Work Tables"/>
        <s v="Acco Banker's Clasps, 5 3/4&quot;-Long"/>
        <s v="Avery 515"/>
        <s v="Jabra SPEAK 410 Multidevice Speakerphone"/>
        <s v="Fellowes Personal Hanging Folder Files, Navy"/>
        <s v="Binder Clips by OIC"/>
        <s v="Situations Contoured Folding Chairs, 4/Set"/>
        <s v="Chromcraft 48&quot; x 96&quot; Racetrack Double Pedestal Table"/>
        <s v="WD My Passport Ultra 2TB Portable External Hard Drive"/>
        <s v="Newell 322"/>
        <s v="GBC Clear Cover, 8-1/2 x 11, unpunched, 25 covers per pack"/>
        <s v="Avery Framed View Binder, EZD Ring (Locking), Navy, 1 1/2&quot;"/>
        <s v="Micro Innovations Wireless Classic Keyboard with Mouse"/>
        <s v="Compact Automatic Electric Letter Opener"/>
        <s v="GBC ProClick Spines for 32-Hole Punch"/>
        <s v="Avery Heavy-Duty EZD View Binder with Locking Rings"/>
        <s v="Global Leather Task Chair, Black"/>
        <s v="Ultra Door Kickplate, 8&quot;H x 34&quot;W"/>
        <s v="Gear Head AU3700S Headset"/>
        <s v="Prang Drawing Pencil Set"/>
        <s v="Self-Adhesive Ring Binder Labels"/>
        <s v="Mitel 5320 IP Phone VoIP phone"/>
        <s v="GBC Wire Binding Strips"/>
        <s v="BOSTON Ranger #55 Pencil Sharpener, Black"/>
        <s v="Avery 486"/>
        <s v="Lumber Crayons"/>
        <s v="Smead Alpha-Z Color-Coded Second Alphabetical Labels and Starter Set"/>
        <s v="Safco Value Mate Steel Bookcase, Baked Enamel Finish on Steel, Black"/>
        <s v="Ink Jet Note and Greeting Cards, 8-1/2&quot; x 5-1/2&quot; Card Size"/>
        <s v="3D Systems Cube Printer, 2nd Generation, Magenta"/>
        <s v="GBC Twin Loop Wire Binding Elements"/>
        <s v="Samsung Galaxy Mega 6.3"/>
        <s v="Airmail Envelopes"/>
        <s v="Dixon Ticonderoga Maple Cedar Pencil, #2"/>
        <s v="Xerox 208"/>
        <s v="Global Leather Executive Chair"/>
        <s v="SANFORD Major Accent Highlighters"/>
        <s v="Staple-on labels"/>
        <s v="Newell 3-Hole Punched Plastic Slotted Magazine Holders for Binders"/>
        <s v="Acco Six-Outlet Power Strip, 4' Cord Length"/>
        <s v="Martin Yale Chadless Opener Electric Letter Opener"/>
        <s v="ACCOHIDE 3-Ring Binder, Blue, 1&quot;"/>
        <s v="Xerox 190"/>
        <s v="24 Capacity Maxi Data Binder Racks, Pearl"/>
        <s v="Enermax Briskie RF Wireless Keyboard and Mouse Combo"/>
        <s v="Global Push Button Manager's Chair, Indigo"/>
        <s v="Avery 5"/>
        <s v="Executive Impressions 13&quot; Chairman Wall Clock"/>
        <s v="XtraLife ClearVue Slant-D Ring Binders by Cardinal"/>
        <s v="Polycom VoiceStation 500 Conference phone"/>
        <s v="Canon PC-428 Personal Copier"/>
        <s v="Ampad Poly Cover Wirebound Steno Book, 6&quot; x 9&quot; Assorted Colors, Gregg Ruled"/>
        <s v="Acme Forged Steel Scissors with Black Enamel Handles"/>
        <s v="Avery Round Ring Poly Binders"/>
        <s v="Tennsco Stur-D-Stor Boltless Shelving, 5 Shelves, 24&quot; Deep, Sand"/>
        <s v="Avery 493"/>
        <s v="Elite 5&quot; Scissors"/>
        <s v="Okidata C331dn Printer"/>
        <s v="Things To Do Today Spiral Book"/>
        <s v="Cisco SPA508G"/>
        <s v="Xerox 1917"/>
        <s v="Hoover Upright Vacuum With Dirt Cup"/>
        <s v="Carina Media Storage Towers in Natural &amp; Black"/>
        <s v="Acco 3-Hole Punch"/>
        <s v="OIC Thumb-Tacks"/>
        <s v="Green Canvas Binder for 8-1/2&quot; x 14&quot; Sheets"/>
        <s v="Global Italian Leather Office Chair"/>
        <s v="Newell 324"/>
        <s v="#10 White Business Envelopes,4 1/8 x 9 1/2"/>
        <s v="SmartStand Mobile Device Holder, Assorted Colors"/>
        <s v="Plantronics MX500i Earset"/>
        <s v="Assorted Color Push Pins"/>
        <s v="Acco Flexible ACCOHIDE Square Ring Data Binder, Dark Blue, 11 1/2&quot; X 14&quot; 7/8&quot;"/>
        <s v="Astroparche Fine Business Paper"/>
        <s v="Maxell 4.7GB DVD-RW 3/Pack"/>
        <s v="Bestar Classic Bookcase"/>
        <s v="Logitech Wireless Performance Mouse MX for PC and Mac"/>
        <s v="O'Sullivan Cherrywood Estates Traditional Barrister Bookcase"/>
        <s v="Embossed Ink Jet Note Cards"/>
        <s v="GBC Velobind Prepunched Cover Sets, Regency Series"/>
        <s v="Sharp 1540cs Digital Laser Copier"/>
        <s v="Xerox 1994"/>
        <s v="Avery 491"/>
        <s v="Vinyl Coated Wire Paper Clips in Organizer Box, 800/Box"/>
        <s v="Microsoft Arc Touch Mouse"/>
        <s v="Dual Level, Single-Width Filing Carts"/>
        <s v="Hon Metal Bookcases, Gray"/>
        <s v="Xerox 1905"/>
        <s v="Avery Fluorescent Highlighter Four-Color Set"/>
        <s v="Ibico Plastic and Wire Spiral Binding Combs"/>
        <s v="Fellowes Mighty 8 Compact Surge Protector"/>
        <s v="Memo Book, 100 Message Capacity, 5 3/8” x 11”"/>
        <s v="Hon Deluxe Fabric Upholstered Stacking Chairs, Rounded Back"/>
        <s v="Office Star - Contemporary Task Swivel chair with 2-way adjustable arms, Plum"/>
        <s v="Message Book, Wirebound, Four 5 1/2&quot; X 4&quot; Forms/Pg., 200 Dupl. Sets/Book"/>
        <s v="Logitech Z-906 Speaker sys - home theater - 5.1-CH"/>
        <s v="Colored Push Pins"/>
        <s v="Wausau Papers Astrobrights Colored Envelopes"/>
        <s v="Luxo Adjustable Task Clamp Lamp"/>
        <s v="Sannysis Cute Owl Design Soft Skin Case Cover for Samsung Galaxy S4"/>
        <s v="Newell 333"/>
        <s v="Vtech AT&amp;T CL2940 Corded Speakerphone, Black"/>
        <s v="Polycom VVX 310 VoIP phone"/>
        <s v="Xerox 209"/>
        <s v="Logitech G35 7.1-Channel Surround Sound Headset"/>
        <s v="Iceberg OfficeWorks 42&quot; Round Tables"/>
        <s v="Xerox 1949"/>
        <s v="Fellowes Advanced Computer Series Surge Protectors"/>
        <s v="GBC ProClick Punch Binding System"/>
        <s v="Jabra Supreme Plus Driver Edition Headset"/>
        <s v="Acme Kleencut Forged Steel Scissors"/>
        <s v="Xerox 189"/>
        <s v="Atlantic Metals Mobile 5-Shelf Bookcases, Custom Colors"/>
        <s v="Advantus Employee of the Month Certificate Frame, 11 x 13-1/2"/>
        <s v="Nu-Dell Float Frame 11 x 14 1/2"/>
        <s v="Acme Hot Forged Carbon Steel Scissors with Nickel-Plated Handles, 3 7/8&quot; Cut, 8&quot;L"/>
        <s v="Wilson Jones Leather-Like Binders with DublLock Round Rings"/>
        <s v="Barricks 18&quot; x 48&quot; Non-Folding Utility Table with Bottom Storage Shelf"/>
        <s v="Verbatim Slim CD and DVD Storage Cases, 50/Pack"/>
        <s v="Hon Metal Bookcases, Black"/>
        <s v="Ibico Covers for Plastic or Wire Binding Elements"/>
        <s v="Plastic Binding Combs"/>
        <s v="Avery 478"/>
        <s v="Eldon Expressions Desk Accessory, Wood Photo Frame, Mahogany"/>
        <s v="Avery 511"/>
        <s v="Avaya 4621SW VoIP phone"/>
        <s v="Hon 4700 Series Mobuis Mid-Back Task Chairs with Adjustable Arms"/>
        <s v="Memorex Micro Travel Drive 16 GB"/>
        <s v="Xerox 1947"/>
        <s v="Lesro Round Back Collection Coffee Table, End Table"/>
        <s v="Acco PRESSTEX Data Binder with Storage Hooks, Dark Blue, 14 7/8&quot; X 11&quot;"/>
        <s v="Logitech Illuminated - Keyboard"/>
        <s v="Bush Heritage Pine Collection 5-Shelf Bookcase, Albany Pine Finish, *Special Order"/>
        <s v="Toshiba IPT2010-SD IP Telephone"/>
        <s v="Boston 1827 Commercial Additional Cutter, Drive Gear &amp; Gear Rack for 1606"/>
        <s v="Westinghouse Clip-On Gooseneck Lamps"/>
        <s v="Dana Fluorescent Magnifying Lamp, White, 36&quot;"/>
        <s v="Plantronics CS 50-USB - headset - Convertible, Monaural"/>
        <s v="Avery 479"/>
        <s v="Xerox 194"/>
        <s v="SAFCO Mobile Desk Side File, Wire Frame"/>
        <s v="Dot Matrix Printer Tape Reel Labels, White, 5000/Box"/>
        <s v="Xerox 1902"/>
        <s v="Motorola L703CM"/>
        <s v="SAFCO Commercial Wire Shelving, Black"/>
        <s v="Avery 487"/>
        <s v="Grandstream GXP1160 VoIP phone"/>
        <s v="Newell 339"/>
        <s v="Fellowes Bases and Tops For Staxonsteel/High-Stak Systems"/>
        <s v="Global Adaptabilities Conference Tables"/>
        <s v="Xerox 1903"/>
        <s v="Dixon Prang Watercolor Pencils, 10-Color Set with Brush"/>
        <s v="Tennsco Double-Tier Lockers"/>
        <s v="Newell 330"/>
        <s v="Boston 1799 Powerhouse Electric Pencil Sharpener"/>
        <s v="Fellowes PB500 Electric Punch Plastic Comb Binding Machine with Manual Bind"/>
        <s v="File Shuttle II and Handi-File, Black"/>
        <s v="DAX Metal Frame, Desktop, Stepped-Edge"/>
        <s v="Digium D40 VoIP phone"/>
        <s v="Konftel 250 Conference phone - Charcoal black"/>
        <s v="Global Deluxe High-Back Office Chair in Storm"/>
        <s v="Xerox 220"/>
        <s v="Kensington 7 Outlet MasterPiece Power Center with Fax/Phone Line Protection"/>
        <s v="Black Avery Memo-Size 3-Ring Binder, 5 1/2&quot; x 8 1/2&quot;"/>
        <s v="It's Hot Message Books with Stickers, 2 3/4&quot; x 5&quot;"/>
        <s v="Seth Thomas 8 1/2&quot; Cubicle Clock"/>
        <s v="Vtech CS6719"/>
        <s v="DAX Contemporary Wood Frame with Silver Metal Mat, Desktop, 11 x 14 Size"/>
        <s v="Wirebound Message Books, Four 2 3/4 x 5 Forms per Page, 200 Sets per Book"/>
        <s v="DAX Two-Tone Silver Metal Document Frame"/>
        <s v="Xerox 1909"/>
        <s v="Executive Impressions 13&quot; Clairmont Wall Clock"/>
        <s v="Maxell 74 Minute CD-R Spindle, 50/Pack"/>
        <s v="Wilson Jones 14 Line Acrylic Coated Pressboard Data Binders"/>
        <s v="Panasonic KP-150 Electric Pencil Sharpener"/>
        <s v="Avery 49"/>
        <s v="Xerox 202"/>
        <s v="Economy #2 Pencils"/>
        <s v="Pencil and Crayon Sharpener"/>
        <s v="Xerox 1913"/>
        <s v="GBC Pre-Punched Binding Paper, Plastic, White, 8-1/2&quot; x 11&quot;"/>
        <s v="Brother DCP1000 Digital 3 in 1 Multifunction Machine"/>
        <s v="Fellowes Neat Ideas Storage Cubes"/>
        <s v="Acco Perma 4000 Stacking Storage Drawers"/>
        <s v="Xerox 1955"/>
        <s v="SanDisk Ultra 64 GB MicroSDHC Class 10 Memory Card"/>
        <s v="Tennsco Industrial Shelving"/>
        <s v="Wilson Electronics DB Pro Signal Booster"/>
        <s v="Microsoft Natural Keyboard Elite"/>
        <s v="Hon 2111 Invitation Series Corner Table"/>
        <s v="Tripp Lite TLP810NET Broadband Surge for Modem/Fax"/>
        <s v="Ultra Door Pull Handle"/>
        <s v="Tenex B1-RE Series Chair Mats for Low Pile Carpets"/>
      </sharedItems>
    </cacheField>
    <cacheField name="Sales" numFmtId="0">
      <sharedItems containsSemiMixedTypes="0" containsString="0" containsNumber="1" minValue="0.85199999999999998" maxValue="9099.93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4000000001" maxValue="2365.9818"/>
    </cacheField>
    <cacheField name="Cost" numFmtId="0">
      <sharedItems containsSemiMixedTypes="0" containsString="0" containsNumber="1" minValue="0.93599999999999994" maxValue="11839.9704"/>
    </cacheField>
    <cacheField name="Quarters" numFmtId="0" databaseField="0">
      <fieldGroup base="0">
        <rangePr groupBy="quarters" startDate="2014-01-04T00:00:00" endDate="2017-12-31T00:00:00"/>
        <groupItems count="6">
          <s v="&lt;1/4/2014"/>
          <s v="Qtr1"/>
          <s v="Qtr2"/>
          <s v="Qtr3"/>
          <s v="Qtr4"/>
          <s v="&gt;12/31/2017"/>
        </groupItems>
      </fieldGroup>
    </cacheField>
    <cacheField name="Years" numFmtId="0" databaseField="0">
      <fieldGroup base="0">
        <rangePr groupBy="years" startDate="2014-01-04T00:00:00" endDate="2017-12-31T00:00:00"/>
        <groupItems count="6">
          <s v="&lt;1/4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4">
  <r>
    <x v="0"/>
    <d v="2016-11-11T00:00:00"/>
    <x v="0"/>
    <s v="Claire Gute"/>
    <s v="Consumer"/>
    <s v="United States"/>
    <x v="0"/>
    <x v="0"/>
    <x v="0"/>
    <x v="0"/>
    <x v="0"/>
    <x v="0"/>
    <n v="261.95999999999998"/>
    <n v="2"/>
    <n v="0"/>
    <n v="41.913600000000002"/>
    <n v="220.04639999999998"/>
  </r>
  <r>
    <x v="1"/>
    <d v="2016-06-16T00:00:00"/>
    <x v="0"/>
    <s v="Darrin Van Huff"/>
    <s v="Corporate"/>
    <s v="United States"/>
    <x v="1"/>
    <x v="1"/>
    <x v="1"/>
    <x v="1"/>
    <x v="1"/>
    <x v="1"/>
    <n v="14.62"/>
    <n v="2"/>
    <n v="0"/>
    <n v="6.8714000000000004"/>
    <n v="7.7485999999999988"/>
  </r>
  <r>
    <x v="2"/>
    <d v="2015-10-18T00:00:00"/>
    <x v="1"/>
    <s v="Sean O'Donnell"/>
    <s v="Consumer"/>
    <s v="United States"/>
    <x v="2"/>
    <x v="2"/>
    <x v="0"/>
    <x v="0"/>
    <x v="2"/>
    <x v="2"/>
    <n v="957.57749999999999"/>
    <n v="5"/>
    <n v="0.45"/>
    <n v="-383.03100000000001"/>
    <n v="1340.6085"/>
  </r>
  <r>
    <x v="3"/>
    <d v="2014-06-14T00:00:00"/>
    <x v="1"/>
    <s v="Brosina Hoffman"/>
    <s v="Consumer"/>
    <s v="United States"/>
    <x v="1"/>
    <x v="1"/>
    <x v="1"/>
    <x v="0"/>
    <x v="3"/>
    <x v="3"/>
    <n v="48.86"/>
    <n v="7"/>
    <n v="0"/>
    <n v="14.1694"/>
    <n v="34.690600000000003"/>
  </r>
  <r>
    <x v="4"/>
    <d v="2017-04-20T00:00:00"/>
    <x v="1"/>
    <s v="Andrew Allen"/>
    <s v="Consumer"/>
    <s v="United States"/>
    <x v="3"/>
    <x v="3"/>
    <x v="0"/>
    <x v="1"/>
    <x v="4"/>
    <x v="4"/>
    <n v="15.552"/>
    <n v="3"/>
    <n v="0.2"/>
    <n v="5.4432"/>
    <n v="10.108799999999999"/>
  </r>
  <r>
    <x v="5"/>
    <d v="2016-12-10T00:00:00"/>
    <x v="1"/>
    <s v="Irene Maddox"/>
    <s v="Consumer"/>
    <s v="United States"/>
    <x v="4"/>
    <x v="4"/>
    <x v="1"/>
    <x v="1"/>
    <x v="5"/>
    <x v="5"/>
    <n v="407.976"/>
    <n v="3"/>
    <n v="0.2"/>
    <n v="132.59219999999999"/>
    <n v="275.38380000000001"/>
  </r>
  <r>
    <x v="6"/>
    <d v="2015-11-26T00:00:00"/>
    <x v="1"/>
    <s v="Harold Pawlan"/>
    <s v="Home Office"/>
    <s v="United States"/>
    <x v="5"/>
    <x v="5"/>
    <x v="2"/>
    <x v="1"/>
    <x v="6"/>
    <x v="6"/>
    <n v="68.81"/>
    <n v="5"/>
    <n v="0.8"/>
    <n v="-123.858"/>
    <n v="192.66800000000001"/>
  </r>
  <r>
    <x v="7"/>
    <d v="2014-11-18T00:00:00"/>
    <x v="1"/>
    <s v="Pete Kriz"/>
    <s v="Consumer"/>
    <s v="United States"/>
    <x v="6"/>
    <x v="6"/>
    <x v="2"/>
    <x v="1"/>
    <x v="7"/>
    <x v="7"/>
    <n v="665.88"/>
    <n v="6"/>
    <n v="0"/>
    <n v="13.317600000000001"/>
    <n v="652.56240000000003"/>
  </r>
  <r>
    <x v="8"/>
    <d v="2014-05-15T00:00:00"/>
    <x v="0"/>
    <s v="Alejandro Grove"/>
    <s v="Consumer"/>
    <s v="United States"/>
    <x v="7"/>
    <x v="7"/>
    <x v="1"/>
    <x v="1"/>
    <x v="7"/>
    <x v="8"/>
    <n v="55.5"/>
    <n v="2"/>
    <n v="0"/>
    <n v="9.99"/>
    <n v="45.51"/>
  </r>
  <r>
    <x v="9"/>
    <d v="2014-09-01T00:00:00"/>
    <x v="0"/>
    <s v="Zuschuss Donatelli"/>
    <s v="Consumer"/>
    <s v="United States"/>
    <x v="8"/>
    <x v="1"/>
    <x v="1"/>
    <x v="1"/>
    <x v="8"/>
    <x v="9"/>
    <n v="8.56"/>
    <n v="2"/>
    <n v="0"/>
    <n v="2.4824000000000002"/>
    <n v="6.0776000000000003"/>
  </r>
  <r>
    <x v="10"/>
    <d v="2016-12-13T00:00:00"/>
    <x v="1"/>
    <s v="Ken Black"/>
    <s v="Corporate"/>
    <s v="United States"/>
    <x v="9"/>
    <x v="8"/>
    <x v="2"/>
    <x v="1"/>
    <x v="8"/>
    <x v="10"/>
    <n v="19.46"/>
    <n v="7"/>
    <n v="0"/>
    <n v="5.0595999999999997"/>
    <n v="14.400400000000001"/>
  </r>
  <r>
    <x v="11"/>
    <d v="2017-07-18T00:00:00"/>
    <x v="0"/>
    <s v="Sandra Flanagan"/>
    <s v="Consumer"/>
    <s v="United States"/>
    <x v="10"/>
    <x v="9"/>
    <x v="3"/>
    <x v="0"/>
    <x v="9"/>
    <x v="11"/>
    <n v="71.372"/>
    <n v="2"/>
    <n v="0.3"/>
    <n v="-1.0196000000000001"/>
    <n v="72.391599999999997"/>
  </r>
  <r>
    <x v="12"/>
    <d v="2015-09-30T00:00:00"/>
    <x v="1"/>
    <s v="Emily Burns"/>
    <s v="Consumer"/>
    <s v="United States"/>
    <x v="11"/>
    <x v="7"/>
    <x v="1"/>
    <x v="0"/>
    <x v="2"/>
    <x v="2"/>
    <n v="1044.6300000000001"/>
    <n v="3"/>
    <n v="0"/>
    <n v="240.26490000000001"/>
    <n v="804.3651000000001"/>
  </r>
  <r>
    <x v="13"/>
    <d v="2016-01-20T00:00:00"/>
    <x v="0"/>
    <s v="Eric Hoffmann"/>
    <s v="Consumer"/>
    <s v="United States"/>
    <x v="1"/>
    <x v="1"/>
    <x v="1"/>
    <x v="1"/>
    <x v="5"/>
    <x v="12"/>
    <n v="11.648"/>
    <n v="2"/>
    <n v="0.2"/>
    <n v="4.2224000000000004"/>
    <n v="7.4255999999999993"/>
  </r>
  <r>
    <x v="14"/>
    <d v="2015-09-21T00:00:00"/>
    <x v="1"/>
    <s v="Tracy Blumstein"/>
    <s v="Consumer"/>
    <s v="United States"/>
    <x v="10"/>
    <x v="9"/>
    <x v="3"/>
    <x v="0"/>
    <x v="0"/>
    <x v="13"/>
    <n v="3083.43"/>
    <n v="7"/>
    <n v="0.5"/>
    <n v="-1665.0522000000001"/>
    <n v="4748.4822000000004"/>
  </r>
  <r>
    <x v="15"/>
    <d v="2017-10-23T00:00:00"/>
    <x v="0"/>
    <s v="Matt Abelman"/>
    <s v="Home Office"/>
    <s v="United States"/>
    <x v="12"/>
    <x v="5"/>
    <x v="2"/>
    <x v="1"/>
    <x v="4"/>
    <x v="14"/>
    <n v="29.472000000000001"/>
    <n v="3"/>
    <n v="0.2"/>
    <n v="9.9467999999999996"/>
    <n v="19.525200000000002"/>
  </r>
  <r>
    <x v="16"/>
    <d v="2015-12-31T00:00:00"/>
    <x v="1"/>
    <s v="Steve Nguyen"/>
    <s v="Home Office"/>
    <s v="United States"/>
    <x v="12"/>
    <x v="5"/>
    <x v="2"/>
    <x v="1"/>
    <x v="10"/>
    <x v="15"/>
    <n v="113.328"/>
    <n v="9"/>
    <n v="0.2"/>
    <n v="35.414999999999999"/>
    <n v="77.913000000000011"/>
  </r>
  <r>
    <x v="17"/>
    <d v="2017-09-15T00:00:00"/>
    <x v="1"/>
    <s v="Linda Cazamias"/>
    <s v="Corporate"/>
    <s v="United States"/>
    <x v="13"/>
    <x v="10"/>
    <x v="2"/>
    <x v="2"/>
    <x v="11"/>
    <x v="16"/>
    <n v="147.16800000000001"/>
    <n v="4"/>
    <n v="0.2"/>
    <n v="16.5564"/>
    <n v="130.61160000000001"/>
  </r>
  <r>
    <x v="18"/>
    <d v="2016-07-22T00:00:00"/>
    <x v="1"/>
    <s v="Ruben Ausman"/>
    <s v="Corporate"/>
    <s v="United States"/>
    <x v="1"/>
    <x v="1"/>
    <x v="1"/>
    <x v="1"/>
    <x v="7"/>
    <x v="17"/>
    <n v="77.88"/>
    <n v="2"/>
    <n v="0"/>
    <n v="3.8940000000000001"/>
    <n v="73.98599999999999"/>
  </r>
  <r>
    <x v="19"/>
    <d v="2017-09-23T00:00:00"/>
    <x v="1"/>
    <s v="Erin Smith"/>
    <s v="Corporate"/>
    <s v="United States"/>
    <x v="14"/>
    <x v="2"/>
    <x v="0"/>
    <x v="1"/>
    <x v="7"/>
    <x v="18"/>
    <n v="95.616"/>
    <n v="2"/>
    <n v="0.2"/>
    <n v="9.5616000000000003"/>
    <n v="86.054400000000001"/>
  </r>
  <r>
    <x v="20"/>
    <d v="2016-03-13T00:00:00"/>
    <x v="2"/>
    <s v="Odella Nelson"/>
    <s v="Corporate"/>
    <s v="United States"/>
    <x v="15"/>
    <x v="11"/>
    <x v="2"/>
    <x v="2"/>
    <x v="12"/>
    <x v="19"/>
    <n v="45.98"/>
    <n v="2"/>
    <n v="0"/>
    <n v="19.7714"/>
    <n v="26.208599999999997"/>
  </r>
  <r>
    <x v="21"/>
    <d v="2014-10-25T00:00:00"/>
    <x v="0"/>
    <s v="Patrick O'Donnell"/>
    <s v="Consumer"/>
    <s v="United States"/>
    <x v="16"/>
    <x v="12"/>
    <x v="2"/>
    <x v="1"/>
    <x v="7"/>
    <x v="20"/>
    <n v="211.96"/>
    <n v="4"/>
    <n v="0"/>
    <n v="8.4784000000000006"/>
    <n v="203.48160000000001"/>
  </r>
  <r>
    <x v="22"/>
    <d v="2016-06-25T00:00:00"/>
    <x v="1"/>
    <s v="Lena Hernandez"/>
    <s v="Consumer"/>
    <s v="United States"/>
    <x v="17"/>
    <x v="13"/>
    <x v="3"/>
    <x v="2"/>
    <x v="12"/>
    <x v="21"/>
    <n v="45"/>
    <n v="3"/>
    <n v="0"/>
    <n v="4.95"/>
    <n v="40.049999999999997"/>
  </r>
  <r>
    <x v="23"/>
    <d v="2015-04-22T00:00:00"/>
    <x v="1"/>
    <s v="Darren Powers"/>
    <s v="Consumer"/>
    <s v="United States"/>
    <x v="18"/>
    <x v="14"/>
    <x v="2"/>
    <x v="1"/>
    <x v="5"/>
    <x v="22"/>
    <n v="38.22"/>
    <n v="6"/>
    <n v="0"/>
    <n v="17.9634"/>
    <n v="20.256599999999999"/>
  </r>
  <r>
    <x v="24"/>
    <d v="2016-12-17T00:00:00"/>
    <x v="1"/>
    <s v="Janet Molinari"/>
    <s v="Corporate"/>
    <s v="United States"/>
    <x v="19"/>
    <x v="15"/>
    <x v="3"/>
    <x v="1"/>
    <x v="13"/>
    <x v="23"/>
    <n v="15.26"/>
    <n v="7"/>
    <n v="0"/>
    <n v="6.2565999999999997"/>
    <n v="9.0033999999999992"/>
  </r>
  <r>
    <x v="25"/>
    <d v="2016-06-18T00:00:00"/>
    <x v="2"/>
    <s v="Ted Butterfield"/>
    <s v="Consumer"/>
    <s v="United States"/>
    <x v="20"/>
    <x v="15"/>
    <x v="3"/>
    <x v="1"/>
    <x v="7"/>
    <x v="24"/>
    <n v="208.56"/>
    <n v="6"/>
    <n v="0"/>
    <n v="52.14"/>
    <n v="156.42000000000002"/>
  </r>
  <r>
    <x v="26"/>
    <d v="2015-11-30T00:00:00"/>
    <x v="1"/>
    <s v="Kunst Miller"/>
    <s v="Consumer"/>
    <s v="United States"/>
    <x v="1"/>
    <x v="1"/>
    <x v="1"/>
    <x v="2"/>
    <x v="12"/>
    <x v="25"/>
    <n v="13.98"/>
    <n v="2"/>
    <n v="0"/>
    <n v="6.1512000000000002"/>
    <n v="7.8288000000000002"/>
  </r>
  <r>
    <x v="27"/>
    <d v="2015-05-05T00:00:00"/>
    <x v="1"/>
    <s v="Paul Stevenson"/>
    <s v="Home Office"/>
    <s v="United States"/>
    <x v="21"/>
    <x v="10"/>
    <x v="2"/>
    <x v="0"/>
    <x v="9"/>
    <x v="26"/>
    <n v="213.11500000000001"/>
    <n v="5"/>
    <n v="0.3"/>
    <n v="-15.2225"/>
    <n v="228.33750000000001"/>
  </r>
  <r>
    <x v="28"/>
    <d v="2014-12-10T00:00:00"/>
    <x v="1"/>
    <s v="Brendan Sweed"/>
    <s v="Corporate"/>
    <s v="United States"/>
    <x v="22"/>
    <x v="16"/>
    <x v="1"/>
    <x v="1"/>
    <x v="8"/>
    <x v="27"/>
    <n v="1113.0239999999999"/>
    <n v="8"/>
    <n v="0.2"/>
    <n v="111.30240000000001"/>
    <n v="1001.7215999999999"/>
  </r>
  <r>
    <x v="29"/>
    <d v="2016-06-06T00:00:00"/>
    <x v="2"/>
    <s v="Karen Daniels"/>
    <s v="Consumer"/>
    <s v="United States"/>
    <x v="23"/>
    <x v="17"/>
    <x v="0"/>
    <x v="1"/>
    <x v="4"/>
    <x v="28"/>
    <n v="75.88"/>
    <n v="2"/>
    <n v="0"/>
    <n v="35.663600000000002"/>
    <n v="40.216399999999993"/>
  </r>
  <r>
    <x v="30"/>
    <d v="2016-09-23T00:00:00"/>
    <x v="1"/>
    <s v="Henry MacAllister"/>
    <s v="Consumer"/>
    <s v="United States"/>
    <x v="19"/>
    <x v="15"/>
    <x v="3"/>
    <x v="1"/>
    <x v="5"/>
    <x v="29"/>
    <n v="4.6159999999999997"/>
    <n v="1"/>
    <n v="0.2"/>
    <n v="1.7310000000000001"/>
    <n v="2.8849999999999998"/>
  </r>
  <r>
    <x v="31"/>
    <d v="2017-09-17T00:00:00"/>
    <x v="0"/>
    <s v="Tracy Blumstein"/>
    <s v="Consumer"/>
    <s v="United States"/>
    <x v="24"/>
    <x v="12"/>
    <x v="2"/>
    <x v="1"/>
    <x v="4"/>
    <x v="30"/>
    <n v="19.05"/>
    <n v="3"/>
    <n v="0"/>
    <n v="8.7629999999999999"/>
    <n v="10.287000000000001"/>
  </r>
  <r>
    <x v="32"/>
    <d v="2015-05-02T00:00:00"/>
    <x v="1"/>
    <s v="Joel Eaton"/>
    <s v="Consumer"/>
    <s v="United States"/>
    <x v="25"/>
    <x v="18"/>
    <x v="0"/>
    <x v="0"/>
    <x v="9"/>
    <x v="31"/>
    <n v="831.93600000000004"/>
    <n v="8"/>
    <n v="0.2"/>
    <n v="-114.3912"/>
    <n v="946.32720000000006"/>
  </r>
  <r>
    <x v="33"/>
    <d v="2017-12-11T00:00:00"/>
    <x v="2"/>
    <s v="Ken Brennan"/>
    <s v="Corporate"/>
    <s v="United States"/>
    <x v="12"/>
    <x v="5"/>
    <x v="2"/>
    <x v="1"/>
    <x v="5"/>
    <x v="32"/>
    <n v="1.248"/>
    <n v="3"/>
    <n v="0.8"/>
    <n v="-1.9343999999999999"/>
    <n v="3.1823999999999999"/>
  </r>
  <r>
    <x v="34"/>
    <d v="2014-12-01T00:00:00"/>
    <x v="0"/>
    <s v="Joel Eaton"/>
    <s v="Consumer"/>
    <s v="United States"/>
    <x v="12"/>
    <x v="5"/>
    <x v="2"/>
    <x v="0"/>
    <x v="3"/>
    <x v="33"/>
    <n v="19.3"/>
    <n v="5"/>
    <n v="0.6"/>
    <n v="-14.475"/>
    <n v="33.774999999999999"/>
  </r>
  <r>
    <x v="1"/>
    <d v="2016-06-15T00:00:00"/>
    <x v="2"/>
    <s v="Stewart Carmichael"/>
    <s v="Corporate"/>
    <s v="United States"/>
    <x v="26"/>
    <x v="19"/>
    <x v="0"/>
    <x v="1"/>
    <x v="6"/>
    <x v="34"/>
    <n v="208.16"/>
    <n v="1"/>
    <n v="0"/>
    <n v="56.203200000000002"/>
    <n v="151.95679999999999"/>
  </r>
  <r>
    <x v="35"/>
    <d v="2014-10-16T00:00:00"/>
    <x v="1"/>
    <s v="Duane Noonan"/>
    <s v="Consumer"/>
    <s v="United States"/>
    <x v="8"/>
    <x v="1"/>
    <x v="1"/>
    <x v="1"/>
    <x v="8"/>
    <x v="35"/>
    <n v="14.9"/>
    <n v="5"/>
    <n v="0"/>
    <n v="4.1719999999999997"/>
    <n v="10.728000000000002"/>
  </r>
  <r>
    <x v="36"/>
    <d v="2015-09-08T00:00:00"/>
    <x v="1"/>
    <s v="Julie Creighton"/>
    <s v="Corporate"/>
    <s v="United States"/>
    <x v="27"/>
    <x v="3"/>
    <x v="0"/>
    <x v="1"/>
    <x v="10"/>
    <x v="36"/>
    <n v="200.98400000000001"/>
    <n v="7"/>
    <n v="0.2"/>
    <n v="62.807499999999997"/>
    <n v="138.1765"/>
  </r>
  <r>
    <x v="37"/>
    <d v="2017-11-16T00:00:00"/>
    <x v="2"/>
    <s v="Christopher Schild"/>
    <s v="Home Office"/>
    <s v="United States"/>
    <x v="21"/>
    <x v="10"/>
    <x v="2"/>
    <x v="1"/>
    <x v="7"/>
    <x v="37"/>
    <n v="230.376"/>
    <n v="3"/>
    <n v="0.2"/>
    <n v="-48.954900000000002"/>
    <n v="279.33089999999999"/>
  </r>
  <r>
    <x v="38"/>
    <d v="2017-05-30T00:00:00"/>
    <x v="0"/>
    <s v="Patrick O'Donnell"/>
    <s v="Consumer"/>
    <s v="United States"/>
    <x v="28"/>
    <x v="20"/>
    <x v="0"/>
    <x v="0"/>
    <x v="9"/>
    <x v="38"/>
    <n v="301.95999999999998"/>
    <n v="2"/>
    <n v="0"/>
    <n v="33.215600000000002"/>
    <n v="268.74439999999998"/>
  </r>
  <r>
    <x v="39"/>
    <d v="2017-11-02T00:00:00"/>
    <x v="1"/>
    <s v="Paul Gonzalez"/>
    <s v="Consumer"/>
    <s v="United States"/>
    <x v="29"/>
    <x v="11"/>
    <x v="2"/>
    <x v="2"/>
    <x v="12"/>
    <x v="39"/>
    <n v="19.989999999999998"/>
    <n v="1"/>
    <n v="0"/>
    <n v="6.7965999999999998"/>
    <n v="13.193399999999999"/>
  </r>
  <r>
    <x v="40"/>
    <d v="2016-04-10T00:00:00"/>
    <x v="0"/>
    <s v="Gary Mitchum"/>
    <s v="Home Office"/>
    <s v="United States"/>
    <x v="12"/>
    <x v="5"/>
    <x v="2"/>
    <x v="1"/>
    <x v="7"/>
    <x v="40"/>
    <n v="158.36799999999999"/>
    <n v="7"/>
    <n v="0.2"/>
    <n v="13.857200000000001"/>
    <n v="144.51079999999999"/>
  </r>
  <r>
    <x v="41"/>
    <d v="2016-09-22T00:00:00"/>
    <x v="1"/>
    <s v="Jim Sink"/>
    <s v="Corporate"/>
    <s v="United States"/>
    <x v="1"/>
    <x v="1"/>
    <x v="1"/>
    <x v="1"/>
    <x v="8"/>
    <x v="41"/>
    <n v="20.100000000000001"/>
    <n v="3"/>
    <n v="0"/>
    <n v="6.633"/>
    <n v="13.467000000000002"/>
  </r>
  <r>
    <x v="42"/>
    <d v="2015-02-05T00:00:00"/>
    <x v="0"/>
    <s v="Karl Braun"/>
    <s v="Consumer"/>
    <s v="United States"/>
    <x v="30"/>
    <x v="11"/>
    <x v="2"/>
    <x v="1"/>
    <x v="4"/>
    <x v="42"/>
    <n v="12.96"/>
    <n v="2"/>
    <n v="0"/>
    <n v="6.2207999999999997"/>
    <n v="6.7392000000000012"/>
  </r>
  <r>
    <x v="43"/>
    <d v="2017-11-12T00:00:00"/>
    <x v="1"/>
    <s v="Roger Barcio"/>
    <s v="Home Office"/>
    <s v="United States"/>
    <x v="31"/>
    <x v="21"/>
    <x v="1"/>
    <x v="1"/>
    <x v="5"/>
    <x v="43"/>
    <n v="5.6820000000000004"/>
    <n v="1"/>
    <n v="0.7"/>
    <n v="-3.7879999999999998"/>
    <n v="9.4700000000000006"/>
  </r>
  <r>
    <x v="44"/>
    <d v="2017-11-11T00:00:00"/>
    <x v="0"/>
    <s v="Parhena Norris"/>
    <s v="Home Office"/>
    <s v="United States"/>
    <x v="19"/>
    <x v="15"/>
    <x v="3"/>
    <x v="0"/>
    <x v="3"/>
    <x v="44"/>
    <n v="96.53"/>
    <n v="7"/>
    <n v="0"/>
    <n v="40.5426"/>
    <n v="55.987400000000001"/>
  </r>
  <r>
    <x v="45"/>
    <d v="2017-06-20T00:00:00"/>
    <x v="2"/>
    <s v="Katherine Ducich"/>
    <s v="Consumer"/>
    <s v="United States"/>
    <x v="8"/>
    <x v="1"/>
    <x v="1"/>
    <x v="1"/>
    <x v="5"/>
    <x v="45"/>
    <n v="51.311999999999998"/>
    <n v="3"/>
    <n v="0.2"/>
    <n v="17.959199999999999"/>
    <n v="33.352800000000002"/>
  </r>
  <r>
    <x v="46"/>
    <d v="2016-09-11T00:00:00"/>
    <x v="1"/>
    <s v="Elpida Rittenbach"/>
    <s v="Corporate"/>
    <s v="United States"/>
    <x v="32"/>
    <x v="11"/>
    <x v="2"/>
    <x v="1"/>
    <x v="6"/>
    <x v="46"/>
    <n v="77.88"/>
    <n v="6"/>
    <n v="0"/>
    <n v="22.5852"/>
    <n v="55.294799999999995"/>
  </r>
  <r>
    <x v="47"/>
    <d v="2016-09-02T00:00:00"/>
    <x v="1"/>
    <s v="Rick Bensley"/>
    <s v="Home Office"/>
    <s v="United States"/>
    <x v="21"/>
    <x v="10"/>
    <x v="2"/>
    <x v="1"/>
    <x v="4"/>
    <x v="47"/>
    <n v="64.623999999999995"/>
    <n v="7"/>
    <n v="0.2"/>
    <n v="22.618400000000001"/>
    <n v="42.005599999999994"/>
  </r>
  <r>
    <x v="48"/>
    <d v="2016-12-04T00:00:00"/>
    <x v="0"/>
    <s v="Gary Zandusky"/>
    <s v="Consumer"/>
    <s v="United States"/>
    <x v="29"/>
    <x v="11"/>
    <x v="2"/>
    <x v="1"/>
    <x v="4"/>
    <x v="48"/>
    <n v="23.92"/>
    <n v="4"/>
    <n v="0"/>
    <n v="11.720800000000001"/>
    <n v="12.199200000000001"/>
  </r>
  <r>
    <x v="49"/>
    <d v="2015-11-17T00:00:00"/>
    <x v="1"/>
    <s v="Lena Cacioppo"/>
    <s v="Consumer"/>
    <s v="United States"/>
    <x v="33"/>
    <x v="22"/>
    <x v="1"/>
    <x v="2"/>
    <x v="12"/>
    <x v="49"/>
    <n v="238.89599999999999"/>
    <n v="6"/>
    <n v="0.2"/>
    <n v="-26.875800000000002"/>
    <n v="265.77179999999998"/>
  </r>
  <r>
    <x v="50"/>
    <d v="2017-11-28T00:00:00"/>
    <x v="1"/>
    <s v="Janet Martin"/>
    <s v="Consumer"/>
    <s v="United States"/>
    <x v="34"/>
    <x v="3"/>
    <x v="0"/>
    <x v="2"/>
    <x v="12"/>
    <x v="50"/>
    <n v="74.111999999999995"/>
    <n v="8"/>
    <n v="0.2"/>
    <n v="17.601600000000001"/>
    <n v="56.51039999999999"/>
  </r>
  <r>
    <x v="51"/>
    <d v="2015-10-20T00:00:00"/>
    <x v="1"/>
    <s v="Pete Armstrong"/>
    <s v="Home Office"/>
    <s v="United States"/>
    <x v="35"/>
    <x v="10"/>
    <x v="2"/>
    <x v="2"/>
    <x v="12"/>
    <x v="51"/>
    <n v="339.96"/>
    <n v="5"/>
    <n v="0.2"/>
    <n v="67.992000000000004"/>
    <n v="271.96799999999996"/>
  </r>
  <r>
    <x v="52"/>
    <d v="2017-12-30T00:00:00"/>
    <x v="1"/>
    <s v="Cynthia Voltz"/>
    <s v="Corporate"/>
    <s v="United States"/>
    <x v="19"/>
    <x v="15"/>
    <x v="3"/>
    <x v="0"/>
    <x v="3"/>
    <x v="52"/>
    <n v="41.96"/>
    <n v="2"/>
    <n v="0"/>
    <n v="10.909599999999999"/>
    <n v="31.050400000000003"/>
  </r>
  <r>
    <x v="53"/>
    <d v="2016-11-10T00:00:00"/>
    <x v="1"/>
    <s v="Clay Ludtke"/>
    <s v="Consumer"/>
    <s v="United States"/>
    <x v="36"/>
    <x v="23"/>
    <x v="2"/>
    <x v="1"/>
    <x v="8"/>
    <x v="53"/>
    <n v="75.959999999999994"/>
    <n v="2"/>
    <n v="0"/>
    <n v="22.788"/>
    <n v="53.171999999999997"/>
  </r>
  <r>
    <x v="54"/>
    <d v="2014-08-27T00:00:00"/>
    <x v="0"/>
    <s v="Ryan Crowe"/>
    <s v="Consumer"/>
    <s v="United States"/>
    <x v="37"/>
    <x v="24"/>
    <x v="3"/>
    <x v="1"/>
    <x v="13"/>
    <x v="54"/>
    <n v="40.095999999999997"/>
    <n v="14"/>
    <n v="0.2"/>
    <n v="14.534800000000001"/>
    <n v="25.561199999999996"/>
  </r>
  <r>
    <x v="55"/>
    <d v="2015-03-06T00:00:00"/>
    <x v="1"/>
    <s v="Dave Kipp"/>
    <s v="Consumer"/>
    <s v="United States"/>
    <x v="4"/>
    <x v="4"/>
    <x v="1"/>
    <x v="0"/>
    <x v="2"/>
    <x v="55"/>
    <n v="787.53"/>
    <n v="3"/>
    <n v="0"/>
    <n v="165.38130000000001"/>
    <n v="622.14869999999996"/>
  </r>
  <r>
    <x v="56"/>
    <d v="2015-04-10T00:00:00"/>
    <x v="1"/>
    <s v="Greg Guthrie"/>
    <s v="Corporate"/>
    <s v="United States"/>
    <x v="38"/>
    <x v="18"/>
    <x v="0"/>
    <x v="1"/>
    <x v="5"/>
    <x v="56"/>
    <n v="157.79400000000001"/>
    <n v="1"/>
    <n v="0.7"/>
    <n v="-115.71559999999999"/>
    <n v="273.50959999999998"/>
  </r>
  <r>
    <x v="57"/>
    <d v="2014-12-28T00:00:00"/>
    <x v="0"/>
    <s v="Alan Dominguez"/>
    <s v="Home Office"/>
    <s v="United States"/>
    <x v="12"/>
    <x v="5"/>
    <x v="2"/>
    <x v="0"/>
    <x v="9"/>
    <x v="57"/>
    <n v="600.55799999999999"/>
    <n v="3"/>
    <n v="0.3"/>
    <n v="-8.5793999999999997"/>
    <n v="609.13739999999996"/>
  </r>
  <r>
    <x v="58"/>
    <d v="2014-09-25T00:00:00"/>
    <x v="1"/>
    <s v="Philip Fox"/>
    <s v="Consumer"/>
    <s v="United States"/>
    <x v="39"/>
    <x v="10"/>
    <x v="2"/>
    <x v="0"/>
    <x v="2"/>
    <x v="58"/>
    <n v="617.70000000000005"/>
    <n v="6"/>
    <n v="0.5"/>
    <n v="-407.68200000000002"/>
    <n v="1025.3820000000001"/>
  </r>
  <r>
    <x v="59"/>
    <d v="2017-02-05T00:00:00"/>
    <x v="2"/>
    <s v="Dorothy Wardle"/>
    <s v="Corporate"/>
    <s v="United States"/>
    <x v="37"/>
    <x v="24"/>
    <x v="3"/>
    <x v="2"/>
    <x v="11"/>
    <x v="59"/>
    <n v="59.97"/>
    <n v="5"/>
    <n v="0.4"/>
    <n v="-11.994"/>
    <n v="71.963999999999999"/>
  </r>
  <r>
    <x v="60"/>
    <d v="2016-10-19T00:00:00"/>
    <x v="1"/>
    <s v="Lena Creighton"/>
    <s v="Consumer"/>
    <s v="United States"/>
    <x v="40"/>
    <x v="1"/>
    <x v="1"/>
    <x v="1"/>
    <x v="4"/>
    <x v="60"/>
    <n v="20.04"/>
    <n v="3"/>
    <n v="0"/>
    <n v="9.6191999999999993"/>
    <n v="10.4208"/>
  </r>
  <r>
    <x v="61"/>
    <d v="2016-09-07T00:00:00"/>
    <x v="0"/>
    <s v="Jonathan Doherty"/>
    <s v="Corporate"/>
    <s v="United States"/>
    <x v="10"/>
    <x v="9"/>
    <x v="3"/>
    <x v="0"/>
    <x v="3"/>
    <x v="61"/>
    <n v="82.8"/>
    <n v="2"/>
    <n v="0.2"/>
    <n v="10.35"/>
    <n v="72.45"/>
  </r>
  <r>
    <x v="62"/>
    <d v="2017-12-27T00:00:00"/>
    <x v="1"/>
    <s v="Sandra Glassco"/>
    <s v="Consumer"/>
    <s v="United States"/>
    <x v="41"/>
    <x v="25"/>
    <x v="2"/>
    <x v="1"/>
    <x v="6"/>
    <x v="62"/>
    <n v="839.43"/>
    <n v="3"/>
    <n v="0"/>
    <n v="218.2518"/>
    <n v="621.17819999999995"/>
  </r>
  <r>
    <x v="63"/>
    <d v="2015-09-12T00:00:00"/>
    <x v="1"/>
    <s v="Helen Andreada"/>
    <s v="Consumer"/>
    <s v="United States"/>
    <x v="42"/>
    <x v="1"/>
    <x v="1"/>
    <x v="1"/>
    <x v="7"/>
    <x v="37"/>
    <n v="671.93"/>
    <n v="7"/>
    <n v="0"/>
    <n v="20.157900000000001"/>
    <n v="651.77209999999991"/>
  </r>
  <r>
    <x v="64"/>
    <d v="2014-10-28T00:00:00"/>
    <x v="1"/>
    <s v="Maureen Gastineau"/>
    <s v="Home Office"/>
    <s v="United States"/>
    <x v="43"/>
    <x v="24"/>
    <x v="3"/>
    <x v="0"/>
    <x v="3"/>
    <x v="63"/>
    <n v="93.888000000000005"/>
    <n v="4"/>
    <n v="0.2"/>
    <n v="12.909599999999999"/>
    <n v="80.978400000000008"/>
  </r>
  <r>
    <x v="5"/>
    <d v="2016-12-09T00:00:00"/>
    <x v="1"/>
    <s v="Justin Ellison"/>
    <s v="Corporate"/>
    <s v="United States"/>
    <x v="44"/>
    <x v="6"/>
    <x v="2"/>
    <x v="2"/>
    <x v="11"/>
    <x v="64"/>
    <n v="384.45"/>
    <n v="11"/>
    <n v="0"/>
    <n v="103.8015"/>
    <n v="280.64850000000001"/>
  </r>
  <r>
    <x v="65"/>
    <d v="2016-03-16T00:00:00"/>
    <x v="2"/>
    <s v="Tamara Willingham"/>
    <s v="Home Office"/>
    <s v="United States"/>
    <x v="45"/>
    <x v="16"/>
    <x v="1"/>
    <x v="1"/>
    <x v="6"/>
    <x v="65"/>
    <n v="157.91999999999999"/>
    <n v="5"/>
    <n v="0.2"/>
    <n v="17.765999999999998"/>
    <n v="140.154"/>
  </r>
  <r>
    <x v="66"/>
    <d v="2015-06-02T00:00:00"/>
    <x v="2"/>
    <s v="Stephanie Phelps"/>
    <s v="Corporate"/>
    <s v="United States"/>
    <x v="46"/>
    <x v="1"/>
    <x v="1"/>
    <x v="1"/>
    <x v="4"/>
    <x v="66"/>
    <n v="58.38"/>
    <n v="7"/>
    <n v="0"/>
    <n v="26.271000000000001"/>
    <n v="32.109000000000002"/>
  </r>
  <r>
    <x v="67"/>
    <d v="2015-06-03T00:00:00"/>
    <x v="1"/>
    <s v="Neil Knudson"/>
    <s v="Home Office"/>
    <s v="United States"/>
    <x v="4"/>
    <x v="4"/>
    <x v="1"/>
    <x v="1"/>
    <x v="8"/>
    <x v="67"/>
    <n v="6.63"/>
    <n v="3"/>
    <n v="0"/>
    <n v="1.7901"/>
    <n v="4.8399000000000001"/>
  </r>
  <r>
    <x v="68"/>
    <d v="2014-03-06T00:00:00"/>
    <x v="0"/>
    <s v="Dave Brooks"/>
    <s v="Consumer"/>
    <s v="United States"/>
    <x v="4"/>
    <x v="4"/>
    <x v="1"/>
    <x v="0"/>
    <x v="9"/>
    <x v="57"/>
    <n v="457.56799999999998"/>
    <n v="2"/>
    <n v="0.2"/>
    <n v="51.476399999999998"/>
    <n v="406.09159999999997"/>
  </r>
  <r>
    <x v="69"/>
    <d v="2016-11-24T00:00:00"/>
    <x v="1"/>
    <s v="Nora Paige"/>
    <s v="Consumer"/>
    <s v="United States"/>
    <x v="47"/>
    <x v="26"/>
    <x v="2"/>
    <x v="1"/>
    <x v="1"/>
    <x v="68"/>
    <n v="14.62"/>
    <n v="2"/>
    <n v="0"/>
    <n v="6.8714000000000004"/>
    <n v="7.7485999999999988"/>
  </r>
  <r>
    <x v="70"/>
    <d v="2016-05-12T00:00:00"/>
    <x v="2"/>
    <s v="Ted Trevino"/>
    <s v="Consumer"/>
    <s v="United States"/>
    <x v="1"/>
    <x v="1"/>
    <x v="1"/>
    <x v="1"/>
    <x v="4"/>
    <x v="69"/>
    <n v="5.98"/>
    <n v="1"/>
    <n v="0"/>
    <n v="2.6909999999999998"/>
    <n v="3.2890000000000006"/>
  </r>
  <r>
    <x v="71"/>
    <d v="2016-11-20T00:00:00"/>
    <x v="1"/>
    <s v="Ruben Dartt"/>
    <s v="Consumer"/>
    <s v="United States"/>
    <x v="48"/>
    <x v="27"/>
    <x v="1"/>
    <x v="1"/>
    <x v="10"/>
    <x v="70"/>
    <n v="28.4"/>
    <n v="5"/>
    <n v="0"/>
    <n v="13.348000000000001"/>
    <n v="15.051999999999998"/>
  </r>
  <r>
    <x v="72"/>
    <d v="2014-09-12T00:00:00"/>
    <x v="1"/>
    <s v="Becky Martin"/>
    <s v="Consumer"/>
    <s v="United States"/>
    <x v="49"/>
    <x v="5"/>
    <x v="2"/>
    <x v="1"/>
    <x v="8"/>
    <x v="71"/>
    <n v="9.9359999999999999"/>
    <n v="3"/>
    <n v="0.2"/>
    <n v="2.7324000000000002"/>
    <n v="7.2035999999999998"/>
  </r>
  <r>
    <x v="73"/>
    <d v="2014-08-09T00:00:00"/>
    <x v="1"/>
    <s v="Chad Sievert"/>
    <s v="Consumer"/>
    <s v="United States"/>
    <x v="1"/>
    <x v="1"/>
    <x v="1"/>
    <x v="1"/>
    <x v="4"/>
    <x v="72"/>
    <n v="20.94"/>
    <n v="3"/>
    <n v="0"/>
    <n v="9.8417999999999992"/>
    <n v="11.098200000000002"/>
  </r>
  <r>
    <x v="74"/>
    <d v="2014-09-19T00:00:00"/>
    <x v="1"/>
    <s v="Jennifer Braxton"/>
    <s v="Corporate"/>
    <s v="United States"/>
    <x v="21"/>
    <x v="10"/>
    <x v="2"/>
    <x v="1"/>
    <x v="6"/>
    <x v="73"/>
    <n v="52.448"/>
    <n v="2"/>
    <n v="0.8"/>
    <n v="-131.12"/>
    <n v="183.56800000000001"/>
  </r>
  <r>
    <x v="75"/>
    <d v="2017-04-25T00:00:00"/>
    <x v="0"/>
    <s v="Shirley Jackson"/>
    <s v="Consumer"/>
    <s v="United States"/>
    <x v="12"/>
    <x v="5"/>
    <x v="2"/>
    <x v="1"/>
    <x v="6"/>
    <x v="74"/>
    <n v="97.263999999999996"/>
    <n v="4"/>
    <n v="0.8"/>
    <n v="-243.16"/>
    <n v="340.42399999999998"/>
  </r>
  <r>
    <x v="76"/>
    <d v="2015-11-23T00:00:00"/>
    <x v="0"/>
    <s v="Joel Eaton"/>
    <s v="Consumer"/>
    <s v="United States"/>
    <x v="43"/>
    <x v="24"/>
    <x v="3"/>
    <x v="0"/>
    <x v="9"/>
    <x v="75"/>
    <n v="396.80200000000002"/>
    <n v="7"/>
    <n v="0.3"/>
    <n v="-11.337199999999999"/>
    <n v="408.13920000000002"/>
  </r>
  <r>
    <x v="77"/>
    <d v="2015-12-19T00:00:00"/>
    <x v="1"/>
    <s v="Jim Kriz"/>
    <s v="Home Office"/>
    <s v="United States"/>
    <x v="19"/>
    <x v="15"/>
    <x v="3"/>
    <x v="1"/>
    <x v="8"/>
    <x v="76"/>
    <n v="3.28"/>
    <n v="1"/>
    <n v="0"/>
    <n v="1.4104000000000001"/>
    <n v="1.8695999999999997"/>
  </r>
  <r>
    <x v="28"/>
    <d v="2014-12-09T00:00:00"/>
    <x v="0"/>
    <s v="David Kendrick"/>
    <s v="Corporate"/>
    <s v="United States"/>
    <x v="26"/>
    <x v="10"/>
    <x v="2"/>
    <x v="1"/>
    <x v="7"/>
    <x v="77"/>
    <n v="24.815999999999999"/>
    <n v="2"/>
    <n v="0.2"/>
    <n v="1.8612"/>
    <n v="22.954799999999999"/>
  </r>
  <r>
    <x v="78"/>
    <d v="2014-11-24T00:00:00"/>
    <x v="0"/>
    <s v="Robert Marley"/>
    <s v="Home Office"/>
    <s v="United States"/>
    <x v="50"/>
    <x v="28"/>
    <x v="0"/>
    <x v="2"/>
    <x v="11"/>
    <x v="78"/>
    <n v="503.96"/>
    <n v="4"/>
    <n v="0"/>
    <n v="131.02959999999999"/>
    <n v="372.93039999999996"/>
  </r>
  <r>
    <x v="79"/>
    <d v="2016-12-02T00:00:00"/>
    <x v="1"/>
    <s v="Sally Knutson"/>
    <s v="Consumer"/>
    <s v="United States"/>
    <x v="51"/>
    <x v="29"/>
    <x v="3"/>
    <x v="1"/>
    <x v="5"/>
    <x v="79"/>
    <n v="7.16"/>
    <n v="2"/>
    <n v="0"/>
    <n v="3.4367999999999999"/>
    <n v="3.7232000000000003"/>
  </r>
  <r>
    <x v="80"/>
    <d v="2014-08-30T00:00:00"/>
    <x v="1"/>
    <s v="Frank Merwin"/>
    <s v="Home Office"/>
    <s v="United States"/>
    <x v="1"/>
    <x v="1"/>
    <x v="1"/>
    <x v="2"/>
    <x v="12"/>
    <x v="80"/>
    <n v="176.8"/>
    <n v="8"/>
    <n v="0"/>
    <n v="22.984000000000002"/>
    <n v="153.816"/>
  </r>
  <r>
    <x v="81"/>
    <d v="2015-10-14T00:00:00"/>
    <x v="2"/>
    <s v="Mark Packer"/>
    <s v="Home Office"/>
    <s v="United States"/>
    <x v="19"/>
    <x v="15"/>
    <x v="3"/>
    <x v="0"/>
    <x v="0"/>
    <x v="81"/>
    <n v="899.13599999999997"/>
    <n v="4"/>
    <n v="0.2"/>
    <n v="112.392"/>
    <n v="786.74399999999991"/>
  </r>
  <r>
    <x v="82"/>
    <d v="2015-11-06T00:00:00"/>
    <x v="1"/>
    <s v="Mary Zewe"/>
    <s v="Corporate"/>
    <s v="United States"/>
    <x v="52"/>
    <x v="1"/>
    <x v="1"/>
    <x v="1"/>
    <x v="10"/>
    <x v="82"/>
    <n v="14.28"/>
    <n v="7"/>
    <n v="0"/>
    <n v="6.7115999999999998"/>
    <n v="7.5683999999999996"/>
  </r>
  <r>
    <x v="83"/>
    <d v="2014-03-25T00:00:00"/>
    <x v="1"/>
    <s v="Cassandra Brandow"/>
    <s v="Consumer"/>
    <s v="United States"/>
    <x v="53"/>
    <x v="24"/>
    <x v="3"/>
    <x v="1"/>
    <x v="8"/>
    <x v="83"/>
    <n v="7.4080000000000004"/>
    <n v="2"/>
    <n v="0.2"/>
    <n v="1.2038"/>
    <n v="6.2042000000000002"/>
  </r>
  <r>
    <x v="43"/>
    <d v="2017-11-13T00:00:00"/>
    <x v="1"/>
    <s v="Valerie Mitchum"/>
    <s v="Home Office"/>
    <s v="United States"/>
    <x v="54"/>
    <x v="30"/>
    <x v="3"/>
    <x v="1"/>
    <x v="7"/>
    <x v="84"/>
    <n v="46.26"/>
    <n v="3"/>
    <n v="0"/>
    <n v="12.0276"/>
    <n v="34.232399999999998"/>
  </r>
  <r>
    <x v="84"/>
    <d v="2017-07-13T00:00:00"/>
    <x v="1"/>
    <s v="Fred Hopkins"/>
    <s v="Corporate"/>
    <s v="United States"/>
    <x v="10"/>
    <x v="9"/>
    <x v="3"/>
    <x v="1"/>
    <x v="5"/>
    <x v="85"/>
    <n v="2.9460000000000002"/>
    <n v="2"/>
    <n v="0.7"/>
    <n v="-2.2585999999999999"/>
    <n v="5.2046000000000001"/>
  </r>
  <r>
    <x v="85"/>
    <d v="2017-06-29T00:00:00"/>
    <x v="1"/>
    <s v="Maria Bertelson"/>
    <s v="Consumer"/>
    <s v="United States"/>
    <x v="55"/>
    <x v="24"/>
    <x v="3"/>
    <x v="1"/>
    <x v="4"/>
    <x v="86"/>
    <n v="21.744"/>
    <n v="3"/>
    <n v="0.2"/>
    <n v="6.7949999999999999"/>
    <n v="14.949"/>
  </r>
  <r>
    <x v="86"/>
    <d v="2014-08-05T00:00:00"/>
    <x v="2"/>
    <s v="Bruce Stewart"/>
    <s v="Consumer"/>
    <s v="United States"/>
    <x v="56"/>
    <x v="22"/>
    <x v="1"/>
    <x v="0"/>
    <x v="2"/>
    <x v="87"/>
    <n v="218.75"/>
    <n v="2"/>
    <n v="0.5"/>
    <n v="-161.875"/>
    <n v="380.625"/>
  </r>
  <r>
    <x v="87"/>
    <d v="2017-12-21T00:00:00"/>
    <x v="0"/>
    <s v="Logan Currie"/>
    <s v="Consumer"/>
    <s v="United States"/>
    <x v="57"/>
    <x v="5"/>
    <x v="2"/>
    <x v="1"/>
    <x v="6"/>
    <x v="88"/>
    <n v="66.284000000000006"/>
    <n v="2"/>
    <n v="0.8"/>
    <n v="-178.96680000000001"/>
    <n v="245.25080000000003"/>
  </r>
  <r>
    <x v="88"/>
    <d v="2017-06-07T00:00:00"/>
    <x v="1"/>
    <s v="Heather Kirkland"/>
    <s v="Corporate"/>
    <s v="United States"/>
    <x v="44"/>
    <x v="18"/>
    <x v="0"/>
    <x v="0"/>
    <x v="3"/>
    <x v="89"/>
    <n v="35.167999999999999"/>
    <n v="7"/>
    <n v="0.2"/>
    <n v="9.6712000000000007"/>
    <n v="25.4968"/>
  </r>
  <r>
    <x v="33"/>
    <d v="2017-12-14T00:00:00"/>
    <x v="1"/>
    <s v="Laurel Elliston"/>
    <s v="Consumer"/>
    <s v="United States"/>
    <x v="58"/>
    <x v="1"/>
    <x v="1"/>
    <x v="2"/>
    <x v="11"/>
    <x v="90"/>
    <n v="444.76799999999997"/>
    <n v="4"/>
    <n v="0.2"/>
    <n v="44.476799999999997"/>
    <n v="400.2912"/>
  </r>
  <r>
    <x v="89"/>
    <d v="2017-12-07T00:00:00"/>
    <x v="1"/>
    <s v="Joseph Holt"/>
    <s v="Consumer"/>
    <s v="United States"/>
    <x v="59"/>
    <x v="12"/>
    <x v="2"/>
    <x v="1"/>
    <x v="7"/>
    <x v="91"/>
    <n v="83.92"/>
    <n v="4"/>
    <n v="0"/>
    <n v="5.8743999999999996"/>
    <n v="78.045600000000007"/>
  </r>
  <r>
    <x v="90"/>
    <d v="2015-02-13T00:00:00"/>
    <x v="0"/>
    <s v="Michael Stewart"/>
    <s v="Corporate"/>
    <s v="United States"/>
    <x v="57"/>
    <x v="5"/>
    <x v="2"/>
    <x v="2"/>
    <x v="12"/>
    <x v="92"/>
    <n v="20.8"/>
    <n v="2"/>
    <n v="0.2"/>
    <n v="6.5"/>
    <n v="14.3"/>
  </r>
  <r>
    <x v="91"/>
    <d v="2015-01-09T00:00:00"/>
    <x v="1"/>
    <s v="Victoria Wilson"/>
    <s v="Corporate"/>
    <s v="United States"/>
    <x v="60"/>
    <x v="24"/>
    <x v="3"/>
    <x v="1"/>
    <x v="1"/>
    <x v="93"/>
    <n v="23.68"/>
    <n v="2"/>
    <n v="0.2"/>
    <n v="8.8800000000000008"/>
    <n v="14.799999999999999"/>
  </r>
  <r>
    <x v="92"/>
    <d v="2016-11-01T00:00:00"/>
    <x v="1"/>
    <s v="Jonathan Howell"/>
    <s v="Consumer"/>
    <s v="United States"/>
    <x v="1"/>
    <x v="1"/>
    <x v="1"/>
    <x v="1"/>
    <x v="7"/>
    <x v="94"/>
    <n v="93.06"/>
    <n v="6"/>
    <n v="0"/>
    <n v="26.056799999999999"/>
    <n v="67.003200000000007"/>
  </r>
  <r>
    <x v="93"/>
    <d v="2015-12-27T00:00:00"/>
    <x v="2"/>
    <s v="Joni Blumstein"/>
    <s v="Consumer"/>
    <s v="United States"/>
    <x v="61"/>
    <x v="24"/>
    <x v="3"/>
    <x v="1"/>
    <x v="13"/>
    <x v="95"/>
    <n v="5.5839999999999996"/>
    <n v="2"/>
    <n v="0.2"/>
    <n v="1.8148"/>
    <n v="3.7691999999999997"/>
  </r>
  <r>
    <x v="94"/>
    <d v="2015-08-16T00:00:00"/>
    <x v="1"/>
    <s v="David Smith"/>
    <s v="Corporate"/>
    <s v="United States"/>
    <x v="62"/>
    <x v="12"/>
    <x v="2"/>
    <x v="1"/>
    <x v="8"/>
    <x v="96"/>
    <n v="2.2000000000000002"/>
    <n v="1"/>
    <n v="0"/>
    <n v="0.96799999999999997"/>
    <n v="1.2320000000000002"/>
  </r>
  <r>
    <x v="95"/>
    <d v="2015-03-04T00:00:00"/>
    <x v="1"/>
    <s v="Valerie Dominguez"/>
    <s v="Consumer"/>
    <s v="United States"/>
    <x v="28"/>
    <x v="18"/>
    <x v="0"/>
    <x v="0"/>
    <x v="9"/>
    <x v="97"/>
    <n v="161.56800000000001"/>
    <n v="2"/>
    <n v="0.2"/>
    <n v="-28.2744"/>
    <n v="189.8424"/>
  </r>
  <r>
    <x v="96"/>
    <d v="2014-09-17T00:00:00"/>
    <x v="1"/>
    <s v="Erin Ashbrook"/>
    <s v="Corporate"/>
    <s v="United States"/>
    <x v="34"/>
    <x v="3"/>
    <x v="0"/>
    <x v="1"/>
    <x v="5"/>
    <x v="98"/>
    <n v="18.648"/>
    <n v="7"/>
    <n v="0.7"/>
    <n v="-12.432"/>
    <n v="31.08"/>
  </r>
  <r>
    <x v="97"/>
    <d v="2017-04-12T00:00:00"/>
    <x v="1"/>
    <s v="Christopher Schild"/>
    <s v="Home Office"/>
    <s v="United States"/>
    <x v="63"/>
    <x v="2"/>
    <x v="0"/>
    <x v="0"/>
    <x v="2"/>
    <x v="99"/>
    <n v="233.86"/>
    <n v="2"/>
    <n v="0.45"/>
    <n v="-102.048"/>
    <n v="335.90800000000002"/>
  </r>
  <r>
    <x v="29"/>
    <d v="2016-06-09T00:00:00"/>
    <x v="0"/>
    <s v="Ken Lonsdale"/>
    <s v="Consumer"/>
    <s v="United States"/>
    <x v="21"/>
    <x v="10"/>
    <x v="2"/>
    <x v="1"/>
    <x v="4"/>
    <x v="100"/>
    <n v="25.92"/>
    <n v="5"/>
    <n v="0.2"/>
    <n v="9.3960000000000008"/>
    <n v="16.524000000000001"/>
  </r>
  <r>
    <x v="98"/>
    <d v="2014-06-06T00:00:00"/>
    <x v="0"/>
    <s v="Dianna Wilson"/>
    <s v="Home Office"/>
    <s v="United States"/>
    <x v="64"/>
    <x v="11"/>
    <x v="2"/>
    <x v="0"/>
    <x v="9"/>
    <x v="57"/>
    <n v="2001.86"/>
    <n v="7"/>
    <n v="0"/>
    <n v="580.5394"/>
    <n v="1421.3206"/>
  </r>
  <r>
    <x v="99"/>
    <d v="2016-12-15T00:00:00"/>
    <x v="0"/>
    <s v="Logan Haushalter"/>
    <s v="Consumer"/>
    <s v="United States"/>
    <x v="8"/>
    <x v="1"/>
    <x v="1"/>
    <x v="0"/>
    <x v="9"/>
    <x v="101"/>
    <n v="321.56799999999998"/>
    <n v="2"/>
    <n v="0.2"/>
    <n v="28.1372"/>
    <n v="293.43079999999998"/>
  </r>
  <r>
    <x v="100"/>
    <d v="2016-09-17T00:00:00"/>
    <x v="1"/>
    <s v="Kelly Collister"/>
    <s v="Consumer"/>
    <s v="United States"/>
    <x v="65"/>
    <x v="1"/>
    <x v="1"/>
    <x v="1"/>
    <x v="4"/>
    <x v="102"/>
    <n v="7.61"/>
    <n v="1"/>
    <n v="0"/>
    <n v="3.5767000000000002"/>
    <n v="4.0333000000000006"/>
  </r>
  <r>
    <x v="101"/>
    <d v="2015-12-04T00:00:00"/>
    <x v="1"/>
    <s v="Dan Reichenbach"/>
    <s v="Corporate"/>
    <s v="United States"/>
    <x v="21"/>
    <x v="10"/>
    <x v="2"/>
    <x v="0"/>
    <x v="3"/>
    <x v="103"/>
    <n v="12.132"/>
    <n v="9"/>
    <n v="0.6"/>
    <n v="-8.4923999999999999"/>
    <n v="20.624400000000001"/>
  </r>
  <r>
    <x v="89"/>
    <d v="2017-12-03T00:00:00"/>
    <x v="0"/>
    <s v="Craig Carreira"/>
    <s v="Consumer"/>
    <s v="United States"/>
    <x v="19"/>
    <x v="15"/>
    <x v="3"/>
    <x v="2"/>
    <x v="12"/>
    <x v="104"/>
    <n v="20.37"/>
    <n v="3"/>
    <n v="0"/>
    <n v="6.9257999999999997"/>
    <n v="13.444200000000002"/>
  </r>
  <r>
    <x v="102"/>
    <d v="2017-06-12T00:00:00"/>
    <x v="1"/>
    <s v="Dorris liebe"/>
    <s v="Corporate"/>
    <s v="United States"/>
    <x v="42"/>
    <x v="5"/>
    <x v="2"/>
    <x v="1"/>
    <x v="6"/>
    <x v="105"/>
    <n v="1.6240000000000001"/>
    <n v="2"/>
    <n v="0.8"/>
    <n v="-4.4660000000000002"/>
    <n v="6.09"/>
  </r>
  <r>
    <x v="103"/>
    <d v="2014-09-21T00:00:00"/>
    <x v="0"/>
    <s v="Sean Braxton"/>
    <s v="Corporate"/>
    <s v="United States"/>
    <x v="12"/>
    <x v="5"/>
    <x v="2"/>
    <x v="2"/>
    <x v="14"/>
    <x v="106"/>
    <n v="3059.982"/>
    <n v="3"/>
    <n v="0.4"/>
    <n v="-509.99700000000001"/>
    <n v="3569.9789999999998"/>
  </r>
  <r>
    <x v="104"/>
    <d v="2016-06-13T00:00:00"/>
    <x v="1"/>
    <s v="Roy Collins"/>
    <s v="Consumer"/>
    <s v="United States"/>
    <x v="21"/>
    <x v="10"/>
    <x v="2"/>
    <x v="2"/>
    <x v="11"/>
    <x v="107"/>
    <n v="328.22399999999999"/>
    <n v="4"/>
    <n v="0.2"/>
    <n v="28.7196"/>
    <n v="299.50439999999998"/>
  </r>
  <r>
    <x v="105"/>
    <d v="2015-11-15T00:00:00"/>
    <x v="1"/>
    <s v="Alan Hwang"/>
    <s v="Consumer"/>
    <s v="United States"/>
    <x v="66"/>
    <x v="1"/>
    <x v="1"/>
    <x v="2"/>
    <x v="12"/>
    <x v="108"/>
    <n v="79.900000000000006"/>
    <n v="2"/>
    <n v="0"/>
    <n v="35.155999999999999"/>
    <n v="44.744000000000007"/>
  </r>
  <r>
    <x v="106"/>
    <d v="2016-01-28T00:00:00"/>
    <x v="1"/>
    <s v="Paul Gonzalez"/>
    <s v="Consumer"/>
    <s v="United States"/>
    <x v="67"/>
    <x v="30"/>
    <x v="3"/>
    <x v="1"/>
    <x v="13"/>
    <x v="109"/>
    <n v="7.56"/>
    <n v="6"/>
    <n v="0"/>
    <n v="0.3024"/>
    <n v="7.2576000000000001"/>
  </r>
  <r>
    <x v="33"/>
    <d v="2017-12-13T00:00:00"/>
    <x v="1"/>
    <s v="Christine Abelman"/>
    <s v="Corporate"/>
    <s v="United States"/>
    <x v="68"/>
    <x v="24"/>
    <x v="3"/>
    <x v="1"/>
    <x v="7"/>
    <x v="110"/>
    <n v="37.207999999999998"/>
    <n v="1"/>
    <n v="0.2"/>
    <n v="-7.4416000000000002"/>
    <n v="44.6496"/>
  </r>
  <r>
    <x v="107"/>
    <d v="2018-01-02T00:00:00"/>
    <x v="0"/>
    <s v="Kristen Hastings"/>
    <s v="Corporate"/>
    <s v="United States"/>
    <x v="8"/>
    <x v="1"/>
    <x v="1"/>
    <x v="1"/>
    <x v="7"/>
    <x v="111"/>
    <n v="725.84"/>
    <n v="4"/>
    <n v="0"/>
    <n v="210.49359999999999"/>
    <n v="515.34640000000002"/>
  </r>
  <r>
    <x v="108"/>
    <d v="2015-07-31T00:00:00"/>
    <x v="2"/>
    <s v="Helen Andreada"/>
    <s v="Consumer"/>
    <s v="United States"/>
    <x v="8"/>
    <x v="1"/>
    <x v="1"/>
    <x v="2"/>
    <x v="12"/>
    <x v="112"/>
    <n v="209.93"/>
    <n v="7"/>
    <n v="0"/>
    <n v="92.369200000000006"/>
    <n v="117.5608"/>
  </r>
  <r>
    <x v="109"/>
    <d v="2017-10-17T00:00:00"/>
    <x v="1"/>
    <s v="Andrew Gjertsen"/>
    <s v="Corporate"/>
    <s v="United States"/>
    <x v="10"/>
    <x v="9"/>
    <x v="3"/>
    <x v="1"/>
    <x v="4"/>
    <x v="113"/>
    <n v="11.648"/>
    <n v="2"/>
    <n v="0.2"/>
    <n v="4.0768000000000004"/>
    <n v="7.5711999999999993"/>
  </r>
  <r>
    <x v="110"/>
    <d v="2015-09-28T00:00:00"/>
    <x v="0"/>
    <s v="Steven Cartwright"/>
    <s v="Consumer"/>
    <s v="United States"/>
    <x v="12"/>
    <x v="5"/>
    <x v="2"/>
    <x v="1"/>
    <x v="5"/>
    <x v="114"/>
    <n v="2.08"/>
    <n v="5"/>
    <n v="0.8"/>
    <n v="-3.4319999999999999"/>
    <n v="5.5120000000000005"/>
  </r>
  <r>
    <x v="110"/>
    <d v="2015-10-02T00:00:00"/>
    <x v="1"/>
    <s v="Tracy Blumstein"/>
    <s v="Consumer"/>
    <s v="United States"/>
    <x v="31"/>
    <x v="21"/>
    <x v="1"/>
    <x v="1"/>
    <x v="4"/>
    <x v="14"/>
    <n v="141.76"/>
    <n v="5"/>
    <n v="0.2"/>
    <n v="47.844000000000001"/>
    <n v="93.915999999999997"/>
  </r>
  <r>
    <x v="111"/>
    <d v="2016-12-20T00:00:00"/>
    <x v="0"/>
    <s v="Alan Haines"/>
    <s v="Corporate"/>
    <s v="United States"/>
    <x v="69"/>
    <x v="2"/>
    <x v="0"/>
    <x v="1"/>
    <x v="5"/>
    <x v="115"/>
    <n v="254.05799999999999"/>
    <n v="7"/>
    <n v="0.7"/>
    <n v="-169.37200000000001"/>
    <n v="423.43"/>
  </r>
  <r>
    <x v="92"/>
    <d v="2016-11-03T00:00:00"/>
    <x v="1"/>
    <s v="Jonathan Doherty"/>
    <s v="Corporate"/>
    <s v="United States"/>
    <x v="70"/>
    <x v="30"/>
    <x v="3"/>
    <x v="1"/>
    <x v="4"/>
    <x v="116"/>
    <n v="32.4"/>
    <n v="5"/>
    <n v="0"/>
    <n v="15.552"/>
    <n v="16.847999999999999"/>
  </r>
  <r>
    <x v="112"/>
    <d v="2017-11-23T00:00:00"/>
    <x v="1"/>
    <s v="Jonathan Howell"/>
    <s v="Consumer"/>
    <s v="United States"/>
    <x v="21"/>
    <x v="10"/>
    <x v="2"/>
    <x v="0"/>
    <x v="2"/>
    <x v="117"/>
    <n v="219.07499999999999"/>
    <n v="3"/>
    <n v="0.5"/>
    <n v="-131.44499999999999"/>
    <n v="350.52"/>
  </r>
  <r>
    <x v="113"/>
    <d v="2015-05-09T00:00:00"/>
    <x v="0"/>
    <s v="Alan Schoenberger"/>
    <s v="Corporate"/>
    <s v="United States"/>
    <x v="19"/>
    <x v="15"/>
    <x v="3"/>
    <x v="0"/>
    <x v="3"/>
    <x v="118"/>
    <n v="26.8"/>
    <n v="2"/>
    <n v="0"/>
    <n v="12.864000000000001"/>
    <n v="13.936"/>
  </r>
  <r>
    <x v="114"/>
    <d v="2015-01-04T00:00:00"/>
    <x v="1"/>
    <s v="Ken Brennan"/>
    <s v="Corporate"/>
    <s v="United States"/>
    <x v="71"/>
    <x v="12"/>
    <x v="2"/>
    <x v="1"/>
    <x v="8"/>
    <x v="119"/>
    <n v="9.84"/>
    <n v="3"/>
    <n v="0"/>
    <n v="2.8536000000000001"/>
    <n v="6.9863999999999997"/>
  </r>
  <r>
    <x v="4"/>
    <d v="2017-04-17T00:00:00"/>
    <x v="2"/>
    <s v="Shahid Hopkins"/>
    <s v="Consumer"/>
    <s v="United States"/>
    <x v="72"/>
    <x v="17"/>
    <x v="0"/>
    <x v="1"/>
    <x v="8"/>
    <x v="120"/>
    <n v="4.8899999999999997"/>
    <n v="1"/>
    <n v="0"/>
    <n v="2.0049000000000001"/>
    <n v="2.8850999999999996"/>
  </r>
  <r>
    <x v="115"/>
    <d v="2016-09-14T00:00:00"/>
    <x v="0"/>
    <s v="Ben Peterman"/>
    <s v="Corporate"/>
    <s v="United States"/>
    <x v="73"/>
    <x v="22"/>
    <x v="1"/>
    <x v="0"/>
    <x v="3"/>
    <x v="121"/>
    <n v="15.135999999999999"/>
    <n v="4"/>
    <n v="0.2"/>
    <n v="3.5948000000000002"/>
    <n v="11.5412"/>
  </r>
  <r>
    <x v="116"/>
    <d v="2014-10-03T00:00:00"/>
    <x v="1"/>
    <s v="Thomas Seio"/>
    <s v="Corporate"/>
    <s v="United States"/>
    <x v="74"/>
    <x v="30"/>
    <x v="3"/>
    <x v="0"/>
    <x v="3"/>
    <x v="122"/>
    <n v="87.54"/>
    <n v="3"/>
    <n v="0"/>
    <n v="37.642200000000003"/>
    <n v="49.897800000000004"/>
  </r>
  <r>
    <x v="117"/>
    <d v="2014-08-16T00:00:00"/>
    <x v="1"/>
    <s v="Andy Gerbode"/>
    <s v="Corporate"/>
    <s v="United States"/>
    <x v="75"/>
    <x v="2"/>
    <x v="0"/>
    <x v="2"/>
    <x v="11"/>
    <x v="123"/>
    <n v="178.38399999999999"/>
    <n v="2"/>
    <n v="0.2"/>
    <n v="22.297999999999998"/>
    <n v="156.08599999999998"/>
  </r>
  <r>
    <x v="118"/>
    <d v="2014-12-30T00:00:00"/>
    <x v="2"/>
    <s v="Sung Pak"/>
    <s v="Corporate"/>
    <s v="United States"/>
    <x v="10"/>
    <x v="9"/>
    <x v="3"/>
    <x v="1"/>
    <x v="8"/>
    <x v="124"/>
    <n v="99.135999999999996"/>
    <n v="4"/>
    <n v="0.2"/>
    <n v="8.6744000000000003"/>
    <n v="90.46159999999999"/>
  </r>
  <r>
    <x v="119"/>
    <d v="2014-11-09T00:00:00"/>
    <x v="1"/>
    <s v="Nathan Mautz"/>
    <s v="Home Office"/>
    <s v="United States"/>
    <x v="19"/>
    <x v="15"/>
    <x v="3"/>
    <x v="0"/>
    <x v="9"/>
    <x v="125"/>
    <n v="135.88200000000001"/>
    <n v="1"/>
    <n v="0.1"/>
    <n v="24.1568"/>
    <n v="111.7252"/>
  </r>
  <r>
    <x v="103"/>
    <d v="2014-09-24T00:00:00"/>
    <x v="1"/>
    <s v="Frank Atkinson"/>
    <s v="Corporate"/>
    <s v="United States"/>
    <x v="76"/>
    <x v="1"/>
    <x v="1"/>
    <x v="1"/>
    <x v="13"/>
    <x v="126"/>
    <n v="7.16"/>
    <n v="2"/>
    <n v="0"/>
    <n v="3.58"/>
    <n v="3.58"/>
  </r>
  <r>
    <x v="120"/>
    <d v="2016-04-27T00:00:00"/>
    <x v="1"/>
    <s v="Grace Kelly"/>
    <s v="Corporate"/>
    <s v="United States"/>
    <x v="77"/>
    <x v="1"/>
    <x v="1"/>
    <x v="1"/>
    <x v="5"/>
    <x v="127"/>
    <n v="251.52"/>
    <n v="6"/>
    <n v="0.2"/>
    <n v="81.744"/>
    <n v="169.77600000000001"/>
  </r>
  <r>
    <x v="121"/>
    <d v="2017-11-05T00:00:00"/>
    <x v="0"/>
    <s v="Don Jones"/>
    <s v="Corporate"/>
    <s v="United States"/>
    <x v="78"/>
    <x v="18"/>
    <x v="0"/>
    <x v="0"/>
    <x v="3"/>
    <x v="128"/>
    <n v="15.992000000000001"/>
    <n v="1"/>
    <n v="0.2"/>
    <n v="0.99950000000000006"/>
    <n v="14.992500000000001"/>
  </r>
  <r>
    <x v="122"/>
    <d v="2016-09-01T00:00:00"/>
    <x v="2"/>
    <s v="Patrick O'Brill"/>
    <s v="Consumer"/>
    <s v="United States"/>
    <x v="10"/>
    <x v="9"/>
    <x v="3"/>
    <x v="2"/>
    <x v="11"/>
    <x v="129"/>
    <n v="290.89800000000002"/>
    <n v="3"/>
    <n v="0.4"/>
    <n v="-67.876199999999997"/>
    <n v="358.77420000000001"/>
  </r>
  <r>
    <x v="123"/>
    <d v="2016-04-29T00:00:00"/>
    <x v="0"/>
    <s v="John Lucas"/>
    <s v="Consumer"/>
    <s v="United States"/>
    <x v="10"/>
    <x v="9"/>
    <x v="3"/>
    <x v="2"/>
    <x v="11"/>
    <x v="130"/>
    <n v="82.8"/>
    <n v="2"/>
    <n v="0.4"/>
    <n v="-20.7"/>
    <n v="103.5"/>
  </r>
  <r>
    <x v="124"/>
    <d v="2015-09-04T00:00:00"/>
    <x v="0"/>
    <s v="Doug Bickford"/>
    <s v="Consumer"/>
    <s v="United States"/>
    <x v="1"/>
    <x v="1"/>
    <x v="1"/>
    <x v="1"/>
    <x v="5"/>
    <x v="131"/>
    <n v="4.7519999999999998"/>
    <n v="1"/>
    <n v="0.2"/>
    <n v="1.6037999999999999"/>
    <n v="3.1482000000000001"/>
  </r>
  <r>
    <x v="125"/>
    <d v="2014-07-17T00:00:00"/>
    <x v="1"/>
    <s v="Alyssa Crouse"/>
    <s v="Corporate"/>
    <s v="United States"/>
    <x v="8"/>
    <x v="1"/>
    <x v="1"/>
    <x v="1"/>
    <x v="5"/>
    <x v="132"/>
    <n v="7.7119999999999997"/>
    <n v="2"/>
    <n v="0.2"/>
    <n v="2.7955999999999999"/>
    <n v="4.9163999999999994"/>
  </r>
  <r>
    <x v="126"/>
    <d v="2015-06-26T00:00:00"/>
    <x v="0"/>
    <s v="Ken Lonsdale"/>
    <s v="Consumer"/>
    <s v="United States"/>
    <x v="79"/>
    <x v="7"/>
    <x v="1"/>
    <x v="1"/>
    <x v="13"/>
    <x v="133"/>
    <n v="4.96"/>
    <n v="4"/>
    <n v="0"/>
    <n v="2.3311999999999999"/>
    <n v="2.6288"/>
  </r>
  <r>
    <x v="127"/>
    <d v="2014-04-17T00:00:00"/>
    <x v="0"/>
    <s v="Jonathan Doherty"/>
    <s v="Corporate"/>
    <s v="United States"/>
    <x v="10"/>
    <x v="9"/>
    <x v="3"/>
    <x v="1"/>
    <x v="8"/>
    <x v="134"/>
    <n v="17.856000000000002"/>
    <n v="4"/>
    <n v="0.2"/>
    <n v="1.1160000000000001"/>
    <n v="16.740000000000002"/>
  </r>
  <r>
    <x v="128"/>
    <d v="2015-12-24T00:00:00"/>
    <x v="1"/>
    <s v="Chad Sievert"/>
    <s v="Consumer"/>
    <s v="United States"/>
    <x v="80"/>
    <x v="5"/>
    <x v="2"/>
    <x v="1"/>
    <x v="7"/>
    <x v="8"/>
    <n v="88.8"/>
    <n v="4"/>
    <n v="0.2"/>
    <n v="-2.2200000000000002"/>
    <n v="91.02"/>
  </r>
  <r>
    <x v="129"/>
    <d v="2017-06-19T00:00:00"/>
    <x v="1"/>
    <s v="Clay Cheatham"/>
    <s v="Consumer"/>
    <s v="United States"/>
    <x v="8"/>
    <x v="1"/>
    <x v="1"/>
    <x v="2"/>
    <x v="11"/>
    <x v="59"/>
    <n v="47.975999999999999"/>
    <n v="3"/>
    <n v="0.2"/>
    <n v="4.7976000000000001"/>
    <n v="43.178399999999996"/>
  </r>
  <r>
    <x v="130"/>
    <d v="2017-07-12T00:00:00"/>
    <x v="1"/>
    <s v="Tamara Dahlen"/>
    <s v="Consumer"/>
    <s v="United States"/>
    <x v="81"/>
    <x v="31"/>
    <x v="3"/>
    <x v="1"/>
    <x v="8"/>
    <x v="135"/>
    <n v="7.56"/>
    <n v="3"/>
    <n v="0"/>
    <n v="3.0996000000000001"/>
    <n v="4.4603999999999999"/>
  </r>
  <r>
    <x v="131"/>
    <d v="2016-09-03T00:00:00"/>
    <x v="2"/>
    <s v="Adam Bellavance"/>
    <s v="Home Office"/>
    <s v="United States"/>
    <x v="19"/>
    <x v="15"/>
    <x v="3"/>
    <x v="2"/>
    <x v="12"/>
    <x v="104"/>
    <n v="6.79"/>
    <n v="1"/>
    <n v="0"/>
    <n v="2.3086000000000002"/>
    <n v="4.4813999999999998"/>
  </r>
  <r>
    <x v="132"/>
    <d v="2016-04-13T00:00:00"/>
    <x v="1"/>
    <s v="Jeremy Lonsdale"/>
    <s v="Consumer"/>
    <s v="United States"/>
    <x v="19"/>
    <x v="15"/>
    <x v="3"/>
    <x v="0"/>
    <x v="0"/>
    <x v="136"/>
    <n v="388.70400000000001"/>
    <n v="6"/>
    <n v="0.2"/>
    <n v="-4.8587999999999996"/>
    <n v="393.56279999999998"/>
  </r>
  <r>
    <x v="120"/>
    <d v="2016-04-28T00:00:00"/>
    <x v="1"/>
    <s v="Heather Kirkland"/>
    <s v="Corporate"/>
    <s v="United States"/>
    <x v="34"/>
    <x v="3"/>
    <x v="0"/>
    <x v="1"/>
    <x v="4"/>
    <x v="86"/>
    <n v="36.24"/>
    <n v="5"/>
    <n v="0.2"/>
    <n v="11.324999999999999"/>
    <n v="24.915000000000003"/>
  </r>
  <r>
    <x v="133"/>
    <d v="2017-03-11T00:00:00"/>
    <x v="2"/>
    <s v="Victoria Brennan"/>
    <s v="Corporate"/>
    <s v="United States"/>
    <x v="37"/>
    <x v="32"/>
    <x v="0"/>
    <x v="1"/>
    <x v="6"/>
    <x v="137"/>
    <n v="647.84"/>
    <n v="8"/>
    <n v="0"/>
    <n v="168.4384"/>
    <n v="479.40160000000003"/>
  </r>
  <r>
    <x v="134"/>
    <d v="2017-10-01T00:00:00"/>
    <x v="1"/>
    <s v="Katrina Willman"/>
    <s v="Consumer"/>
    <s v="United States"/>
    <x v="19"/>
    <x v="15"/>
    <x v="3"/>
    <x v="1"/>
    <x v="1"/>
    <x v="138"/>
    <n v="20.7"/>
    <n v="2"/>
    <n v="0"/>
    <n v="9.9359999999999999"/>
    <n v="10.763999999999999"/>
  </r>
  <r>
    <x v="135"/>
    <d v="2014-09-29T00:00:00"/>
    <x v="1"/>
    <s v="Julia Dunbar"/>
    <s v="Consumer"/>
    <s v="United States"/>
    <x v="8"/>
    <x v="1"/>
    <x v="1"/>
    <x v="1"/>
    <x v="7"/>
    <x v="20"/>
    <n v="211.96"/>
    <n v="4"/>
    <n v="0"/>
    <n v="8.4784000000000006"/>
    <n v="203.48160000000001"/>
  </r>
  <r>
    <x v="136"/>
    <d v="2016-10-21T00:00:00"/>
    <x v="3"/>
    <s v="Michael Kennedy"/>
    <s v="Corporate"/>
    <s v="United States"/>
    <x v="82"/>
    <x v="29"/>
    <x v="3"/>
    <x v="1"/>
    <x v="5"/>
    <x v="139"/>
    <n v="23.2"/>
    <n v="4"/>
    <n v="0"/>
    <n v="10.44"/>
    <n v="12.76"/>
  </r>
  <r>
    <x v="137"/>
    <d v="2017-06-04T00:00:00"/>
    <x v="1"/>
    <s v="Guy Thornton"/>
    <s v="Consumer"/>
    <s v="United States"/>
    <x v="83"/>
    <x v="5"/>
    <x v="2"/>
    <x v="1"/>
    <x v="4"/>
    <x v="140"/>
    <n v="25.92"/>
    <n v="5"/>
    <n v="0.2"/>
    <n v="9.3960000000000008"/>
    <n v="16.524000000000001"/>
  </r>
  <r>
    <x v="138"/>
    <d v="2014-07-27T00:00:00"/>
    <x v="1"/>
    <s v="Arthur Gainer"/>
    <s v="Consumer"/>
    <s v="United States"/>
    <x v="84"/>
    <x v="16"/>
    <x v="1"/>
    <x v="1"/>
    <x v="5"/>
    <x v="141"/>
    <n v="8.16"/>
    <n v="5"/>
    <n v="0.7"/>
    <n v="-5.7119999999999997"/>
    <n v="13.872"/>
  </r>
  <r>
    <x v="139"/>
    <d v="2016-10-01T00:00:00"/>
    <x v="2"/>
    <s v="Muhammed MacIntyre"/>
    <s v="Corporate"/>
    <s v="United States"/>
    <x v="85"/>
    <x v="10"/>
    <x v="2"/>
    <x v="1"/>
    <x v="4"/>
    <x v="142"/>
    <n v="99.135999999999996"/>
    <n v="4"/>
    <n v="0.2"/>
    <n v="30.98"/>
    <n v="68.155999999999992"/>
  </r>
  <r>
    <x v="140"/>
    <d v="2017-09-01T00:00:00"/>
    <x v="1"/>
    <s v="Allen Rosenblatt"/>
    <s v="Corporate"/>
    <s v="United States"/>
    <x v="44"/>
    <x v="31"/>
    <x v="3"/>
    <x v="0"/>
    <x v="2"/>
    <x v="143"/>
    <n v="1488.424"/>
    <n v="7"/>
    <n v="0.3"/>
    <n v="-297.6848"/>
    <n v="1786.1088"/>
  </r>
  <r>
    <x v="92"/>
    <d v="2016-10-29T00:00:00"/>
    <x v="2"/>
    <s v="Alejandro Savely"/>
    <s v="Corporate"/>
    <s v="United States"/>
    <x v="8"/>
    <x v="1"/>
    <x v="1"/>
    <x v="1"/>
    <x v="4"/>
    <x v="144"/>
    <n v="50.96"/>
    <n v="7"/>
    <n v="0"/>
    <n v="25.48"/>
    <n v="25.48"/>
  </r>
  <r>
    <x v="141"/>
    <d v="2015-06-29T00:00:00"/>
    <x v="0"/>
    <s v="Laura Armstrong"/>
    <s v="Corporate"/>
    <s v="United States"/>
    <x v="71"/>
    <x v="12"/>
    <x v="2"/>
    <x v="2"/>
    <x v="12"/>
    <x v="145"/>
    <n v="41.9"/>
    <n v="2"/>
    <n v="0"/>
    <n v="8.7989999999999995"/>
    <n v="33.100999999999999"/>
  </r>
  <r>
    <x v="142"/>
    <d v="2015-12-02T00:00:00"/>
    <x v="1"/>
    <s v="Denny Ordway"/>
    <s v="Consumer"/>
    <s v="United States"/>
    <x v="86"/>
    <x v="2"/>
    <x v="0"/>
    <x v="0"/>
    <x v="2"/>
    <x v="146"/>
    <n v="375.45749999999998"/>
    <n v="3"/>
    <n v="0.45"/>
    <n v="-157.0095"/>
    <n v="532.46699999999998"/>
  </r>
  <r>
    <x v="143"/>
    <d v="2015-12-07T00:00:00"/>
    <x v="1"/>
    <s v="Dean Katz"/>
    <s v="Corporate"/>
    <s v="United States"/>
    <x v="10"/>
    <x v="9"/>
    <x v="3"/>
    <x v="2"/>
    <x v="14"/>
    <x v="147"/>
    <n v="482.34"/>
    <n v="4"/>
    <n v="0.7"/>
    <n v="-337.63799999999998"/>
    <n v="819.97799999999995"/>
  </r>
  <r>
    <x v="144"/>
    <d v="2014-11-26T00:00:00"/>
    <x v="2"/>
    <s v="Nathan Gelder"/>
    <s v="Consumer"/>
    <s v="United States"/>
    <x v="68"/>
    <x v="24"/>
    <x v="3"/>
    <x v="1"/>
    <x v="8"/>
    <x v="148"/>
    <n v="2.6240000000000001"/>
    <n v="1"/>
    <n v="0.2"/>
    <n v="0.4264"/>
    <n v="2.1976"/>
  </r>
  <r>
    <x v="145"/>
    <d v="2017-12-15T00:00:00"/>
    <x v="1"/>
    <s v="Mike Vittorini"/>
    <s v="Consumer"/>
    <s v="United States"/>
    <x v="19"/>
    <x v="15"/>
    <x v="3"/>
    <x v="1"/>
    <x v="5"/>
    <x v="149"/>
    <n v="23.36"/>
    <n v="4"/>
    <n v="0.2"/>
    <n v="7.8840000000000003"/>
    <n v="15.475999999999999"/>
  </r>
  <r>
    <x v="146"/>
    <d v="2014-09-23T00:00:00"/>
    <x v="0"/>
    <s v="Jack Garza"/>
    <s v="Consumer"/>
    <s v="United States"/>
    <x v="87"/>
    <x v="4"/>
    <x v="1"/>
    <x v="2"/>
    <x v="11"/>
    <x v="150"/>
    <n v="246.38399999999999"/>
    <n v="2"/>
    <n v="0.2"/>
    <n v="27.7182"/>
    <n v="218.66579999999999"/>
  </r>
  <r>
    <x v="147"/>
    <d v="2014-06-10T00:00:00"/>
    <x v="0"/>
    <s v="Bart Pistole"/>
    <s v="Corporate"/>
    <s v="United States"/>
    <x v="88"/>
    <x v="10"/>
    <x v="2"/>
    <x v="1"/>
    <x v="5"/>
    <x v="151"/>
    <n v="12.462"/>
    <n v="3"/>
    <n v="0.8"/>
    <n v="-20.5623"/>
    <n v="33.024299999999997"/>
  </r>
  <r>
    <x v="148"/>
    <d v="2017-07-05T00:00:00"/>
    <x v="1"/>
    <s v="Victor Preis"/>
    <s v="Home Office"/>
    <s v="United States"/>
    <x v="89"/>
    <x v="33"/>
    <x v="1"/>
    <x v="1"/>
    <x v="5"/>
    <x v="152"/>
    <n v="75.792000000000002"/>
    <n v="3"/>
    <n v="0.2"/>
    <n v="25.579799999999999"/>
    <n v="50.212200000000003"/>
  </r>
  <r>
    <x v="149"/>
    <d v="2017-10-19T00:00:00"/>
    <x v="0"/>
    <s v="Saphhira Shifley"/>
    <s v="Corporate"/>
    <s v="United States"/>
    <x v="90"/>
    <x v="34"/>
    <x v="3"/>
    <x v="1"/>
    <x v="7"/>
    <x v="153"/>
    <n v="49.96"/>
    <n v="2"/>
    <n v="0"/>
    <n v="9.4923999999999999"/>
    <n v="40.467600000000004"/>
  </r>
  <r>
    <x v="82"/>
    <d v="2015-11-04T00:00:00"/>
    <x v="1"/>
    <s v="Harold Pawlan"/>
    <s v="Home Office"/>
    <s v="United States"/>
    <x v="24"/>
    <x v="12"/>
    <x v="2"/>
    <x v="1"/>
    <x v="15"/>
    <x v="154"/>
    <n v="70.12"/>
    <n v="4"/>
    <n v="0"/>
    <n v="21.036000000000001"/>
    <n v="49.084000000000003"/>
  </r>
  <r>
    <x v="150"/>
    <d v="2016-09-10T00:00:00"/>
    <x v="0"/>
    <s v="Anna Gayman"/>
    <s v="Consumer"/>
    <s v="United States"/>
    <x v="12"/>
    <x v="5"/>
    <x v="2"/>
    <x v="1"/>
    <x v="7"/>
    <x v="155"/>
    <n v="35.951999999999998"/>
    <n v="3"/>
    <n v="0.2"/>
    <n v="3.5952000000000002"/>
    <n v="32.3568"/>
  </r>
  <r>
    <x v="151"/>
    <d v="2014-12-26T00:00:00"/>
    <x v="2"/>
    <s v="Luke Foster"/>
    <s v="Consumer"/>
    <s v="United States"/>
    <x v="91"/>
    <x v="2"/>
    <x v="0"/>
    <x v="1"/>
    <x v="4"/>
    <x v="156"/>
    <n v="9.5679999999999996"/>
    <n v="2"/>
    <n v="0.2"/>
    <n v="3.4683999999999999"/>
    <n v="6.0995999999999997"/>
  </r>
  <r>
    <x v="152"/>
    <d v="2014-04-20T00:00:00"/>
    <x v="1"/>
    <s v="Stephanie Phelps"/>
    <s v="Corporate"/>
    <s v="United States"/>
    <x v="92"/>
    <x v="3"/>
    <x v="0"/>
    <x v="1"/>
    <x v="8"/>
    <x v="157"/>
    <n v="39.072000000000003"/>
    <n v="6"/>
    <n v="0.2"/>
    <n v="9.7680000000000007"/>
    <n v="29.304000000000002"/>
  </r>
  <r>
    <x v="153"/>
    <d v="2017-12-29T00:00:00"/>
    <x v="1"/>
    <s v="Roy Französisch"/>
    <s v="Consumer"/>
    <s v="United States"/>
    <x v="19"/>
    <x v="15"/>
    <x v="3"/>
    <x v="1"/>
    <x v="6"/>
    <x v="158"/>
    <n v="35.909999999999997"/>
    <n v="3"/>
    <n v="0"/>
    <n v="9.6957000000000004"/>
    <n v="26.214299999999994"/>
  </r>
  <r>
    <x v="154"/>
    <d v="2017-12-12T00:00:00"/>
    <x v="1"/>
    <s v="Keith Herrera"/>
    <s v="Consumer"/>
    <s v="United States"/>
    <x v="8"/>
    <x v="1"/>
    <x v="1"/>
    <x v="2"/>
    <x v="12"/>
    <x v="159"/>
    <n v="179.95"/>
    <n v="5"/>
    <n v="0"/>
    <n v="37.789499999999997"/>
    <n v="142.16049999999998"/>
  </r>
  <r>
    <x v="121"/>
    <d v="2017-11-07T00:00:00"/>
    <x v="1"/>
    <s v="Kimberly Carter"/>
    <s v="Corporate"/>
    <s v="United States"/>
    <x v="4"/>
    <x v="4"/>
    <x v="1"/>
    <x v="1"/>
    <x v="4"/>
    <x v="160"/>
    <n v="139.86000000000001"/>
    <n v="7"/>
    <n v="0"/>
    <n v="65.734200000000001"/>
    <n v="74.125800000000012"/>
  </r>
  <r>
    <x v="85"/>
    <d v="2017-06-28T00:00:00"/>
    <x v="1"/>
    <s v="Caroline Jumper"/>
    <s v="Consumer"/>
    <s v="United States"/>
    <x v="93"/>
    <x v="1"/>
    <x v="1"/>
    <x v="1"/>
    <x v="8"/>
    <x v="161"/>
    <n v="95.92"/>
    <n v="8"/>
    <n v="0"/>
    <n v="25.898399999999999"/>
    <n v="70.021600000000007"/>
  </r>
  <r>
    <x v="155"/>
    <d v="2016-04-18T00:00:00"/>
    <x v="1"/>
    <s v="Philip Brown"/>
    <s v="Consumer"/>
    <s v="United States"/>
    <x v="1"/>
    <x v="1"/>
    <x v="1"/>
    <x v="0"/>
    <x v="9"/>
    <x v="162"/>
    <n v="383.8"/>
    <n v="5"/>
    <n v="0.2"/>
    <n v="38.380000000000003"/>
    <n v="345.42"/>
  </r>
  <r>
    <x v="43"/>
    <d v="2017-11-10T00:00:00"/>
    <x v="1"/>
    <s v="Victoria Brennan"/>
    <s v="Corporate"/>
    <s v="United States"/>
    <x v="94"/>
    <x v="0"/>
    <x v="0"/>
    <x v="1"/>
    <x v="4"/>
    <x v="163"/>
    <n v="5.78"/>
    <n v="1"/>
    <n v="0"/>
    <n v="2.8321999999999998"/>
    <n v="2.9478000000000004"/>
  </r>
  <r>
    <x v="156"/>
    <d v="2017-03-09T00:00:00"/>
    <x v="1"/>
    <s v="Sung Pak"/>
    <s v="Corporate"/>
    <s v="United States"/>
    <x v="1"/>
    <x v="1"/>
    <x v="1"/>
    <x v="1"/>
    <x v="8"/>
    <x v="164"/>
    <n v="9.32"/>
    <n v="4"/>
    <n v="0"/>
    <n v="2.7027999999999999"/>
    <n v="6.6172000000000004"/>
  </r>
  <r>
    <x v="157"/>
    <d v="2014-06-25T00:00:00"/>
    <x v="2"/>
    <s v="Joel Eaton"/>
    <s v="Consumer"/>
    <s v="United States"/>
    <x v="95"/>
    <x v="22"/>
    <x v="1"/>
    <x v="2"/>
    <x v="12"/>
    <x v="165"/>
    <n v="196.75200000000001"/>
    <n v="6"/>
    <n v="0.2"/>
    <n v="56.566200000000002"/>
    <n v="140.1858"/>
  </r>
  <r>
    <x v="158"/>
    <d v="2017-08-23T00:00:00"/>
    <x v="0"/>
    <s v="Natalie Fritzler"/>
    <s v="Consumer"/>
    <s v="United States"/>
    <x v="24"/>
    <x v="35"/>
    <x v="0"/>
    <x v="0"/>
    <x v="9"/>
    <x v="166"/>
    <n v="866.4"/>
    <n v="4"/>
    <n v="0"/>
    <n v="225.26400000000001"/>
    <n v="641.13599999999997"/>
  </r>
  <r>
    <x v="50"/>
    <d v="2017-11-26T00:00:00"/>
    <x v="0"/>
    <s v="Janet Molinari"/>
    <s v="Corporate"/>
    <s v="United States"/>
    <x v="96"/>
    <x v="12"/>
    <x v="2"/>
    <x v="0"/>
    <x v="3"/>
    <x v="167"/>
    <n v="28.4"/>
    <n v="2"/>
    <n v="0"/>
    <n v="11.076000000000001"/>
    <n v="17.323999999999998"/>
  </r>
  <r>
    <x v="159"/>
    <d v="2014-09-13T00:00:00"/>
    <x v="2"/>
    <s v="Shirley Daniels"/>
    <s v="Home Office"/>
    <s v="United States"/>
    <x v="97"/>
    <x v="15"/>
    <x v="3"/>
    <x v="2"/>
    <x v="14"/>
    <x v="168"/>
    <n v="69.989999999999995"/>
    <n v="1"/>
    <n v="0"/>
    <n v="30.095700000000001"/>
    <n v="39.894299999999994"/>
  </r>
  <r>
    <x v="160"/>
    <d v="2017-10-08T00:00:00"/>
    <x v="1"/>
    <s v="Ken Heidel"/>
    <s v="Corporate"/>
    <s v="United States"/>
    <x v="49"/>
    <x v="5"/>
    <x v="2"/>
    <x v="1"/>
    <x v="8"/>
    <x v="169"/>
    <n v="6.6719999999999997"/>
    <n v="6"/>
    <n v="0.2"/>
    <n v="0.50039999999999996"/>
    <n v="6.1715999999999998"/>
  </r>
  <r>
    <x v="161"/>
    <d v="2016-04-21T00:00:00"/>
    <x v="1"/>
    <s v="Ross Baird"/>
    <s v="Home Office"/>
    <s v="United States"/>
    <x v="98"/>
    <x v="3"/>
    <x v="0"/>
    <x v="1"/>
    <x v="5"/>
    <x v="170"/>
    <n v="189.58799999999999"/>
    <n v="2"/>
    <n v="0.7"/>
    <n v="-145.35079999999999"/>
    <n v="334.93880000000001"/>
  </r>
  <r>
    <x v="104"/>
    <d v="2016-06-07T00:00:00"/>
    <x v="2"/>
    <s v="Dave Brooks"/>
    <s v="Consumer"/>
    <s v="United States"/>
    <x v="81"/>
    <x v="31"/>
    <x v="3"/>
    <x v="1"/>
    <x v="7"/>
    <x v="171"/>
    <n v="714.3"/>
    <n v="5"/>
    <n v="0"/>
    <n v="207.14699999999999"/>
    <n v="507.15299999999996"/>
  </r>
  <r>
    <x v="162"/>
    <d v="2014-12-25T00:00:00"/>
    <x v="1"/>
    <s v="Mike Kennedy"/>
    <s v="Consumer"/>
    <s v="United States"/>
    <x v="99"/>
    <x v="2"/>
    <x v="0"/>
    <x v="1"/>
    <x v="5"/>
    <x v="172"/>
    <n v="4.8120000000000003"/>
    <n v="2"/>
    <n v="0.7"/>
    <n v="-3.6892"/>
    <n v="8.5012000000000008"/>
  </r>
  <r>
    <x v="1"/>
    <d v="2016-06-14T00:00:00"/>
    <x v="0"/>
    <s v="Philisse Overcash"/>
    <s v="Home Office"/>
    <s v="United States"/>
    <x v="21"/>
    <x v="10"/>
    <x v="2"/>
    <x v="2"/>
    <x v="14"/>
    <x v="173"/>
    <n v="1007.979"/>
    <n v="3"/>
    <n v="0.3"/>
    <n v="43.199100000000001"/>
    <n v="964.7799"/>
  </r>
  <r>
    <x v="163"/>
    <d v="2017-09-19T00:00:00"/>
    <x v="1"/>
    <s v="Brenda Bowman"/>
    <s v="Corporate"/>
    <s v="United States"/>
    <x v="12"/>
    <x v="5"/>
    <x v="2"/>
    <x v="1"/>
    <x v="4"/>
    <x v="174"/>
    <n v="31.872"/>
    <n v="8"/>
    <n v="0.2"/>
    <n v="11.553599999999999"/>
    <n v="20.3184"/>
  </r>
  <r>
    <x v="164"/>
    <d v="2017-01-23T00:00:00"/>
    <x v="0"/>
    <s v="Cynthia Voltz"/>
    <s v="Corporate"/>
    <s v="United States"/>
    <x v="19"/>
    <x v="15"/>
    <x v="3"/>
    <x v="0"/>
    <x v="9"/>
    <x v="175"/>
    <n v="207.846"/>
    <n v="3"/>
    <n v="0.1"/>
    <n v="2.3094000000000001"/>
    <n v="205.53659999999999"/>
  </r>
  <r>
    <x v="165"/>
    <d v="2017-03-25T00:00:00"/>
    <x v="0"/>
    <s v="Troy Blackwell"/>
    <s v="Consumer"/>
    <s v="United States"/>
    <x v="37"/>
    <x v="14"/>
    <x v="2"/>
    <x v="0"/>
    <x v="3"/>
    <x v="176"/>
    <n v="2.91"/>
    <n v="1"/>
    <n v="0"/>
    <n v="1.3676999999999999"/>
    <n v="1.5423000000000002"/>
  </r>
  <r>
    <x v="166"/>
    <d v="2016-04-03T00:00:00"/>
    <x v="0"/>
    <s v="Raymond Buch"/>
    <s v="Consumer"/>
    <s v="United States"/>
    <x v="100"/>
    <x v="15"/>
    <x v="3"/>
    <x v="1"/>
    <x v="8"/>
    <x v="177"/>
    <n v="59.52"/>
    <n v="3"/>
    <n v="0"/>
    <n v="15.475199999999999"/>
    <n v="44.044800000000002"/>
  </r>
  <r>
    <x v="167"/>
    <d v="2017-10-24T00:00:00"/>
    <x v="1"/>
    <s v="Ed Braxton"/>
    <s v="Corporate"/>
    <s v="United States"/>
    <x v="55"/>
    <x v="24"/>
    <x v="3"/>
    <x v="0"/>
    <x v="2"/>
    <x v="178"/>
    <n v="284.36399999999998"/>
    <n v="2"/>
    <n v="0.4"/>
    <n v="-75.830399999999997"/>
    <n v="360.19439999999997"/>
  </r>
  <r>
    <x v="168"/>
    <d v="2014-02-18T00:00:00"/>
    <x v="1"/>
    <s v="Sanjit Chand"/>
    <s v="Consumer"/>
    <s v="United States"/>
    <x v="3"/>
    <x v="1"/>
    <x v="1"/>
    <x v="0"/>
    <x v="9"/>
    <x v="179"/>
    <n v="129.56800000000001"/>
    <n v="2"/>
    <n v="0.2"/>
    <n v="-24.294"/>
    <n v="153.86200000000002"/>
  </r>
  <r>
    <x v="77"/>
    <d v="2015-12-22T00:00:00"/>
    <x v="1"/>
    <s v="Joseph Holt"/>
    <s v="Consumer"/>
    <s v="United States"/>
    <x v="4"/>
    <x v="4"/>
    <x v="1"/>
    <x v="1"/>
    <x v="6"/>
    <x v="180"/>
    <n v="103.92"/>
    <n v="4"/>
    <n v="0"/>
    <n v="36.372"/>
    <n v="67.548000000000002"/>
  </r>
  <r>
    <x v="169"/>
    <d v="2015-01-24T00:00:00"/>
    <x v="1"/>
    <s v="Joni Sundaresam"/>
    <s v="Home Office"/>
    <s v="United States"/>
    <x v="101"/>
    <x v="10"/>
    <x v="2"/>
    <x v="0"/>
    <x v="3"/>
    <x v="181"/>
    <n v="254.744"/>
    <n v="7"/>
    <n v="0.6"/>
    <n v="-312.06139999999999"/>
    <n v="566.80539999999996"/>
  </r>
  <r>
    <x v="170"/>
    <d v="2017-04-04T00:00:00"/>
    <x v="1"/>
    <s v="David Smith"/>
    <s v="Corporate"/>
    <s v="United States"/>
    <x v="102"/>
    <x v="5"/>
    <x v="2"/>
    <x v="0"/>
    <x v="0"/>
    <x v="182"/>
    <n v="205.33279999999999"/>
    <n v="2"/>
    <n v="0.32"/>
    <n v="-36.235199999999999"/>
    <n v="241.56799999999998"/>
  </r>
  <r>
    <x v="171"/>
    <d v="2014-11-11T00:00:00"/>
    <x v="0"/>
    <s v="Jeremy Pistek"/>
    <s v="Consumer"/>
    <s v="United States"/>
    <x v="8"/>
    <x v="1"/>
    <x v="1"/>
    <x v="1"/>
    <x v="7"/>
    <x v="183"/>
    <n v="340.92"/>
    <n v="3"/>
    <n v="0"/>
    <n v="3.4091999999999998"/>
    <n v="337.51080000000002"/>
  </r>
  <r>
    <x v="172"/>
    <d v="2016-07-19T00:00:00"/>
    <x v="1"/>
    <s v="Kristen Hastings"/>
    <s v="Corporate"/>
    <s v="United States"/>
    <x v="1"/>
    <x v="1"/>
    <x v="1"/>
    <x v="2"/>
    <x v="11"/>
    <x v="184"/>
    <n v="95.76"/>
    <n v="6"/>
    <n v="0.2"/>
    <n v="7.1820000000000004"/>
    <n v="88.578000000000003"/>
  </r>
  <r>
    <x v="173"/>
    <d v="2016-11-02T00:00:00"/>
    <x v="1"/>
    <s v="Jeremy Ellison"/>
    <s v="Consumer"/>
    <s v="United States"/>
    <x v="20"/>
    <x v="15"/>
    <x v="3"/>
    <x v="0"/>
    <x v="3"/>
    <x v="118"/>
    <n v="40.200000000000003"/>
    <n v="3"/>
    <n v="0"/>
    <n v="19.295999999999999"/>
    <n v="20.904000000000003"/>
  </r>
  <r>
    <x v="174"/>
    <d v="2016-07-02T00:00:00"/>
    <x v="1"/>
    <s v="John Grady"/>
    <s v="Corporate"/>
    <s v="United States"/>
    <x v="19"/>
    <x v="15"/>
    <x v="3"/>
    <x v="1"/>
    <x v="8"/>
    <x v="185"/>
    <n v="14.7"/>
    <n v="5"/>
    <n v="0"/>
    <n v="6.6150000000000002"/>
    <n v="8.0849999999999991"/>
  </r>
  <r>
    <x v="175"/>
    <d v="2014-10-10T00:00:00"/>
    <x v="1"/>
    <s v="Xylona Preis"/>
    <s v="Consumer"/>
    <s v="United States"/>
    <x v="65"/>
    <x v="1"/>
    <x v="1"/>
    <x v="2"/>
    <x v="12"/>
    <x v="186"/>
    <n v="9.09"/>
    <n v="3"/>
    <n v="0"/>
    <n v="1.9089"/>
    <n v="7.1810999999999998"/>
  </r>
  <r>
    <x v="176"/>
    <d v="2017-06-13T00:00:00"/>
    <x v="2"/>
    <s v="Michelle Tran"/>
    <s v="Home Office"/>
    <s v="United States"/>
    <x v="1"/>
    <x v="1"/>
    <x v="1"/>
    <x v="1"/>
    <x v="1"/>
    <x v="187"/>
    <n v="29.6"/>
    <n v="2"/>
    <n v="0"/>
    <n v="14.8"/>
    <n v="14.8"/>
  </r>
  <r>
    <x v="177"/>
    <d v="2014-10-31T00:00:00"/>
    <x v="2"/>
    <s v="Sue Ann Reed"/>
    <s v="Consumer"/>
    <s v="United States"/>
    <x v="21"/>
    <x v="10"/>
    <x v="2"/>
    <x v="2"/>
    <x v="11"/>
    <x v="188"/>
    <n v="2735.9520000000002"/>
    <n v="6"/>
    <n v="0.2"/>
    <n v="341.99400000000003"/>
    <n v="2393.9580000000001"/>
  </r>
  <r>
    <x v="3"/>
    <d v="2014-06-13T00:00:00"/>
    <x v="0"/>
    <s v="Carl Weiss"/>
    <s v="Home Office"/>
    <s v="United States"/>
    <x v="103"/>
    <x v="5"/>
    <x v="2"/>
    <x v="2"/>
    <x v="11"/>
    <x v="189"/>
    <n v="7.992"/>
    <n v="1"/>
    <n v="0.2"/>
    <n v="0.59940000000000004"/>
    <n v="7.3925999999999998"/>
  </r>
  <r>
    <x v="178"/>
    <d v="2016-05-14T00:00:00"/>
    <x v="1"/>
    <s v="Sonia Sunley"/>
    <s v="Consumer"/>
    <s v="United States"/>
    <x v="4"/>
    <x v="4"/>
    <x v="1"/>
    <x v="2"/>
    <x v="12"/>
    <x v="190"/>
    <n v="93.98"/>
    <n v="2"/>
    <n v="0"/>
    <n v="13.1572"/>
    <n v="80.822800000000001"/>
  </r>
  <r>
    <x v="179"/>
    <d v="2016-03-21T00:00:00"/>
    <x v="0"/>
    <s v="Rose O'Brian"/>
    <s v="Consumer"/>
    <s v="United States"/>
    <x v="25"/>
    <x v="18"/>
    <x v="0"/>
    <x v="0"/>
    <x v="2"/>
    <x v="191"/>
    <n v="189.88200000000001"/>
    <n v="3"/>
    <n v="0.4"/>
    <n v="-94.941000000000003"/>
    <n v="284.82299999999998"/>
  </r>
  <r>
    <x v="180"/>
    <d v="2016-07-31T00:00:00"/>
    <x v="1"/>
    <s v="Sanjit Chand"/>
    <s v="Consumer"/>
    <s v="United States"/>
    <x v="104"/>
    <x v="1"/>
    <x v="1"/>
    <x v="1"/>
    <x v="5"/>
    <x v="192"/>
    <n v="119.616"/>
    <n v="8"/>
    <n v="0.2"/>
    <n v="40.370399999999997"/>
    <n v="79.245599999999996"/>
  </r>
  <r>
    <x v="181"/>
    <d v="2016-06-04T00:00:00"/>
    <x v="1"/>
    <s v="Maribeth Yedwab"/>
    <s v="Corporate"/>
    <s v="United States"/>
    <x v="105"/>
    <x v="22"/>
    <x v="1"/>
    <x v="1"/>
    <x v="5"/>
    <x v="193"/>
    <n v="22.62"/>
    <n v="2"/>
    <n v="0.7"/>
    <n v="-15.08"/>
    <n v="37.700000000000003"/>
  </r>
  <r>
    <x v="182"/>
    <d v="2017-11-15T00:00:00"/>
    <x v="0"/>
    <s v="Ed Braxton"/>
    <s v="Corporate"/>
    <s v="United States"/>
    <x v="19"/>
    <x v="15"/>
    <x v="3"/>
    <x v="1"/>
    <x v="5"/>
    <x v="194"/>
    <n v="15.92"/>
    <n v="5"/>
    <n v="0.2"/>
    <n v="5.3730000000000002"/>
    <n v="10.547000000000001"/>
  </r>
  <r>
    <x v="183"/>
    <d v="2015-03-22T00:00:00"/>
    <x v="1"/>
    <s v="Christopher Martinez"/>
    <s v="Consumer"/>
    <s v="United States"/>
    <x v="106"/>
    <x v="32"/>
    <x v="0"/>
    <x v="1"/>
    <x v="8"/>
    <x v="195"/>
    <n v="2.74"/>
    <n v="1"/>
    <n v="0"/>
    <n v="0.73980000000000001"/>
    <n v="2.0002000000000004"/>
  </r>
  <r>
    <x v="184"/>
    <d v="2017-11-27T00:00:00"/>
    <x v="2"/>
    <s v="Lynn Smith"/>
    <s v="Consumer"/>
    <s v="United States"/>
    <x v="107"/>
    <x v="25"/>
    <x v="2"/>
    <x v="0"/>
    <x v="3"/>
    <x v="196"/>
    <n v="126.3"/>
    <n v="3"/>
    <n v="0"/>
    <n v="40.415999999999997"/>
    <n v="85.884"/>
  </r>
  <r>
    <x v="185"/>
    <d v="2016-10-23T00:00:00"/>
    <x v="2"/>
    <s v="Luke Foster"/>
    <s v="Consumer"/>
    <s v="United States"/>
    <x v="43"/>
    <x v="24"/>
    <x v="3"/>
    <x v="1"/>
    <x v="8"/>
    <x v="35"/>
    <n v="7.1520000000000001"/>
    <n v="3"/>
    <n v="0.2"/>
    <n v="0.71519999999999995"/>
    <n v="6.4367999999999999"/>
  </r>
  <r>
    <x v="186"/>
    <d v="2017-12-25T00:00:00"/>
    <x v="1"/>
    <s v="Bradley Nguyen"/>
    <s v="Consumer"/>
    <s v="United States"/>
    <x v="1"/>
    <x v="1"/>
    <x v="1"/>
    <x v="1"/>
    <x v="8"/>
    <x v="197"/>
    <n v="6.63"/>
    <n v="3"/>
    <n v="0"/>
    <n v="1.7901"/>
    <n v="4.8399000000000001"/>
  </r>
  <r>
    <x v="187"/>
    <d v="2017-01-27T00:00:00"/>
    <x v="1"/>
    <s v="Alan Dominguez"/>
    <s v="Home Office"/>
    <s v="United States"/>
    <x v="108"/>
    <x v="36"/>
    <x v="1"/>
    <x v="2"/>
    <x v="16"/>
    <x v="198"/>
    <n v="2999.95"/>
    <n v="5"/>
    <n v="0"/>
    <n v="1379.9770000000001"/>
    <n v="1619.9729999999997"/>
  </r>
  <r>
    <x v="188"/>
    <d v="2015-03-26T00:00:00"/>
    <x v="1"/>
    <s v="Dean Braden"/>
    <s v="Consumer"/>
    <s v="United States"/>
    <x v="12"/>
    <x v="5"/>
    <x v="2"/>
    <x v="2"/>
    <x v="12"/>
    <x v="19"/>
    <n v="18.391999999999999"/>
    <n v="1"/>
    <n v="0.2"/>
    <n v="5.2877000000000001"/>
    <n v="13.104299999999999"/>
  </r>
  <r>
    <x v="189"/>
    <d v="2017-01-25T00:00:00"/>
    <x v="2"/>
    <s v="Matt Connell"/>
    <s v="Corporate"/>
    <s v="United States"/>
    <x v="62"/>
    <x v="12"/>
    <x v="2"/>
    <x v="0"/>
    <x v="2"/>
    <x v="191"/>
    <n v="210.98"/>
    <n v="2"/>
    <n v="0"/>
    <n v="21.097999999999999"/>
    <n v="189.88200000000001"/>
  </r>
  <r>
    <x v="190"/>
    <d v="2016-05-23T00:00:00"/>
    <x v="2"/>
    <s v="Logan Haushalter"/>
    <s v="Consumer"/>
    <s v="United States"/>
    <x v="1"/>
    <x v="1"/>
    <x v="1"/>
    <x v="2"/>
    <x v="11"/>
    <x v="199"/>
    <n v="55.176000000000002"/>
    <n v="3"/>
    <n v="0.2"/>
    <n v="-12.4146"/>
    <n v="67.590599999999995"/>
  </r>
  <r>
    <x v="191"/>
    <d v="2016-01-02T00:00:00"/>
    <x v="1"/>
    <s v="Brian Dahlen"/>
    <s v="Consumer"/>
    <s v="United States"/>
    <x v="109"/>
    <x v="31"/>
    <x v="3"/>
    <x v="1"/>
    <x v="13"/>
    <x v="200"/>
    <n v="22.2"/>
    <n v="5"/>
    <n v="0"/>
    <n v="10.433999999999999"/>
    <n v="11.766"/>
  </r>
  <r>
    <x v="192"/>
    <d v="2017-10-26T00:00:00"/>
    <x v="1"/>
    <s v="Patricia Hirasaki"/>
    <s v="Home Office"/>
    <s v="United States"/>
    <x v="110"/>
    <x v="2"/>
    <x v="0"/>
    <x v="0"/>
    <x v="9"/>
    <x v="201"/>
    <n v="683.952"/>
    <n v="3"/>
    <n v="0.2"/>
    <n v="42.747"/>
    <n v="641.20500000000004"/>
  </r>
  <r>
    <x v="36"/>
    <d v="2015-09-07T00:00:00"/>
    <x v="1"/>
    <s v="Mike Gockenbach"/>
    <s v="Consumer"/>
    <s v="United States"/>
    <x v="10"/>
    <x v="9"/>
    <x v="3"/>
    <x v="1"/>
    <x v="7"/>
    <x v="202"/>
    <n v="36.335999999999999"/>
    <n v="3"/>
    <n v="0.2"/>
    <n v="-7.2671999999999999"/>
    <n v="43.603200000000001"/>
  </r>
  <r>
    <x v="193"/>
    <d v="2015-11-09T00:00:00"/>
    <x v="0"/>
    <s v="Karen Bern"/>
    <s v="Corporate"/>
    <s v="United States"/>
    <x v="1"/>
    <x v="1"/>
    <x v="1"/>
    <x v="0"/>
    <x v="9"/>
    <x v="203"/>
    <n v="190.72"/>
    <n v="1"/>
    <n v="0.2"/>
    <n v="11.92"/>
    <n v="178.8"/>
  </r>
  <r>
    <x v="194"/>
    <d v="2017-09-11T00:00:00"/>
    <x v="1"/>
    <s v="Jasper Cacioppo"/>
    <s v="Consumer"/>
    <s v="United States"/>
    <x v="1"/>
    <x v="1"/>
    <x v="1"/>
    <x v="0"/>
    <x v="3"/>
    <x v="204"/>
    <n v="47.94"/>
    <n v="3"/>
    <n v="0"/>
    <n v="2.3969999999999998"/>
    <n v="45.542999999999999"/>
  </r>
  <r>
    <x v="195"/>
    <d v="2016-06-01T00:00:00"/>
    <x v="0"/>
    <s v="Rob Lucas"/>
    <s v="Consumer"/>
    <s v="United States"/>
    <x v="111"/>
    <x v="19"/>
    <x v="0"/>
    <x v="2"/>
    <x v="11"/>
    <x v="205"/>
    <n v="979.95"/>
    <n v="5"/>
    <n v="0"/>
    <n v="274.38600000000002"/>
    <n v="705.56400000000008"/>
  </r>
  <r>
    <x v="196"/>
    <d v="2016-07-16T00:00:00"/>
    <x v="1"/>
    <s v="Allen Armold"/>
    <s v="Consumer"/>
    <s v="United States"/>
    <x v="112"/>
    <x v="16"/>
    <x v="1"/>
    <x v="1"/>
    <x v="7"/>
    <x v="206"/>
    <n v="16.768000000000001"/>
    <n v="2"/>
    <n v="0.2"/>
    <n v="1.4672000000000001"/>
    <n v="15.300800000000001"/>
  </r>
  <r>
    <x v="197"/>
    <d v="2017-09-08T00:00:00"/>
    <x v="0"/>
    <s v="Emily Phan"/>
    <s v="Consumer"/>
    <s v="United States"/>
    <x v="21"/>
    <x v="10"/>
    <x v="2"/>
    <x v="1"/>
    <x v="5"/>
    <x v="207"/>
    <n v="42.616"/>
    <n v="7"/>
    <n v="0.8"/>
    <n v="-68.185599999999994"/>
    <n v="110.80159999999999"/>
  </r>
  <r>
    <x v="143"/>
    <d v="2015-12-08T00:00:00"/>
    <x v="1"/>
    <s v="Mark Packer"/>
    <s v="Home Office"/>
    <s v="United States"/>
    <x v="19"/>
    <x v="15"/>
    <x v="3"/>
    <x v="1"/>
    <x v="5"/>
    <x v="208"/>
    <n v="10.752000000000001"/>
    <n v="4"/>
    <n v="0.2"/>
    <n v="3.36"/>
    <n v="7.3920000000000012"/>
  </r>
  <r>
    <x v="198"/>
    <d v="2015-12-11T00:00:00"/>
    <x v="1"/>
    <s v="Darren Koutras"/>
    <s v="Consumer"/>
    <s v="United States"/>
    <x v="0"/>
    <x v="0"/>
    <x v="0"/>
    <x v="1"/>
    <x v="6"/>
    <x v="209"/>
    <n v="152.94"/>
    <n v="3"/>
    <n v="0"/>
    <n v="41.293799999999997"/>
    <n v="111.64619999999999"/>
  </r>
  <r>
    <x v="199"/>
    <d v="2014-02-03T00:00:00"/>
    <x v="2"/>
    <s v="Bradley Drucker"/>
    <s v="Consumer"/>
    <s v="United States"/>
    <x v="113"/>
    <x v="6"/>
    <x v="2"/>
    <x v="2"/>
    <x v="12"/>
    <x v="210"/>
    <n v="468.9"/>
    <n v="6"/>
    <n v="0"/>
    <n v="206.316"/>
    <n v="262.58399999999995"/>
  </r>
  <r>
    <x v="200"/>
    <d v="2016-07-17T00:00:00"/>
    <x v="2"/>
    <s v="Erin Smith"/>
    <s v="Corporate"/>
    <s v="United States"/>
    <x v="84"/>
    <x v="16"/>
    <x v="1"/>
    <x v="2"/>
    <x v="11"/>
    <x v="211"/>
    <n v="380.86399999999998"/>
    <n v="8"/>
    <n v="0.2"/>
    <n v="38.086399999999998"/>
    <n v="342.77760000000001"/>
  </r>
  <r>
    <x v="201"/>
    <d v="2015-12-23T00:00:00"/>
    <x v="1"/>
    <s v="Liz MacKendrick"/>
    <s v="Consumer"/>
    <s v="United States"/>
    <x v="23"/>
    <x v="24"/>
    <x v="3"/>
    <x v="1"/>
    <x v="7"/>
    <x v="212"/>
    <n v="646.77599999999995"/>
    <n v="9"/>
    <n v="0.2"/>
    <n v="-145.52459999999999"/>
    <n v="792.30059999999992"/>
  </r>
  <r>
    <x v="202"/>
    <d v="2014-05-16T00:00:00"/>
    <x v="1"/>
    <s v="Paul Gonzalez"/>
    <s v="Consumer"/>
    <s v="United States"/>
    <x v="5"/>
    <x v="5"/>
    <x v="2"/>
    <x v="2"/>
    <x v="12"/>
    <x v="213"/>
    <n v="58.112000000000002"/>
    <n v="2"/>
    <n v="0.2"/>
    <n v="7.2640000000000002"/>
    <n v="50.847999999999999"/>
  </r>
  <r>
    <x v="112"/>
    <d v="2017-11-22T00:00:00"/>
    <x v="2"/>
    <s v="Adrian Shami"/>
    <s v="Home Office"/>
    <s v="United States"/>
    <x v="19"/>
    <x v="15"/>
    <x v="3"/>
    <x v="1"/>
    <x v="5"/>
    <x v="214"/>
    <n v="41.28"/>
    <n v="6"/>
    <n v="0.2"/>
    <n v="13.932"/>
    <n v="27.347999999999999"/>
  </r>
  <r>
    <x v="161"/>
    <d v="2016-04-17T00:00:00"/>
    <x v="0"/>
    <s v="Bill Donatelli"/>
    <s v="Consumer"/>
    <s v="United States"/>
    <x v="8"/>
    <x v="1"/>
    <x v="1"/>
    <x v="0"/>
    <x v="9"/>
    <x v="215"/>
    <n v="1121.568"/>
    <n v="2"/>
    <n v="0.2"/>
    <n v="0"/>
    <n v="1121.568"/>
  </r>
  <r>
    <x v="203"/>
    <d v="2017-09-12T00:00:00"/>
    <x v="2"/>
    <s v="Ryan Crowe"/>
    <s v="Consumer"/>
    <s v="United States"/>
    <x v="99"/>
    <x v="2"/>
    <x v="0"/>
    <x v="0"/>
    <x v="3"/>
    <x v="216"/>
    <n v="34.503999999999998"/>
    <n v="1"/>
    <n v="0.2"/>
    <n v="6.0381999999999998"/>
    <n v="28.465799999999998"/>
  </r>
  <r>
    <x v="204"/>
    <d v="2017-07-03T00:00:00"/>
    <x v="0"/>
    <s v="Dean Katz"/>
    <s v="Corporate"/>
    <s v="United States"/>
    <x v="114"/>
    <x v="1"/>
    <x v="1"/>
    <x v="1"/>
    <x v="7"/>
    <x v="217"/>
    <n v="1295.78"/>
    <n v="2"/>
    <n v="0"/>
    <n v="310.98719999999997"/>
    <n v="984.79279999999994"/>
  </r>
  <r>
    <x v="205"/>
    <d v="2014-03-07T00:00:00"/>
    <x v="0"/>
    <s v="Ashley Jarboe"/>
    <s v="Consumer"/>
    <s v="United States"/>
    <x v="92"/>
    <x v="3"/>
    <x v="0"/>
    <x v="1"/>
    <x v="8"/>
    <x v="218"/>
    <n v="19.456"/>
    <n v="4"/>
    <n v="0.2"/>
    <n v="3.4047999999999998"/>
    <n v="16.051200000000001"/>
  </r>
  <r>
    <x v="74"/>
    <d v="2014-09-18T00:00:00"/>
    <x v="0"/>
    <s v="Cynthia Arntzen"/>
    <s v="Consumer"/>
    <s v="United States"/>
    <x v="63"/>
    <x v="2"/>
    <x v="0"/>
    <x v="1"/>
    <x v="6"/>
    <x v="219"/>
    <n v="13"/>
    <n v="5"/>
    <n v="0.2"/>
    <n v="1.3"/>
    <n v="11.7"/>
  </r>
  <r>
    <x v="198"/>
    <d v="2015-12-09T00:00:00"/>
    <x v="2"/>
    <s v="Jeremy Farry"/>
    <s v="Consumer"/>
    <s v="United States"/>
    <x v="4"/>
    <x v="4"/>
    <x v="1"/>
    <x v="1"/>
    <x v="13"/>
    <x v="220"/>
    <n v="3.96"/>
    <n v="2"/>
    <n v="0"/>
    <n v="0"/>
    <n v="3.96"/>
  </r>
  <r>
    <x v="206"/>
    <d v="2017-12-10T00:00:00"/>
    <x v="2"/>
    <s v="Frank Preis"/>
    <s v="Consumer"/>
    <s v="United States"/>
    <x v="1"/>
    <x v="1"/>
    <x v="1"/>
    <x v="2"/>
    <x v="11"/>
    <x v="221"/>
    <n v="374.37599999999998"/>
    <n v="3"/>
    <n v="0.2"/>
    <n v="46.796999999999997"/>
    <n v="327.57899999999995"/>
  </r>
  <r>
    <x v="107"/>
    <d v="2018-01-04T00:00:00"/>
    <x v="1"/>
    <s v="Jennifer Ferguson"/>
    <s v="Consumer"/>
    <s v="United States"/>
    <x v="19"/>
    <x v="15"/>
    <x v="3"/>
    <x v="1"/>
    <x v="1"/>
    <x v="222"/>
    <n v="72.45"/>
    <n v="7"/>
    <n v="0"/>
    <n v="34.776000000000003"/>
    <n v="37.673999999999999"/>
  </r>
  <r>
    <x v="53"/>
    <d v="2016-11-07T00:00:00"/>
    <x v="1"/>
    <s v="Sarah Foster"/>
    <s v="Consumer"/>
    <s v="United States"/>
    <x v="115"/>
    <x v="4"/>
    <x v="1"/>
    <x v="1"/>
    <x v="8"/>
    <x v="223"/>
    <n v="8.82"/>
    <n v="3"/>
    <n v="0"/>
    <n v="2.3814000000000002"/>
    <n v="6.4386000000000001"/>
  </r>
  <r>
    <x v="207"/>
    <d v="2015-09-22T00:00:00"/>
    <x v="0"/>
    <s v="Trudy Glocke"/>
    <s v="Consumer"/>
    <s v="United States"/>
    <x v="76"/>
    <x v="1"/>
    <x v="1"/>
    <x v="1"/>
    <x v="4"/>
    <x v="224"/>
    <n v="160.72"/>
    <n v="14"/>
    <n v="0"/>
    <n v="78.752799999999993"/>
    <n v="81.967200000000005"/>
  </r>
  <r>
    <x v="208"/>
    <d v="2017-07-26T00:00:00"/>
    <x v="1"/>
    <s v="Carlos Soltero"/>
    <s v="Consumer"/>
    <s v="United States"/>
    <x v="21"/>
    <x v="10"/>
    <x v="2"/>
    <x v="1"/>
    <x v="7"/>
    <x v="225"/>
    <n v="69.712000000000003"/>
    <n v="2"/>
    <n v="0.2"/>
    <n v="8.7140000000000004"/>
    <n v="60.998000000000005"/>
  </r>
  <r>
    <x v="209"/>
    <d v="2015-09-14T00:00:00"/>
    <x v="1"/>
    <s v="Charles Crestani"/>
    <s v="Consumer"/>
    <s v="United States"/>
    <x v="1"/>
    <x v="1"/>
    <x v="1"/>
    <x v="1"/>
    <x v="15"/>
    <x v="226"/>
    <n v="51.52"/>
    <n v="4"/>
    <n v="0"/>
    <n v="1.5456000000000001"/>
    <n v="49.974400000000003"/>
  </r>
  <r>
    <x v="89"/>
    <d v="2017-12-05T00:00:00"/>
    <x v="1"/>
    <s v="Dianna Vittorini"/>
    <s v="Consumer"/>
    <s v="United States"/>
    <x v="56"/>
    <x v="22"/>
    <x v="1"/>
    <x v="2"/>
    <x v="11"/>
    <x v="227"/>
    <n v="470.37599999999998"/>
    <n v="3"/>
    <n v="0.2"/>
    <n v="52.917299999999997"/>
    <n v="417.45869999999996"/>
  </r>
  <r>
    <x v="210"/>
    <d v="2015-07-09T00:00:00"/>
    <x v="1"/>
    <s v="Bruce Degenhardt"/>
    <s v="Consumer"/>
    <s v="United States"/>
    <x v="94"/>
    <x v="0"/>
    <x v="0"/>
    <x v="0"/>
    <x v="9"/>
    <x v="228"/>
    <n v="70.98"/>
    <n v="1"/>
    <n v="0"/>
    <n v="4.9686000000000003"/>
    <n v="66.011400000000009"/>
  </r>
  <r>
    <x v="211"/>
    <d v="2016-03-24T00:00:00"/>
    <x v="1"/>
    <s v="Zuschuss Carroll"/>
    <s v="Consumer"/>
    <s v="United States"/>
    <x v="116"/>
    <x v="21"/>
    <x v="1"/>
    <x v="2"/>
    <x v="11"/>
    <x v="229"/>
    <n v="84.784000000000006"/>
    <n v="2"/>
    <n v="0.2"/>
    <n v="-20.136199999999999"/>
    <n v="104.92020000000001"/>
  </r>
  <r>
    <x v="212"/>
    <d v="2014-01-13T00:00:00"/>
    <x v="1"/>
    <s v="Melanie Seite"/>
    <s v="Consumer"/>
    <s v="United States"/>
    <x v="117"/>
    <x v="5"/>
    <x v="2"/>
    <x v="1"/>
    <x v="8"/>
    <x v="230"/>
    <n v="9.3439999999999994"/>
    <n v="2"/>
    <n v="0.2"/>
    <n v="1.1679999999999999"/>
    <n v="8.1760000000000002"/>
  </r>
  <r>
    <x v="213"/>
    <d v="2014-08-15T00:00:00"/>
    <x v="1"/>
    <s v="Lena Radford"/>
    <s v="Consumer"/>
    <s v="United States"/>
    <x v="65"/>
    <x v="1"/>
    <x v="1"/>
    <x v="1"/>
    <x v="6"/>
    <x v="231"/>
    <n v="76.12"/>
    <n v="2"/>
    <n v="0"/>
    <n v="22.0748"/>
    <n v="54.045200000000008"/>
  </r>
  <r>
    <x v="214"/>
    <d v="2016-07-21T00:00:00"/>
    <x v="1"/>
    <s v="Chloris Kastensmidt"/>
    <s v="Consumer"/>
    <s v="United States"/>
    <x v="10"/>
    <x v="9"/>
    <x v="3"/>
    <x v="2"/>
    <x v="11"/>
    <x v="232"/>
    <n v="143.982"/>
    <n v="3"/>
    <n v="0.4"/>
    <n v="-28.796399999999998"/>
    <n v="172.7784"/>
  </r>
  <r>
    <x v="215"/>
    <d v="2014-03-19T00:00:00"/>
    <x v="1"/>
    <s v="Alan Shonely"/>
    <s v="Consumer"/>
    <s v="United States"/>
    <x v="63"/>
    <x v="2"/>
    <x v="0"/>
    <x v="1"/>
    <x v="7"/>
    <x v="233"/>
    <n v="142.77600000000001"/>
    <n v="1"/>
    <n v="0.2"/>
    <n v="17.847000000000001"/>
    <n v="124.929"/>
  </r>
  <r>
    <x v="216"/>
    <d v="2014-05-27T00:00:00"/>
    <x v="1"/>
    <s v="Andrew Roberts"/>
    <s v="Consumer"/>
    <s v="United States"/>
    <x v="10"/>
    <x v="9"/>
    <x v="3"/>
    <x v="1"/>
    <x v="5"/>
    <x v="234"/>
    <n v="3.282"/>
    <n v="2"/>
    <n v="0.7"/>
    <n v="-2.6255999999999999"/>
    <n v="5.9076000000000004"/>
  </r>
  <r>
    <x v="217"/>
    <d v="2016-05-01T00:00:00"/>
    <x v="2"/>
    <s v="Nona Balk"/>
    <s v="Corporate"/>
    <s v="United States"/>
    <x v="57"/>
    <x v="5"/>
    <x v="2"/>
    <x v="2"/>
    <x v="11"/>
    <x v="150"/>
    <n v="369.57600000000002"/>
    <n v="3"/>
    <n v="0.2"/>
    <n v="41.577300000000001"/>
    <n v="327.99870000000004"/>
  </r>
  <r>
    <x v="100"/>
    <d v="2016-09-13T00:00:00"/>
    <x v="0"/>
    <s v="Giulietta Dortch"/>
    <s v="Corporate"/>
    <s v="United States"/>
    <x v="10"/>
    <x v="9"/>
    <x v="3"/>
    <x v="1"/>
    <x v="4"/>
    <x v="235"/>
    <n v="8.4480000000000004"/>
    <n v="2"/>
    <n v="0.2"/>
    <n v="2.64"/>
    <n v="5.8079999999999998"/>
  </r>
  <r>
    <x v="218"/>
    <d v="2017-11-17T00:00:00"/>
    <x v="0"/>
    <s v="Clytie Kelty"/>
    <s v="Consumer"/>
    <s v="United States"/>
    <x v="118"/>
    <x v="24"/>
    <x v="3"/>
    <x v="2"/>
    <x v="11"/>
    <x v="236"/>
    <n v="119.94"/>
    <n v="10"/>
    <n v="0.4"/>
    <n v="15.992000000000001"/>
    <n v="103.94799999999999"/>
  </r>
  <r>
    <x v="57"/>
    <d v="2014-12-31T00:00:00"/>
    <x v="1"/>
    <s v="Christina Anderson"/>
    <s v="Consumer"/>
    <s v="United States"/>
    <x v="21"/>
    <x v="10"/>
    <x v="2"/>
    <x v="1"/>
    <x v="5"/>
    <x v="237"/>
    <n v="8.69"/>
    <n v="5"/>
    <n v="0.8"/>
    <n v="-14.773"/>
    <n v="23.463000000000001"/>
  </r>
  <r>
    <x v="219"/>
    <d v="2015-12-03T00:00:00"/>
    <x v="1"/>
    <s v="Sylvia Foulston"/>
    <s v="Corporate"/>
    <s v="United States"/>
    <x v="119"/>
    <x v="12"/>
    <x v="2"/>
    <x v="0"/>
    <x v="9"/>
    <x v="238"/>
    <n v="301.95999999999998"/>
    <n v="2"/>
    <n v="0"/>
    <n v="87.568399999999997"/>
    <n v="214.39159999999998"/>
  </r>
  <r>
    <x v="220"/>
    <d v="2017-05-23T00:00:00"/>
    <x v="1"/>
    <s v="Annie Thurman"/>
    <s v="Consumer"/>
    <s v="United States"/>
    <x v="4"/>
    <x v="4"/>
    <x v="1"/>
    <x v="1"/>
    <x v="6"/>
    <x v="239"/>
    <n v="97.16"/>
    <n v="2"/>
    <n v="0"/>
    <n v="28.176400000000001"/>
    <n v="68.983599999999996"/>
  </r>
  <r>
    <x v="221"/>
    <d v="2017-09-26T00:00:00"/>
    <x v="0"/>
    <s v="Brian Dahlen"/>
    <s v="Consumer"/>
    <s v="United States"/>
    <x v="91"/>
    <x v="2"/>
    <x v="0"/>
    <x v="2"/>
    <x v="12"/>
    <x v="240"/>
    <n v="17.88"/>
    <n v="3"/>
    <n v="0.2"/>
    <n v="2.4584999999999999"/>
    <n v="15.421499999999998"/>
  </r>
  <r>
    <x v="222"/>
    <d v="2015-10-09T00:00:00"/>
    <x v="0"/>
    <s v="Denny Joy"/>
    <s v="Corporate"/>
    <s v="United States"/>
    <x v="120"/>
    <x v="32"/>
    <x v="0"/>
    <x v="0"/>
    <x v="9"/>
    <x v="241"/>
    <n v="392.94"/>
    <n v="3"/>
    <n v="0"/>
    <n v="43.223399999999998"/>
    <n v="349.71659999999997"/>
  </r>
  <r>
    <x v="223"/>
    <d v="2016-08-21T00:00:00"/>
    <x v="1"/>
    <s v="Max Engle"/>
    <s v="Consumer"/>
    <s v="United States"/>
    <x v="33"/>
    <x v="22"/>
    <x v="1"/>
    <x v="1"/>
    <x v="5"/>
    <x v="242"/>
    <n v="18.882000000000001"/>
    <n v="3"/>
    <n v="0.7"/>
    <n v="-13.8468"/>
    <n v="32.7288"/>
  </r>
  <r>
    <x v="224"/>
    <d v="2016-05-25T00:00:00"/>
    <x v="1"/>
    <s v="Rick Bensley"/>
    <s v="Home Office"/>
    <s v="United States"/>
    <x v="121"/>
    <x v="1"/>
    <x v="1"/>
    <x v="0"/>
    <x v="3"/>
    <x v="243"/>
    <n v="1049.2"/>
    <n v="5"/>
    <n v="0"/>
    <n v="272.79199999999997"/>
    <n v="776.40800000000013"/>
  </r>
  <r>
    <x v="111"/>
    <d v="2016-12-22T00:00:00"/>
    <x v="1"/>
    <s v="Justin Deggeller"/>
    <s v="Corporate"/>
    <s v="United States"/>
    <x v="30"/>
    <x v="11"/>
    <x v="2"/>
    <x v="0"/>
    <x v="3"/>
    <x v="244"/>
    <n v="18.84"/>
    <n v="3"/>
    <n v="0"/>
    <n v="6.0288000000000004"/>
    <n v="12.811199999999999"/>
  </r>
  <r>
    <x v="225"/>
    <d v="2017-08-03T00:00:00"/>
    <x v="0"/>
    <s v="John Lee"/>
    <s v="Consumer"/>
    <s v="United States"/>
    <x v="122"/>
    <x v="1"/>
    <x v="1"/>
    <x v="1"/>
    <x v="7"/>
    <x v="245"/>
    <n v="330.4"/>
    <n v="2"/>
    <n v="0"/>
    <n v="85.903999999999996"/>
    <n v="244.49599999999998"/>
  </r>
  <r>
    <x v="176"/>
    <d v="2017-06-15T00:00:00"/>
    <x v="1"/>
    <s v="Sean Christensen"/>
    <s v="Consumer"/>
    <s v="United States"/>
    <x v="123"/>
    <x v="12"/>
    <x v="2"/>
    <x v="2"/>
    <x v="12"/>
    <x v="246"/>
    <n v="132.52000000000001"/>
    <n v="4"/>
    <n v="0"/>
    <n v="54.333199999999998"/>
    <n v="78.186800000000005"/>
  </r>
  <r>
    <x v="226"/>
    <d v="2017-07-25T00:00:00"/>
    <x v="1"/>
    <s v="Tamara Willingham"/>
    <s v="Home Office"/>
    <s v="United States"/>
    <x v="124"/>
    <x v="30"/>
    <x v="3"/>
    <x v="1"/>
    <x v="4"/>
    <x v="247"/>
    <n v="6.48"/>
    <n v="1"/>
    <n v="0"/>
    <n v="3.1751999999999998"/>
    <n v="3.3048000000000006"/>
  </r>
  <r>
    <x v="227"/>
    <d v="2018-01-05T00:00:00"/>
    <x v="1"/>
    <s v="Chuck Clark"/>
    <s v="Home Office"/>
    <s v="United States"/>
    <x v="37"/>
    <x v="14"/>
    <x v="2"/>
    <x v="1"/>
    <x v="6"/>
    <x v="248"/>
    <n v="209.3"/>
    <n v="2"/>
    <n v="0"/>
    <n v="56.511000000000003"/>
    <n v="152.78900000000002"/>
  </r>
  <r>
    <x v="166"/>
    <d v="2016-04-08T00:00:00"/>
    <x v="1"/>
    <s v="Barry Blumstein"/>
    <s v="Corporate"/>
    <s v="United States"/>
    <x v="125"/>
    <x v="16"/>
    <x v="1"/>
    <x v="1"/>
    <x v="13"/>
    <x v="200"/>
    <n v="31.56"/>
    <n v="5"/>
    <n v="0.2"/>
    <n v="9.8625000000000007"/>
    <n v="21.697499999999998"/>
  </r>
  <r>
    <x v="24"/>
    <d v="2016-12-16T00:00:00"/>
    <x v="0"/>
    <s v="Anthony Rawles"/>
    <s v="Corporate"/>
    <s v="United States"/>
    <x v="126"/>
    <x v="4"/>
    <x v="1"/>
    <x v="0"/>
    <x v="3"/>
    <x v="249"/>
    <n v="14.8"/>
    <n v="4"/>
    <n v="0"/>
    <n v="6.0679999999999996"/>
    <n v="8.7320000000000011"/>
  </r>
  <r>
    <x v="228"/>
    <d v="2017-06-23T00:00:00"/>
    <x v="1"/>
    <s v="Allen Rosenblatt"/>
    <s v="Corporate"/>
    <s v="United States"/>
    <x v="19"/>
    <x v="15"/>
    <x v="3"/>
    <x v="1"/>
    <x v="4"/>
    <x v="250"/>
    <n v="97.82"/>
    <n v="2"/>
    <n v="0"/>
    <n v="45.9754"/>
    <n v="51.844599999999993"/>
  </r>
  <r>
    <x v="229"/>
    <d v="2016-08-28T00:00:00"/>
    <x v="1"/>
    <s v="Craig Reiter"/>
    <s v="Consumer"/>
    <s v="United States"/>
    <x v="37"/>
    <x v="24"/>
    <x v="3"/>
    <x v="1"/>
    <x v="6"/>
    <x v="251"/>
    <n v="113.55200000000001"/>
    <n v="2"/>
    <n v="0.2"/>
    <n v="8.5164000000000009"/>
    <n v="105.0356"/>
  </r>
  <r>
    <x v="230"/>
    <d v="2016-09-19T00:00:00"/>
    <x v="3"/>
    <s v="Eugene Hildebrand"/>
    <s v="Home Office"/>
    <s v="United States"/>
    <x v="33"/>
    <x v="10"/>
    <x v="2"/>
    <x v="0"/>
    <x v="9"/>
    <x v="252"/>
    <n v="701.37199999999996"/>
    <n v="2"/>
    <n v="0.3"/>
    <n v="-50.097999999999999"/>
    <n v="751.46999999999991"/>
  </r>
  <r>
    <x v="231"/>
    <d v="2015-08-28T00:00:00"/>
    <x v="1"/>
    <s v="Cassandra Brandow"/>
    <s v="Consumer"/>
    <s v="United States"/>
    <x v="72"/>
    <x v="5"/>
    <x v="2"/>
    <x v="1"/>
    <x v="7"/>
    <x v="233"/>
    <n v="999.43200000000002"/>
    <n v="7"/>
    <n v="0.2"/>
    <n v="124.929"/>
    <n v="874.50300000000004"/>
  </r>
  <r>
    <x v="232"/>
    <d v="2016-03-30T00:00:00"/>
    <x v="1"/>
    <s v="Sibella Parks"/>
    <s v="Corporate"/>
    <s v="United States"/>
    <x v="19"/>
    <x v="15"/>
    <x v="3"/>
    <x v="1"/>
    <x v="7"/>
    <x v="253"/>
    <n v="459.95"/>
    <n v="5"/>
    <n v="0"/>
    <n v="18.398"/>
    <n v="441.55199999999996"/>
  </r>
  <r>
    <x v="233"/>
    <d v="2016-11-04T00:00:00"/>
    <x v="3"/>
    <s v="Roy Collins"/>
    <s v="Consumer"/>
    <s v="United States"/>
    <x v="95"/>
    <x v="0"/>
    <x v="0"/>
    <x v="1"/>
    <x v="13"/>
    <x v="54"/>
    <n v="10.74"/>
    <n v="3"/>
    <n v="0"/>
    <n v="5.2625999999999999"/>
    <n v="5.4774000000000003"/>
  </r>
  <r>
    <x v="102"/>
    <d v="2017-06-10T00:00:00"/>
    <x v="0"/>
    <s v="Tiffany House"/>
    <s v="Corporate"/>
    <s v="United States"/>
    <x v="57"/>
    <x v="5"/>
    <x v="2"/>
    <x v="1"/>
    <x v="15"/>
    <x v="254"/>
    <n v="23.76"/>
    <n v="3"/>
    <n v="0.2"/>
    <n v="2.0790000000000002"/>
    <n v="21.681000000000001"/>
  </r>
  <r>
    <x v="129"/>
    <d v="2017-06-22T00:00:00"/>
    <x v="1"/>
    <s v="Tamara Dahlen"/>
    <s v="Consumer"/>
    <s v="United States"/>
    <x v="85"/>
    <x v="10"/>
    <x v="2"/>
    <x v="1"/>
    <x v="8"/>
    <x v="255"/>
    <n v="19.559999999999999"/>
    <n v="5"/>
    <n v="0.2"/>
    <n v="1.7115"/>
    <n v="17.848499999999998"/>
  </r>
  <r>
    <x v="234"/>
    <d v="2017-12-08T00:00:00"/>
    <x v="2"/>
    <s v="Rob Beeghly"/>
    <s v="Consumer"/>
    <s v="United States"/>
    <x v="37"/>
    <x v="14"/>
    <x v="2"/>
    <x v="1"/>
    <x v="6"/>
    <x v="256"/>
    <n v="61.44"/>
    <n v="3"/>
    <n v="0"/>
    <n v="16.588799999999999"/>
    <n v="44.851199999999999"/>
  </r>
  <r>
    <x v="235"/>
    <d v="2017-03-23T00:00:00"/>
    <x v="1"/>
    <s v="Carol Darley"/>
    <s v="Consumer"/>
    <s v="United States"/>
    <x v="127"/>
    <x v="5"/>
    <x v="2"/>
    <x v="1"/>
    <x v="6"/>
    <x v="257"/>
    <n v="2.6880000000000002"/>
    <n v="3"/>
    <n v="0.8"/>
    <n v="-7.3920000000000003"/>
    <n v="10.08"/>
  </r>
  <r>
    <x v="236"/>
    <d v="2017-11-04T00:00:00"/>
    <x v="3"/>
    <s v="Grant Thornton"/>
    <s v="Corporate"/>
    <s v="United States"/>
    <x v="128"/>
    <x v="3"/>
    <x v="0"/>
    <x v="2"/>
    <x v="14"/>
    <x v="258"/>
    <n v="7999.98"/>
    <n v="4"/>
    <n v="0.5"/>
    <n v="-3839.9904000000001"/>
    <n v="11839.9704"/>
  </r>
  <r>
    <x v="237"/>
    <d v="2014-07-08T00:00:00"/>
    <x v="2"/>
    <s v="Michael Chen"/>
    <s v="Consumer"/>
    <s v="United States"/>
    <x v="24"/>
    <x v="35"/>
    <x v="0"/>
    <x v="2"/>
    <x v="12"/>
    <x v="259"/>
    <n v="479.97"/>
    <n v="3"/>
    <n v="0"/>
    <n v="163.18979999999999"/>
    <n v="316.78020000000004"/>
  </r>
  <r>
    <x v="238"/>
    <d v="2014-06-23T00:00:00"/>
    <x v="0"/>
    <s v="Naresj Patel"/>
    <s v="Consumer"/>
    <s v="United States"/>
    <x v="129"/>
    <x v="17"/>
    <x v="0"/>
    <x v="0"/>
    <x v="3"/>
    <x v="260"/>
    <n v="104.01"/>
    <n v="1"/>
    <n v="0"/>
    <n v="14.561400000000001"/>
    <n v="89.448599999999999"/>
  </r>
  <r>
    <x v="239"/>
    <d v="2015-04-02T00:00:00"/>
    <x v="1"/>
    <s v="Alan Barnes"/>
    <s v="Consumer"/>
    <s v="United States"/>
    <x v="1"/>
    <x v="1"/>
    <x v="1"/>
    <x v="2"/>
    <x v="12"/>
    <x v="261"/>
    <n v="166.24"/>
    <n v="1"/>
    <n v="0"/>
    <n v="24.936"/>
    <n v="141.304"/>
  </r>
  <r>
    <x v="240"/>
    <d v="2015-05-17T00:00:00"/>
    <x v="2"/>
    <s v="Jesus Ocampo"/>
    <s v="Home Office"/>
    <s v="United States"/>
    <x v="130"/>
    <x v="9"/>
    <x v="3"/>
    <x v="1"/>
    <x v="8"/>
    <x v="124"/>
    <n v="198.27199999999999"/>
    <n v="8"/>
    <n v="0.2"/>
    <n v="17.348800000000001"/>
    <n v="180.92319999999998"/>
  </r>
  <r>
    <x v="233"/>
    <d v="2016-11-08T00:00:00"/>
    <x v="0"/>
    <s v="Alejandro Savely"/>
    <s v="Corporate"/>
    <s v="United States"/>
    <x v="4"/>
    <x v="4"/>
    <x v="1"/>
    <x v="0"/>
    <x v="3"/>
    <x v="262"/>
    <n v="209.88"/>
    <n v="3"/>
    <n v="0"/>
    <n v="35.679600000000001"/>
    <n v="174.2004"/>
  </r>
  <r>
    <x v="241"/>
    <d v="2015-04-14T00:00:00"/>
    <x v="1"/>
    <s v="Jay Kimmel"/>
    <s v="Consumer"/>
    <s v="United States"/>
    <x v="76"/>
    <x v="1"/>
    <x v="1"/>
    <x v="0"/>
    <x v="2"/>
    <x v="263"/>
    <n v="369.91199999999998"/>
    <n v="3"/>
    <n v="0.2"/>
    <n v="-13.871700000000001"/>
    <n v="383.78369999999995"/>
  </r>
  <r>
    <x v="242"/>
    <d v="2014-12-04T00:00:00"/>
    <x v="2"/>
    <s v="David Philippe"/>
    <s v="Consumer"/>
    <s v="United States"/>
    <x v="19"/>
    <x v="15"/>
    <x v="3"/>
    <x v="2"/>
    <x v="12"/>
    <x v="112"/>
    <n v="119.96"/>
    <n v="4"/>
    <n v="0"/>
    <n v="52.782400000000003"/>
    <n v="67.177599999999984"/>
  </r>
  <r>
    <x v="243"/>
    <d v="2014-04-07T00:00:00"/>
    <x v="2"/>
    <s v="Tracy Hopkins"/>
    <s v="Home Office"/>
    <s v="United States"/>
    <x v="19"/>
    <x v="15"/>
    <x v="3"/>
    <x v="1"/>
    <x v="4"/>
    <x v="264"/>
    <n v="55.48"/>
    <n v="1"/>
    <n v="0"/>
    <n v="26.630400000000002"/>
    <n v="28.849599999999995"/>
  </r>
  <r>
    <x v="197"/>
    <d v="2017-09-07T00:00:00"/>
    <x v="1"/>
    <s v="Arthur Prichep"/>
    <s v="Consumer"/>
    <s v="United States"/>
    <x v="131"/>
    <x v="2"/>
    <x v="0"/>
    <x v="1"/>
    <x v="10"/>
    <x v="265"/>
    <n v="24.448"/>
    <n v="4"/>
    <n v="0.2"/>
    <n v="8.8623999999999992"/>
    <n v="15.585600000000001"/>
  </r>
  <r>
    <x v="220"/>
    <d v="2017-05-24T00:00:00"/>
    <x v="1"/>
    <s v="Roland Schwarz"/>
    <s v="Corporate"/>
    <s v="United States"/>
    <x v="132"/>
    <x v="15"/>
    <x v="3"/>
    <x v="1"/>
    <x v="6"/>
    <x v="266"/>
    <n v="281.33999999999997"/>
    <n v="6"/>
    <n v="0"/>
    <n v="109.7226"/>
    <n v="171.61739999999998"/>
  </r>
  <r>
    <x v="244"/>
    <d v="2014-07-06T00:00:00"/>
    <x v="0"/>
    <s v="Dorris liebe"/>
    <s v="Corporate"/>
    <s v="United States"/>
    <x v="4"/>
    <x v="4"/>
    <x v="1"/>
    <x v="1"/>
    <x v="5"/>
    <x v="267"/>
    <n v="19.920000000000002"/>
    <n v="5"/>
    <n v="0.2"/>
    <n v="6.9720000000000004"/>
    <n v="12.948"/>
  </r>
  <r>
    <x v="245"/>
    <d v="2014-01-14T00:00:00"/>
    <x v="2"/>
    <s v="Seth Vernon"/>
    <s v="Consumer"/>
    <s v="United States"/>
    <x v="17"/>
    <x v="13"/>
    <x v="3"/>
    <x v="0"/>
    <x v="3"/>
    <x v="268"/>
    <n v="9.94"/>
    <n v="2"/>
    <n v="0"/>
    <n v="3.0813999999999999"/>
    <n v="6.8585999999999991"/>
  </r>
  <r>
    <x v="221"/>
    <d v="2017-09-29T00:00:00"/>
    <x v="1"/>
    <s v="Kelly Collister"/>
    <s v="Consumer"/>
    <s v="United States"/>
    <x v="43"/>
    <x v="24"/>
    <x v="3"/>
    <x v="0"/>
    <x v="3"/>
    <x v="269"/>
    <n v="103.056"/>
    <n v="3"/>
    <n v="0.2"/>
    <n v="24.4758"/>
    <n v="78.580199999999991"/>
  </r>
  <r>
    <x v="246"/>
    <d v="2014-06-07T00:00:00"/>
    <x v="1"/>
    <s v="Christine Kargatis"/>
    <s v="Home Office"/>
    <s v="United States"/>
    <x v="11"/>
    <x v="7"/>
    <x v="1"/>
    <x v="1"/>
    <x v="5"/>
    <x v="270"/>
    <n v="59.808"/>
    <n v="3"/>
    <n v="0.2"/>
    <n v="19.4376"/>
    <n v="40.370400000000004"/>
  </r>
  <r>
    <x v="247"/>
    <d v="2016-02-18T00:00:00"/>
    <x v="1"/>
    <s v="Ross DeVincentis"/>
    <s v="Home Office"/>
    <s v="United States"/>
    <x v="1"/>
    <x v="1"/>
    <x v="1"/>
    <x v="1"/>
    <x v="4"/>
    <x v="271"/>
    <n v="146.82"/>
    <n v="3"/>
    <n v="0"/>
    <n v="73.41"/>
    <n v="73.41"/>
  </r>
  <r>
    <x v="248"/>
    <d v="2016-12-19T00:00:00"/>
    <x v="1"/>
    <s v="Michael Paige"/>
    <s v="Corporate"/>
    <s v="United States"/>
    <x v="62"/>
    <x v="12"/>
    <x v="2"/>
    <x v="0"/>
    <x v="2"/>
    <x v="272"/>
    <n v="1652.94"/>
    <n v="3"/>
    <n v="0"/>
    <n v="231.41159999999999"/>
    <n v="1421.5284000000001"/>
  </r>
  <r>
    <x v="249"/>
    <d v="2014-10-13T00:00:00"/>
    <x v="1"/>
    <s v="Mathew Reese"/>
    <s v="Home Office"/>
    <s v="United States"/>
    <x v="10"/>
    <x v="9"/>
    <x v="3"/>
    <x v="0"/>
    <x v="3"/>
    <x v="273"/>
    <n v="129.91999999999999"/>
    <n v="5"/>
    <n v="0.2"/>
    <n v="21.111999999999998"/>
    <n v="108.80799999999999"/>
  </r>
  <r>
    <x v="250"/>
    <d v="2016-07-12T00:00:00"/>
    <x v="1"/>
    <s v="Steve Chapman"/>
    <s v="Corporate"/>
    <s v="United States"/>
    <x v="133"/>
    <x v="2"/>
    <x v="0"/>
    <x v="1"/>
    <x v="15"/>
    <x v="274"/>
    <n v="45.584000000000003"/>
    <n v="7"/>
    <n v="0.2"/>
    <n v="5.1281999999999996"/>
    <n v="40.455800000000004"/>
  </r>
  <r>
    <x v="251"/>
    <d v="2017-09-20T00:00:00"/>
    <x v="1"/>
    <s v="Jay Fein"/>
    <s v="Consumer"/>
    <s v="United States"/>
    <x v="80"/>
    <x v="5"/>
    <x v="2"/>
    <x v="1"/>
    <x v="10"/>
    <x v="275"/>
    <n v="17.568000000000001"/>
    <n v="2"/>
    <n v="0.2"/>
    <n v="6.3684000000000003"/>
    <n v="11.1996"/>
  </r>
  <r>
    <x v="252"/>
    <d v="2016-12-06T00:00:00"/>
    <x v="2"/>
    <s v="Emily Grady"/>
    <s v="Consumer"/>
    <s v="United States"/>
    <x v="134"/>
    <x v="15"/>
    <x v="3"/>
    <x v="1"/>
    <x v="4"/>
    <x v="276"/>
    <n v="182.72"/>
    <n v="8"/>
    <n v="0"/>
    <n v="84.051199999999994"/>
    <n v="98.668800000000005"/>
  </r>
  <r>
    <x v="253"/>
    <d v="2014-01-08T00:00:00"/>
    <x v="1"/>
    <s v="Phillina Ober"/>
    <s v="Home Office"/>
    <s v="United States"/>
    <x v="13"/>
    <x v="10"/>
    <x v="2"/>
    <x v="1"/>
    <x v="1"/>
    <x v="277"/>
    <n v="11.784000000000001"/>
    <n v="3"/>
    <n v="0.2"/>
    <n v="4.2717000000000001"/>
    <n v="7.5123000000000006"/>
  </r>
  <r>
    <x v="211"/>
    <d v="2016-03-22T00:00:00"/>
    <x v="0"/>
    <s v="Peter Bühler"/>
    <s v="Consumer"/>
    <s v="United States"/>
    <x v="135"/>
    <x v="10"/>
    <x v="2"/>
    <x v="2"/>
    <x v="11"/>
    <x v="278"/>
    <n v="11.992000000000001"/>
    <n v="1"/>
    <n v="0.2"/>
    <n v="0.89939999999999998"/>
    <n v="11.092600000000001"/>
  </r>
  <r>
    <x v="254"/>
    <d v="2017-10-06T00:00:00"/>
    <x v="1"/>
    <s v="Roland Fjeld"/>
    <s v="Consumer"/>
    <s v="United States"/>
    <x v="136"/>
    <x v="12"/>
    <x v="2"/>
    <x v="1"/>
    <x v="5"/>
    <x v="279"/>
    <n v="58.05"/>
    <n v="3"/>
    <n v="0"/>
    <n v="26.702999999999999"/>
    <n v="31.346999999999998"/>
  </r>
  <r>
    <x v="255"/>
    <d v="2016-04-09T00:00:00"/>
    <x v="2"/>
    <s v="Yoseph Carroll"/>
    <s v="Corporate"/>
    <s v="United States"/>
    <x v="8"/>
    <x v="1"/>
    <x v="1"/>
    <x v="2"/>
    <x v="16"/>
    <x v="280"/>
    <n v="1199.9760000000001"/>
    <n v="3"/>
    <n v="0.2"/>
    <n v="374.99250000000001"/>
    <n v="824.98350000000005"/>
  </r>
  <r>
    <x v="198"/>
    <d v="2015-12-12T00:00:00"/>
    <x v="1"/>
    <s v="Melanie Seite"/>
    <s v="Consumer"/>
    <s v="United States"/>
    <x v="1"/>
    <x v="1"/>
    <x v="1"/>
    <x v="0"/>
    <x v="3"/>
    <x v="281"/>
    <n v="79.92"/>
    <n v="4"/>
    <n v="0"/>
    <n v="28.7712"/>
    <n v="51.148800000000001"/>
  </r>
  <r>
    <x v="256"/>
    <d v="2015-01-02T00:00:00"/>
    <x v="1"/>
    <s v="Debra Catini"/>
    <s v="Consumer"/>
    <s v="United States"/>
    <x v="137"/>
    <x v="11"/>
    <x v="2"/>
    <x v="1"/>
    <x v="7"/>
    <x v="282"/>
    <n v="24.56"/>
    <n v="2"/>
    <n v="0"/>
    <n v="6.8768000000000002"/>
    <n v="17.683199999999999"/>
  </r>
  <r>
    <x v="257"/>
    <d v="2017-07-28T00:00:00"/>
    <x v="1"/>
    <s v="Christine Phan"/>
    <s v="Corporate"/>
    <s v="United States"/>
    <x v="19"/>
    <x v="15"/>
    <x v="3"/>
    <x v="1"/>
    <x v="5"/>
    <x v="234"/>
    <n v="13.128"/>
    <n v="3"/>
    <n v="0.2"/>
    <n v="4.2666000000000004"/>
    <n v="8.8613999999999997"/>
  </r>
  <r>
    <x v="258"/>
    <d v="2017-09-22T00:00:00"/>
    <x v="1"/>
    <s v="Barry Französisch"/>
    <s v="Corporate"/>
    <s v="United States"/>
    <x v="113"/>
    <x v="6"/>
    <x v="2"/>
    <x v="1"/>
    <x v="4"/>
    <x v="283"/>
    <n v="22.72"/>
    <n v="4"/>
    <n v="0"/>
    <n v="10.224"/>
    <n v="12.495999999999999"/>
  </r>
  <r>
    <x v="259"/>
    <d v="2015-09-05T00:00:00"/>
    <x v="1"/>
    <s v="Andrew Roberts"/>
    <s v="Consumer"/>
    <s v="United States"/>
    <x v="1"/>
    <x v="1"/>
    <x v="1"/>
    <x v="1"/>
    <x v="4"/>
    <x v="284"/>
    <n v="58.32"/>
    <n v="9"/>
    <n v="0"/>
    <n v="27.993600000000001"/>
    <n v="30.3264"/>
  </r>
  <r>
    <x v="260"/>
    <d v="2014-01-15T00:00:00"/>
    <x v="0"/>
    <s v="Chris Selesnick"/>
    <s v="Corporate"/>
    <s v="United States"/>
    <x v="138"/>
    <x v="28"/>
    <x v="0"/>
    <x v="1"/>
    <x v="10"/>
    <x v="70"/>
    <n v="11.36"/>
    <n v="2"/>
    <n v="0"/>
    <n v="5.3391999999999999"/>
    <n v="6.0207999999999995"/>
  </r>
  <r>
    <x v="261"/>
    <d v="2014-05-20T00:00:00"/>
    <x v="1"/>
    <s v="Anthony Johnson"/>
    <s v="Corporate"/>
    <s v="United States"/>
    <x v="75"/>
    <x v="2"/>
    <x v="0"/>
    <x v="0"/>
    <x v="3"/>
    <x v="285"/>
    <n v="310.88"/>
    <n v="2"/>
    <n v="0.2"/>
    <n v="23.315999999999999"/>
    <n v="287.56400000000002"/>
  </r>
  <r>
    <x v="262"/>
    <d v="2016-05-24T00:00:00"/>
    <x v="1"/>
    <s v="Laurel Elliston"/>
    <s v="Consumer"/>
    <s v="United States"/>
    <x v="72"/>
    <x v="17"/>
    <x v="0"/>
    <x v="0"/>
    <x v="9"/>
    <x v="286"/>
    <n v="641.96"/>
    <n v="2"/>
    <n v="0"/>
    <n v="179.74879999999999"/>
    <n v="462.21120000000008"/>
  </r>
  <r>
    <x v="263"/>
    <d v="2015-08-23T00:00:00"/>
    <x v="2"/>
    <s v="Nick Zandusky"/>
    <s v="Home Office"/>
    <s v="United States"/>
    <x v="8"/>
    <x v="1"/>
    <x v="1"/>
    <x v="0"/>
    <x v="9"/>
    <x v="287"/>
    <n v="544.00800000000004"/>
    <n v="3"/>
    <n v="0.2"/>
    <n v="40.800600000000003"/>
    <n v="503.20740000000001"/>
  </r>
  <r>
    <x v="264"/>
    <d v="2015-10-06T00:00:00"/>
    <x v="0"/>
    <s v="Bryan Mills"/>
    <s v="Consumer"/>
    <s v="United States"/>
    <x v="37"/>
    <x v="24"/>
    <x v="3"/>
    <x v="1"/>
    <x v="5"/>
    <x v="288"/>
    <n v="32.07"/>
    <n v="5"/>
    <n v="0.7"/>
    <n v="-22.449000000000002"/>
    <n v="54.519000000000005"/>
  </r>
  <r>
    <x v="265"/>
    <d v="2015-05-28T00:00:00"/>
    <x v="1"/>
    <s v="Erin Ashbrook"/>
    <s v="Corporate"/>
    <s v="United States"/>
    <x v="28"/>
    <x v="20"/>
    <x v="0"/>
    <x v="1"/>
    <x v="10"/>
    <x v="289"/>
    <n v="186.69"/>
    <n v="3"/>
    <n v="0"/>
    <n v="87.744299999999996"/>
    <n v="98.945700000000002"/>
  </r>
  <r>
    <x v="266"/>
    <d v="2017-03-21T00:00:00"/>
    <x v="0"/>
    <s v="Clay Ludtke"/>
    <s v="Consumer"/>
    <s v="United States"/>
    <x v="139"/>
    <x v="1"/>
    <x v="1"/>
    <x v="1"/>
    <x v="5"/>
    <x v="290"/>
    <n v="17.456"/>
    <n v="2"/>
    <n v="0.2"/>
    <n v="5.8914"/>
    <n v="11.564599999999999"/>
  </r>
  <r>
    <x v="267"/>
    <d v="2015-12-16T00:00:00"/>
    <x v="1"/>
    <s v="Liz Thompson"/>
    <s v="Consumer"/>
    <s v="United States"/>
    <x v="139"/>
    <x v="1"/>
    <x v="1"/>
    <x v="0"/>
    <x v="9"/>
    <x v="291"/>
    <n v="348.928"/>
    <n v="2"/>
    <n v="0.2"/>
    <n v="34.892800000000001"/>
    <n v="314.03519999999997"/>
  </r>
  <r>
    <x v="141"/>
    <d v="2015-06-30T00:00:00"/>
    <x v="1"/>
    <s v="Sue Ann Reed"/>
    <s v="Consumer"/>
    <s v="United States"/>
    <x v="94"/>
    <x v="17"/>
    <x v="0"/>
    <x v="1"/>
    <x v="5"/>
    <x v="292"/>
    <n v="143.96"/>
    <n v="4"/>
    <n v="0"/>
    <n v="69.100800000000007"/>
    <n v="74.859200000000001"/>
  </r>
  <r>
    <x v="224"/>
    <d v="2016-05-20T00:00:00"/>
    <x v="3"/>
    <s v="Joe Kamberova"/>
    <s v="Consumer"/>
    <s v="United States"/>
    <x v="140"/>
    <x v="3"/>
    <x v="0"/>
    <x v="2"/>
    <x v="11"/>
    <x v="293"/>
    <n v="1363.96"/>
    <n v="5"/>
    <n v="0.2"/>
    <n v="85.247500000000002"/>
    <n v="1278.7125000000001"/>
  </r>
  <r>
    <x v="58"/>
    <d v="2014-09-26T00:00:00"/>
    <x v="1"/>
    <s v="Erica Smith"/>
    <s v="Consumer"/>
    <s v="United States"/>
    <x v="8"/>
    <x v="1"/>
    <x v="1"/>
    <x v="1"/>
    <x v="1"/>
    <x v="294"/>
    <n v="9.9600000000000009"/>
    <n v="2"/>
    <n v="0"/>
    <n v="4.5815999999999999"/>
    <n v="5.378400000000001"/>
  </r>
  <r>
    <x v="93"/>
    <d v="2015-12-26T00:00:00"/>
    <x v="2"/>
    <s v="David Bremer"/>
    <s v="Corporate"/>
    <s v="United States"/>
    <x v="29"/>
    <x v="15"/>
    <x v="3"/>
    <x v="1"/>
    <x v="4"/>
    <x v="295"/>
    <n v="132.79"/>
    <n v="7"/>
    <n v="0"/>
    <n v="63.739199999999997"/>
    <n v="69.050799999999995"/>
  </r>
  <r>
    <x v="268"/>
    <d v="2017-02-23T00:00:00"/>
    <x v="2"/>
    <s v="Helen Wasserman"/>
    <s v="Corporate"/>
    <s v="United States"/>
    <x v="65"/>
    <x v="1"/>
    <x v="1"/>
    <x v="0"/>
    <x v="3"/>
    <x v="296"/>
    <n v="22.23"/>
    <n v="1"/>
    <n v="0"/>
    <n v="7.3358999999999996"/>
    <n v="14.894100000000002"/>
  </r>
  <r>
    <x v="269"/>
    <d v="2016-08-23T00:00:00"/>
    <x v="0"/>
    <s v="Helen Wasserman"/>
    <s v="Corporate"/>
    <s v="United States"/>
    <x v="19"/>
    <x v="15"/>
    <x v="3"/>
    <x v="1"/>
    <x v="6"/>
    <x v="297"/>
    <n v="355.32"/>
    <n v="9"/>
    <n v="0"/>
    <n v="99.489599999999996"/>
    <n v="255.8304"/>
  </r>
  <r>
    <x v="270"/>
    <d v="2016-03-17T00:00:00"/>
    <x v="1"/>
    <s v="Mike Caudle"/>
    <s v="Corporate"/>
    <s v="United States"/>
    <x v="50"/>
    <x v="28"/>
    <x v="0"/>
    <x v="1"/>
    <x v="4"/>
    <x v="298"/>
    <n v="12.96"/>
    <n v="2"/>
    <n v="0"/>
    <n v="6.2207999999999997"/>
    <n v="6.7392000000000012"/>
  </r>
  <r>
    <x v="271"/>
    <d v="2017-04-24T00:00:00"/>
    <x v="2"/>
    <s v="Gary McGarr"/>
    <s v="Consumer"/>
    <s v="United States"/>
    <x v="8"/>
    <x v="1"/>
    <x v="1"/>
    <x v="0"/>
    <x v="3"/>
    <x v="299"/>
    <n v="18.28"/>
    <n v="2"/>
    <n v="0"/>
    <n v="6.2152000000000003"/>
    <n v="12.064800000000002"/>
  </r>
  <r>
    <x v="272"/>
    <d v="2014-11-07T00:00:00"/>
    <x v="1"/>
    <s v="Russell Applegate"/>
    <s v="Consumer"/>
    <s v="United States"/>
    <x v="56"/>
    <x v="22"/>
    <x v="1"/>
    <x v="1"/>
    <x v="8"/>
    <x v="300"/>
    <n v="43.176000000000002"/>
    <n v="3"/>
    <n v="0.2"/>
    <n v="4.3175999999999997"/>
    <n v="38.858400000000003"/>
  </r>
  <r>
    <x v="273"/>
    <d v="2014-10-15T00:00:00"/>
    <x v="2"/>
    <s v="Zuschuss Carroll"/>
    <s v="Consumer"/>
    <s v="United States"/>
    <x v="141"/>
    <x v="4"/>
    <x v="1"/>
    <x v="1"/>
    <x v="8"/>
    <x v="301"/>
    <n v="11.52"/>
    <n v="4"/>
    <n v="0"/>
    <n v="3.2256"/>
    <n v="8.2943999999999996"/>
  </r>
  <r>
    <x v="274"/>
    <d v="2017-05-14T00:00:00"/>
    <x v="3"/>
    <s v="Pauline Johnson"/>
    <s v="Consumer"/>
    <s v="United States"/>
    <x v="142"/>
    <x v="1"/>
    <x v="1"/>
    <x v="0"/>
    <x v="3"/>
    <x v="299"/>
    <n v="18.28"/>
    <n v="2"/>
    <n v="0"/>
    <n v="6.2152000000000003"/>
    <n v="12.064800000000002"/>
  </r>
  <r>
    <x v="275"/>
    <d v="2015-03-23T00:00:00"/>
    <x v="2"/>
    <s v="Bart Watters"/>
    <s v="Corporate"/>
    <s v="United States"/>
    <x v="143"/>
    <x v="6"/>
    <x v="2"/>
    <x v="1"/>
    <x v="4"/>
    <x v="302"/>
    <n v="51.84"/>
    <n v="8"/>
    <n v="0"/>
    <n v="24.883199999999999"/>
    <n v="26.956800000000005"/>
  </r>
  <r>
    <x v="276"/>
    <d v="2014-07-02T00:00:00"/>
    <x v="1"/>
    <s v="Cynthia Arntzen"/>
    <s v="Consumer"/>
    <s v="United States"/>
    <x v="10"/>
    <x v="9"/>
    <x v="3"/>
    <x v="1"/>
    <x v="4"/>
    <x v="303"/>
    <n v="41.472000000000001"/>
    <n v="8"/>
    <n v="0.2"/>
    <n v="14.5152"/>
    <n v="26.956800000000001"/>
  </r>
  <r>
    <x v="277"/>
    <d v="2017-06-27T00:00:00"/>
    <x v="1"/>
    <s v="Toby Ritter"/>
    <s v="Consumer"/>
    <s v="United States"/>
    <x v="70"/>
    <x v="30"/>
    <x v="3"/>
    <x v="2"/>
    <x v="12"/>
    <x v="304"/>
    <n v="239.97"/>
    <n v="3"/>
    <n v="0"/>
    <n v="71.991"/>
    <n v="167.97899999999998"/>
  </r>
  <r>
    <x v="158"/>
    <d v="2017-08-28T00:00:00"/>
    <x v="1"/>
    <s v="Greg Tran"/>
    <s v="Consumer"/>
    <s v="United States"/>
    <x v="64"/>
    <x v="11"/>
    <x v="2"/>
    <x v="1"/>
    <x v="13"/>
    <x v="305"/>
    <n v="35"/>
    <n v="7"/>
    <n v="0"/>
    <n v="16.8"/>
    <n v="18.2"/>
  </r>
  <r>
    <x v="278"/>
    <d v="2017-06-21T00:00:00"/>
    <x v="0"/>
    <s v="Joel Eaton"/>
    <s v="Consumer"/>
    <s v="United States"/>
    <x v="144"/>
    <x v="0"/>
    <x v="0"/>
    <x v="0"/>
    <x v="9"/>
    <x v="306"/>
    <n v="301.95999999999998"/>
    <n v="2"/>
    <n v="0"/>
    <n v="90.587999999999994"/>
    <n v="211.37199999999999"/>
  </r>
  <r>
    <x v="279"/>
    <d v="2016-07-27T00:00:00"/>
    <x v="1"/>
    <s v="Jennifer Braxton"/>
    <s v="Corporate"/>
    <s v="United States"/>
    <x v="63"/>
    <x v="2"/>
    <x v="0"/>
    <x v="1"/>
    <x v="8"/>
    <x v="307"/>
    <n v="35.216000000000001"/>
    <n v="2"/>
    <n v="0.2"/>
    <n v="2.6412"/>
    <n v="32.574800000000003"/>
  </r>
  <r>
    <x v="280"/>
    <d v="2016-03-12T00:00:00"/>
    <x v="1"/>
    <s v="Ed Braxton"/>
    <s v="Corporate"/>
    <s v="United States"/>
    <x v="5"/>
    <x v="5"/>
    <x v="2"/>
    <x v="2"/>
    <x v="11"/>
    <x v="308"/>
    <n v="21.071999999999999"/>
    <n v="3"/>
    <n v="0.2"/>
    <n v="1.5804"/>
    <n v="19.491599999999998"/>
  </r>
  <r>
    <x v="281"/>
    <d v="2015-11-25T00:00:00"/>
    <x v="1"/>
    <s v="Brian Moss"/>
    <s v="Corporate"/>
    <s v="United States"/>
    <x v="19"/>
    <x v="15"/>
    <x v="3"/>
    <x v="1"/>
    <x v="8"/>
    <x v="309"/>
    <n v="60.45"/>
    <n v="3"/>
    <n v="0"/>
    <n v="16.3215"/>
    <n v="44.128500000000003"/>
  </r>
  <r>
    <x v="282"/>
    <d v="2016-11-09T00:00:00"/>
    <x v="2"/>
    <s v="Eudokia Martin"/>
    <s v="Corporate"/>
    <s v="United States"/>
    <x v="1"/>
    <x v="1"/>
    <x v="1"/>
    <x v="1"/>
    <x v="5"/>
    <x v="310"/>
    <n v="37.44"/>
    <n v="4"/>
    <n v="0.2"/>
    <n v="11.7"/>
    <n v="25.74"/>
  </r>
  <r>
    <x v="283"/>
    <d v="2015-10-17T00:00:00"/>
    <x v="1"/>
    <s v="Art Foster"/>
    <s v="Consumer"/>
    <s v="United States"/>
    <x v="95"/>
    <x v="0"/>
    <x v="0"/>
    <x v="2"/>
    <x v="11"/>
    <x v="311"/>
    <n v="83.72"/>
    <n v="7"/>
    <n v="0"/>
    <n v="23.441600000000001"/>
    <n v="60.278399999999998"/>
  </r>
  <r>
    <x v="284"/>
    <d v="2017-01-06T00:00:00"/>
    <x v="1"/>
    <s v="Guy Armstrong"/>
    <s v="Consumer"/>
    <s v="United States"/>
    <x v="145"/>
    <x v="24"/>
    <x v="3"/>
    <x v="0"/>
    <x v="3"/>
    <x v="312"/>
    <n v="48.896000000000001"/>
    <n v="4"/>
    <n v="0.2"/>
    <n v="8.5568000000000008"/>
    <n v="40.339199999999998"/>
  </r>
  <r>
    <x v="285"/>
    <d v="2014-02-12T00:00:00"/>
    <x v="1"/>
    <s v="Cyma Kinney"/>
    <s v="Corporate"/>
    <s v="United States"/>
    <x v="146"/>
    <x v="30"/>
    <x v="3"/>
    <x v="2"/>
    <x v="12"/>
    <x v="313"/>
    <n v="115.36"/>
    <n v="7"/>
    <n v="0"/>
    <n v="49.604799999999997"/>
    <n v="65.755200000000002"/>
  </r>
  <r>
    <x v="286"/>
    <d v="2016-02-24T00:00:00"/>
    <x v="1"/>
    <s v="Greg Tran"/>
    <s v="Consumer"/>
    <s v="United States"/>
    <x v="19"/>
    <x v="15"/>
    <x v="3"/>
    <x v="0"/>
    <x v="3"/>
    <x v="296"/>
    <n v="44.46"/>
    <n v="2"/>
    <n v="0"/>
    <n v="14.671799999999999"/>
    <n v="29.788200000000003"/>
  </r>
  <r>
    <x v="86"/>
    <d v="2014-08-08T00:00:00"/>
    <x v="1"/>
    <s v="Berenike Kampe"/>
    <s v="Consumer"/>
    <s v="United States"/>
    <x v="19"/>
    <x v="15"/>
    <x v="3"/>
    <x v="1"/>
    <x v="4"/>
    <x v="314"/>
    <n v="39.96"/>
    <n v="2"/>
    <n v="0"/>
    <n v="18.781199999999998"/>
    <n v="21.178800000000003"/>
  </r>
  <r>
    <x v="287"/>
    <d v="2017-04-15T00:00:00"/>
    <x v="1"/>
    <s v="Sanjit Jacobs"/>
    <s v="Home Office"/>
    <s v="United States"/>
    <x v="147"/>
    <x v="30"/>
    <x v="3"/>
    <x v="1"/>
    <x v="4"/>
    <x v="102"/>
    <n v="7.61"/>
    <n v="1"/>
    <n v="0"/>
    <n v="3.5767000000000002"/>
    <n v="4.0333000000000006"/>
  </r>
  <r>
    <x v="3"/>
    <d v="2014-06-16T00:00:00"/>
    <x v="1"/>
    <s v="Chuck Magee"/>
    <s v="Consumer"/>
    <s v="United States"/>
    <x v="8"/>
    <x v="1"/>
    <x v="1"/>
    <x v="1"/>
    <x v="15"/>
    <x v="315"/>
    <n v="7.36"/>
    <n v="2"/>
    <n v="0"/>
    <n v="0.1472"/>
    <n v="7.2128000000000005"/>
  </r>
  <r>
    <x v="288"/>
    <d v="2016-01-07T00:00:00"/>
    <x v="0"/>
    <s v="Anthony Johnson"/>
    <s v="Corporate"/>
    <s v="United States"/>
    <x v="99"/>
    <x v="2"/>
    <x v="0"/>
    <x v="2"/>
    <x v="12"/>
    <x v="316"/>
    <n v="191.47200000000001"/>
    <n v="6"/>
    <n v="0.2"/>
    <n v="40.687800000000003"/>
    <n v="150.7842"/>
  </r>
  <r>
    <x v="289"/>
    <d v="2016-10-02T00:00:00"/>
    <x v="2"/>
    <s v="Linda Southworth"/>
    <s v="Corporate"/>
    <s v="United States"/>
    <x v="10"/>
    <x v="9"/>
    <x v="3"/>
    <x v="1"/>
    <x v="1"/>
    <x v="317"/>
    <n v="15.936"/>
    <n v="4"/>
    <n v="0.2"/>
    <n v="5.1791999999999998"/>
    <n v="10.7568"/>
  </r>
  <r>
    <x v="290"/>
    <d v="2014-04-10T00:00:00"/>
    <x v="1"/>
    <s v="Guy Phonely"/>
    <s v="Corporate"/>
    <s v="United States"/>
    <x v="139"/>
    <x v="9"/>
    <x v="3"/>
    <x v="1"/>
    <x v="5"/>
    <x v="318"/>
    <n v="44.91"/>
    <n v="6"/>
    <n v="0.7"/>
    <n v="-35.927999999999997"/>
    <n v="80.837999999999994"/>
  </r>
  <r>
    <x v="291"/>
    <d v="2016-09-05T00:00:00"/>
    <x v="2"/>
    <s v="Paul Knutson"/>
    <s v="Home Office"/>
    <s v="United States"/>
    <x v="10"/>
    <x v="9"/>
    <x v="3"/>
    <x v="1"/>
    <x v="5"/>
    <x v="319"/>
    <n v="1141.47"/>
    <n v="5"/>
    <n v="0.7"/>
    <n v="-760.98"/>
    <n v="1902.45"/>
  </r>
  <r>
    <x v="292"/>
    <d v="2014-12-15T00:00:00"/>
    <x v="1"/>
    <s v="Sally Matthias"/>
    <s v="Consumer"/>
    <s v="United States"/>
    <x v="19"/>
    <x v="15"/>
    <x v="3"/>
    <x v="1"/>
    <x v="4"/>
    <x v="320"/>
    <n v="11.36"/>
    <n v="2"/>
    <n v="0"/>
    <n v="5.2256"/>
    <n v="6.1343999999999994"/>
  </r>
  <r>
    <x v="293"/>
    <d v="2017-08-29T00:00:00"/>
    <x v="1"/>
    <s v="Guy Armstrong"/>
    <s v="Consumer"/>
    <s v="United States"/>
    <x v="34"/>
    <x v="3"/>
    <x v="0"/>
    <x v="1"/>
    <x v="4"/>
    <x v="321"/>
    <n v="192.16"/>
    <n v="5"/>
    <n v="0.2"/>
    <n v="67.256"/>
    <n v="124.904"/>
  </r>
  <r>
    <x v="294"/>
    <d v="2016-01-21T00:00:00"/>
    <x v="1"/>
    <s v="Chuck Clark"/>
    <s v="Home Office"/>
    <s v="United States"/>
    <x v="3"/>
    <x v="37"/>
    <x v="3"/>
    <x v="0"/>
    <x v="3"/>
    <x v="322"/>
    <n v="322.58999999999997"/>
    <n v="3"/>
    <n v="0"/>
    <n v="64.518000000000001"/>
    <n v="258.072"/>
  </r>
  <r>
    <x v="295"/>
    <d v="2017-12-02T00:00:00"/>
    <x v="0"/>
    <s v="Harold Pawlan"/>
    <s v="Home Office"/>
    <s v="United States"/>
    <x v="19"/>
    <x v="15"/>
    <x v="3"/>
    <x v="1"/>
    <x v="5"/>
    <x v="323"/>
    <n v="68.471999999999994"/>
    <n v="3"/>
    <n v="0.2"/>
    <n v="23.109300000000001"/>
    <n v="45.36269999999999"/>
  </r>
  <r>
    <x v="296"/>
    <d v="2015-10-13T00:00:00"/>
    <x v="1"/>
    <s v="Dave Kipp"/>
    <s v="Consumer"/>
    <s v="United States"/>
    <x v="23"/>
    <x v="17"/>
    <x v="0"/>
    <x v="1"/>
    <x v="7"/>
    <x v="324"/>
    <n v="30.84"/>
    <n v="2"/>
    <n v="0"/>
    <n v="8.3268000000000004"/>
    <n v="22.513199999999998"/>
  </r>
  <r>
    <x v="297"/>
    <d v="2017-12-23T00:00:00"/>
    <x v="3"/>
    <s v="Gary Zandusky"/>
    <s v="Consumer"/>
    <s v="United States"/>
    <x v="8"/>
    <x v="1"/>
    <x v="1"/>
    <x v="1"/>
    <x v="8"/>
    <x v="325"/>
    <n v="13.48"/>
    <n v="4"/>
    <n v="0"/>
    <n v="5.9311999999999996"/>
    <n v="7.5488000000000008"/>
  </r>
  <r>
    <x v="298"/>
    <d v="2016-10-24T00:00:00"/>
    <x v="2"/>
    <s v="Peter McVee"/>
    <s v="Home Office"/>
    <s v="United States"/>
    <x v="62"/>
    <x v="12"/>
    <x v="2"/>
    <x v="0"/>
    <x v="3"/>
    <x v="244"/>
    <n v="31.4"/>
    <n v="5"/>
    <n v="0"/>
    <n v="10.048"/>
    <n v="21.351999999999997"/>
  </r>
  <r>
    <x v="299"/>
    <d v="2014-05-04T00:00:00"/>
    <x v="1"/>
    <s v="Lauren Leatherbury"/>
    <s v="Consumer"/>
    <s v="United States"/>
    <x v="29"/>
    <x v="15"/>
    <x v="3"/>
    <x v="0"/>
    <x v="3"/>
    <x v="326"/>
    <n v="17.46"/>
    <n v="2"/>
    <n v="0"/>
    <n v="5.9363999999999999"/>
    <n v="11.523600000000002"/>
  </r>
  <r>
    <x v="300"/>
    <d v="2015-04-28T00:00:00"/>
    <x v="0"/>
    <s v="Jill Stevenson"/>
    <s v="Corporate"/>
    <s v="United States"/>
    <x v="1"/>
    <x v="1"/>
    <x v="1"/>
    <x v="1"/>
    <x v="5"/>
    <x v="327"/>
    <n v="13.944000000000001"/>
    <n v="3"/>
    <n v="0.2"/>
    <n v="4.5317999999999996"/>
    <n v="9.4122000000000021"/>
  </r>
  <r>
    <x v="301"/>
    <d v="2017-07-02T00:00:00"/>
    <x v="1"/>
    <s v="Olvera Toch"/>
    <s v="Consumer"/>
    <s v="United States"/>
    <x v="65"/>
    <x v="1"/>
    <x v="1"/>
    <x v="1"/>
    <x v="7"/>
    <x v="328"/>
    <n v="83.76"/>
    <n v="12"/>
    <n v="0"/>
    <n v="1.6752"/>
    <n v="82.084800000000001"/>
  </r>
  <r>
    <x v="302"/>
    <d v="2014-12-16T00:00:00"/>
    <x v="1"/>
    <s v="Cyma Kinney"/>
    <s v="Corporate"/>
    <s v="United States"/>
    <x v="8"/>
    <x v="1"/>
    <x v="1"/>
    <x v="1"/>
    <x v="4"/>
    <x v="163"/>
    <n v="34.68"/>
    <n v="6"/>
    <n v="0"/>
    <n v="16.993200000000002"/>
    <n v="17.686799999999998"/>
  </r>
  <r>
    <x v="277"/>
    <d v="2017-06-26T00:00:00"/>
    <x v="1"/>
    <s v="Jeremy Ellison"/>
    <s v="Consumer"/>
    <s v="United States"/>
    <x v="97"/>
    <x v="15"/>
    <x v="3"/>
    <x v="2"/>
    <x v="12"/>
    <x v="329"/>
    <n v="149.94999999999999"/>
    <n v="5"/>
    <n v="0"/>
    <n v="14.994999999999999"/>
    <n v="134.95499999999998"/>
  </r>
  <r>
    <x v="303"/>
    <d v="2016-11-12T00:00:00"/>
    <x v="2"/>
    <s v="Pamela Coakley"/>
    <s v="Corporate"/>
    <s v="United States"/>
    <x v="8"/>
    <x v="1"/>
    <x v="1"/>
    <x v="1"/>
    <x v="7"/>
    <x v="330"/>
    <n v="155.82"/>
    <n v="7"/>
    <n v="0"/>
    <n v="42.071399999999997"/>
    <n v="113.7486"/>
  </r>
  <r>
    <x v="304"/>
    <d v="2016-10-06T00:00:00"/>
    <x v="0"/>
    <s v="Hunter Lopez"/>
    <s v="Consumer"/>
    <s v="United States"/>
    <x v="12"/>
    <x v="5"/>
    <x v="2"/>
    <x v="1"/>
    <x v="10"/>
    <x v="70"/>
    <n v="15.648"/>
    <n v="2"/>
    <n v="0.2"/>
    <n v="5.0856000000000003"/>
    <n v="10.5624"/>
  </r>
  <r>
    <x v="305"/>
    <d v="2014-09-15T00:00:00"/>
    <x v="1"/>
    <s v="Maribeth Schnelling"/>
    <s v="Consumer"/>
    <s v="United States"/>
    <x v="62"/>
    <x v="12"/>
    <x v="2"/>
    <x v="1"/>
    <x v="1"/>
    <x v="187"/>
    <n v="103.6"/>
    <n v="7"/>
    <n v="0"/>
    <n v="51.8"/>
    <n v="51.8"/>
  </r>
  <r>
    <x v="306"/>
    <d v="2017-10-31T00:00:00"/>
    <x v="0"/>
    <s v="George Bell"/>
    <s v="Corporate"/>
    <s v="United States"/>
    <x v="100"/>
    <x v="15"/>
    <x v="3"/>
    <x v="1"/>
    <x v="4"/>
    <x v="331"/>
    <n v="46.96"/>
    <n v="8"/>
    <n v="0"/>
    <n v="22.540800000000001"/>
    <n v="24.4192"/>
  </r>
  <r>
    <x v="307"/>
    <d v="2016-04-12T00:00:00"/>
    <x v="2"/>
    <s v="Justin Ritter"/>
    <s v="Corporate"/>
    <s v="United States"/>
    <x v="23"/>
    <x v="24"/>
    <x v="3"/>
    <x v="1"/>
    <x v="5"/>
    <x v="332"/>
    <n v="8.9039999999999999"/>
    <n v="2"/>
    <n v="0.7"/>
    <n v="-6.5296000000000003"/>
    <n v="15.4336"/>
  </r>
  <r>
    <x v="227"/>
    <d v="2018-01-03T00:00:00"/>
    <x v="1"/>
    <s v="Patrick O'Donnell"/>
    <s v="Consumer"/>
    <s v="United States"/>
    <x v="19"/>
    <x v="15"/>
    <x v="3"/>
    <x v="0"/>
    <x v="0"/>
    <x v="333"/>
    <n v="323.13600000000002"/>
    <n v="4"/>
    <n v="0.2"/>
    <n v="12.117599999999999"/>
    <n v="311.01840000000004"/>
  </r>
  <r>
    <x v="66"/>
    <d v="2015-06-07T00:00:00"/>
    <x v="1"/>
    <s v="Sample Company A"/>
    <s v="Home Office"/>
    <s v="United States"/>
    <x v="148"/>
    <x v="29"/>
    <x v="3"/>
    <x v="0"/>
    <x v="3"/>
    <x v="249"/>
    <n v="22.2"/>
    <n v="6"/>
    <n v="0"/>
    <n v="9.1020000000000003"/>
    <n v="13.097999999999999"/>
  </r>
  <r>
    <x v="308"/>
    <d v="2017-11-29T00:00:00"/>
    <x v="2"/>
    <s v="Brian Moss"/>
    <s v="Corporate"/>
    <s v="United States"/>
    <x v="143"/>
    <x v="6"/>
    <x v="2"/>
    <x v="0"/>
    <x v="3"/>
    <x v="334"/>
    <n v="46.94"/>
    <n v="1"/>
    <n v="0"/>
    <n v="19.2454"/>
    <n v="27.694599999999998"/>
  </r>
  <r>
    <x v="309"/>
    <d v="2014-06-21T00:00:00"/>
    <x v="1"/>
    <s v="Kelly Lampkin"/>
    <s v="Corporate"/>
    <s v="United States"/>
    <x v="49"/>
    <x v="5"/>
    <x v="2"/>
    <x v="0"/>
    <x v="2"/>
    <x v="335"/>
    <n v="99.918000000000006"/>
    <n v="2"/>
    <n v="0.3"/>
    <n v="-18.5562"/>
    <n v="118.47420000000001"/>
  </r>
  <r>
    <x v="310"/>
    <d v="2016-03-11T00:00:00"/>
    <x v="1"/>
    <s v="Rob Williams"/>
    <s v="Corporate"/>
    <s v="United States"/>
    <x v="57"/>
    <x v="5"/>
    <x v="2"/>
    <x v="1"/>
    <x v="10"/>
    <x v="289"/>
    <n v="149.352"/>
    <n v="3"/>
    <n v="0.2"/>
    <n v="50.406300000000002"/>
    <n v="98.945700000000002"/>
  </r>
  <r>
    <x v="28"/>
    <d v="2014-12-12T00:00:00"/>
    <x v="1"/>
    <s v="Roy Collins"/>
    <s v="Consumer"/>
    <s v="United States"/>
    <x v="149"/>
    <x v="17"/>
    <x v="0"/>
    <x v="1"/>
    <x v="7"/>
    <x v="282"/>
    <n v="24.56"/>
    <n v="2"/>
    <n v="0"/>
    <n v="6.8768000000000002"/>
    <n v="17.683199999999999"/>
  </r>
  <r>
    <x v="311"/>
    <d v="2015-04-15T00:00:00"/>
    <x v="1"/>
    <s v="Sanjit Engle"/>
    <s v="Consumer"/>
    <s v="United States"/>
    <x v="19"/>
    <x v="15"/>
    <x v="3"/>
    <x v="2"/>
    <x v="12"/>
    <x v="336"/>
    <n v="85.14"/>
    <n v="3"/>
    <n v="0"/>
    <n v="34.907400000000003"/>
    <n v="50.232599999999998"/>
  </r>
  <r>
    <x v="312"/>
    <d v="2016-09-20T00:00:00"/>
    <x v="1"/>
    <s v="Adam Hart"/>
    <s v="Corporate"/>
    <s v="United States"/>
    <x v="19"/>
    <x v="15"/>
    <x v="3"/>
    <x v="1"/>
    <x v="5"/>
    <x v="56"/>
    <n v="841.56799999999998"/>
    <n v="2"/>
    <n v="0.2"/>
    <n v="294.54880000000003"/>
    <n v="547.01919999999996"/>
  </r>
  <r>
    <x v="96"/>
    <d v="2014-09-16T00:00:00"/>
    <x v="2"/>
    <s v="Jessica Myrick"/>
    <s v="Consumer"/>
    <s v="United States"/>
    <x v="10"/>
    <x v="9"/>
    <x v="3"/>
    <x v="1"/>
    <x v="4"/>
    <x v="337"/>
    <n v="15.552"/>
    <n v="3"/>
    <n v="0.2"/>
    <n v="5.4432"/>
    <n v="10.108799999999999"/>
  </r>
  <r>
    <x v="313"/>
    <d v="2017-09-06T00:00:00"/>
    <x v="1"/>
    <s v="Ralph Kennedy"/>
    <s v="Consumer"/>
    <s v="United States"/>
    <x v="10"/>
    <x v="9"/>
    <x v="3"/>
    <x v="1"/>
    <x v="4"/>
    <x v="338"/>
    <n v="12.192"/>
    <n v="3"/>
    <n v="0.2"/>
    <n v="4.1147999999999998"/>
    <n v="8.0772000000000013"/>
  </r>
  <r>
    <x v="22"/>
    <d v="2016-06-24T00:00:00"/>
    <x v="1"/>
    <s v="Catherine Glotzbach"/>
    <s v="Home Office"/>
    <s v="United States"/>
    <x v="10"/>
    <x v="9"/>
    <x v="3"/>
    <x v="1"/>
    <x v="4"/>
    <x v="339"/>
    <n v="45.055999999999997"/>
    <n v="8"/>
    <n v="0.2"/>
    <n v="15.2064"/>
    <n v="29.849599999999995"/>
  </r>
  <r>
    <x v="314"/>
    <d v="2017-11-06T00:00:00"/>
    <x v="2"/>
    <s v="Ruben Ausman"/>
    <s v="Corporate"/>
    <s v="United States"/>
    <x v="150"/>
    <x v="27"/>
    <x v="1"/>
    <x v="2"/>
    <x v="12"/>
    <x v="259"/>
    <n v="159.99"/>
    <n v="1"/>
    <n v="0"/>
    <n v="54.396599999999999"/>
    <n v="105.5934"/>
  </r>
  <r>
    <x v="315"/>
    <d v="2015-12-17T00:00:00"/>
    <x v="1"/>
    <s v="Rachel Payne"/>
    <s v="Corporate"/>
    <s v="United States"/>
    <x v="151"/>
    <x v="1"/>
    <x v="1"/>
    <x v="1"/>
    <x v="4"/>
    <x v="340"/>
    <n v="12.96"/>
    <n v="2"/>
    <n v="0"/>
    <n v="6.2207999999999997"/>
    <n v="6.7392000000000012"/>
  </r>
  <r>
    <x v="316"/>
    <d v="2016-06-20T00:00:00"/>
    <x v="2"/>
    <s v="Karen Carlisle"/>
    <s v="Corporate"/>
    <s v="United States"/>
    <x v="8"/>
    <x v="1"/>
    <x v="1"/>
    <x v="1"/>
    <x v="4"/>
    <x v="341"/>
    <n v="17.12"/>
    <n v="2"/>
    <n v="0"/>
    <n v="8.0464000000000002"/>
    <n v="9.0736000000000008"/>
  </r>
  <r>
    <x v="317"/>
    <d v="2015-07-28T00:00:00"/>
    <x v="2"/>
    <s v="Cynthia Arntzen"/>
    <s v="Consumer"/>
    <s v="United States"/>
    <x v="112"/>
    <x v="16"/>
    <x v="1"/>
    <x v="0"/>
    <x v="2"/>
    <x v="342"/>
    <n v="393.16500000000002"/>
    <n v="3"/>
    <n v="0.5"/>
    <n v="-204.44579999999999"/>
    <n v="597.61080000000004"/>
  </r>
  <r>
    <x v="318"/>
    <d v="2017-04-07T00:00:00"/>
    <x v="1"/>
    <s v="Katherine Hughes"/>
    <s v="Consumer"/>
    <s v="United States"/>
    <x v="10"/>
    <x v="9"/>
    <x v="3"/>
    <x v="0"/>
    <x v="3"/>
    <x v="343"/>
    <n v="25.472000000000001"/>
    <n v="4"/>
    <n v="0.2"/>
    <n v="7.6416000000000004"/>
    <n v="17.830400000000001"/>
  </r>
  <r>
    <x v="107"/>
    <d v="2018-01-01T00:00:00"/>
    <x v="1"/>
    <s v="Greg Hansen"/>
    <s v="Consumer"/>
    <s v="United States"/>
    <x v="152"/>
    <x v="5"/>
    <x v="2"/>
    <x v="1"/>
    <x v="8"/>
    <x v="344"/>
    <n v="27.167999999999999"/>
    <n v="2"/>
    <n v="0.2"/>
    <n v="2.7168000000000001"/>
    <n v="24.4512"/>
  </r>
  <r>
    <x v="295"/>
    <d v="2017-12-04T00:00:00"/>
    <x v="1"/>
    <s v="Scott Williamson"/>
    <s v="Consumer"/>
    <s v="United States"/>
    <x v="24"/>
    <x v="35"/>
    <x v="0"/>
    <x v="1"/>
    <x v="7"/>
    <x v="24"/>
    <n v="173.8"/>
    <n v="5"/>
    <n v="0"/>
    <n v="43.45"/>
    <n v="130.35000000000002"/>
  </r>
  <r>
    <x v="319"/>
    <d v="2017-05-18T00:00:00"/>
    <x v="0"/>
    <s v="Joseph Airdo"/>
    <s v="Consumer"/>
    <s v="United States"/>
    <x v="153"/>
    <x v="16"/>
    <x v="1"/>
    <x v="2"/>
    <x v="11"/>
    <x v="345"/>
    <n v="29.591999999999999"/>
    <n v="1"/>
    <n v="0.2"/>
    <n v="2.5893000000000002"/>
    <n v="27.002699999999997"/>
  </r>
  <r>
    <x v="218"/>
    <d v="2017-11-19T00:00:00"/>
    <x v="1"/>
    <s v="Lindsay Williams"/>
    <s v="Corporate"/>
    <s v="United States"/>
    <x v="8"/>
    <x v="1"/>
    <x v="1"/>
    <x v="0"/>
    <x v="9"/>
    <x v="101"/>
    <n v="321.56799999999998"/>
    <n v="2"/>
    <n v="0.2"/>
    <n v="28.1372"/>
    <n v="293.43079999999998"/>
  </r>
  <r>
    <x v="142"/>
    <d v="2015-12-01T00:00:00"/>
    <x v="1"/>
    <s v="Thomas Brumley"/>
    <s v="Home Office"/>
    <s v="United States"/>
    <x v="154"/>
    <x v="38"/>
    <x v="0"/>
    <x v="1"/>
    <x v="5"/>
    <x v="346"/>
    <n v="6.24"/>
    <n v="2"/>
    <n v="0"/>
    <n v="3.0575999999999999"/>
    <n v="3.1824000000000003"/>
  </r>
  <r>
    <x v="131"/>
    <d v="2016-09-04T00:00:00"/>
    <x v="2"/>
    <s v="Cynthia Voltz"/>
    <s v="Corporate"/>
    <s v="United States"/>
    <x v="8"/>
    <x v="1"/>
    <x v="1"/>
    <x v="1"/>
    <x v="10"/>
    <x v="347"/>
    <n v="21.88"/>
    <n v="2"/>
    <n v="0"/>
    <n v="10.94"/>
    <n v="10.94"/>
  </r>
  <r>
    <x v="320"/>
    <d v="2017-04-11T00:00:00"/>
    <x v="2"/>
    <s v="Bryan Spruell"/>
    <s v="Home Office"/>
    <s v="United States"/>
    <x v="19"/>
    <x v="15"/>
    <x v="3"/>
    <x v="1"/>
    <x v="1"/>
    <x v="348"/>
    <n v="9.82"/>
    <n v="2"/>
    <n v="0"/>
    <n v="4.8117999999999999"/>
    <n v="5.0082000000000004"/>
  </r>
  <r>
    <x v="321"/>
    <d v="2014-01-18T00:00:00"/>
    <x v="0"/>
    <s v="Delfina Latchford"/>
    <s v="Consumer"/>
    <s v="United States"/>
    <x v="10"/>
    <x v="9"/>
    <x v="3"/>
    <x v="0"/>
    <x v="3"/>
    <x v="349"/>
    <n v="127.104"/>
    <n v="6"/>
    <n v="0.2"/>
    <n v="28.598400000000002"/>
    <n v="98.505600000000001"/>
  </r>
  <r>
    <x v="322"/>
    <d v="2017-07-15T00:00:00"/>
    <x v="1"/>
    <s v="Tamara Dahlen"/>
    <s v="Consumer"/>
    <s v="United States"/>
    <x v="31"/>
    <x v="21"/>
    <x v="1"/>
    <x v="1"/>
    <x v="5"/>
    <x v="350"/>
    <n v="1.08"/>
    <n v="2"/>
    <n v="0.7"/>
    <n v="-0.79200000000000004"/>
    <n v="1.8720000000000001"/>
  </r>
  <r>
    <x v="323"/>
    <d v="2017-01-10T00:00:00"/>
    <x v="2"/>
    <s v="Bart Watters"/>
    <s v="Corporate"/>
    <s v="United States"/>
    <x v="62"/>
    <x v="12"/>
    <x v="2"/>
    <x v="2"/>
    <x v="14"/>
    <x v="106"/>
    <n v="3059.982"/>
    <n v="2"/>
    <n v="0.1"/>
    <n v="679.99599999999998"/>
    <n v="2379.9859999999999"/>
  </r>
  <r>
    <x v="181"/>
    <d v="2016-05-31T00:00:00"/>
    <x v="2"/>
    <s v="Robert Waldorf"/>
    <s v="Consumer"/>
    <s v="United States"/>
    <x v="92"/>
    <x v="3"/>
    <x v="0"/>
    <x v="1"/>
    <x v="5"/>
    <x v="234"/>
    <n v="3.282"/>
    <n v="2"/>
    <n v="0.7"/>
    <n v="-2.6255999999999999"/>
    <n v="5.9076000000000004"/>
  </r>
  <r>
    <x v="304"/>
    <d v="2016-10-08T00:00:00"/>
    <x v="1"/>
    <s v="Emily Burns"/>
    <s v="Consumer"/>
    <s v="United States"/>
    <x v="19"/>
    <x v="15"/>
    <x v="3"/>
    <x v="0"/>
    <x v="9"/>
    <x v="351"/>
    <n v="599.29200000000003"/>
    <n v="6"/>
    <n v="0.1"/>
    <n v="93.223200000000006"/>
    <n v="506.06880000000001"/>
  </r>
  <r>
    <x v="7"/>
    <d v="2014-11-14T00:00:00"/>
    <x v="0"/>
    <s v="Tracy Zic"/>
    <s v="Consumer"/>
    <s v="United States"/>
    <x v="95"/>
    <x v="22"/>
    <x v="1"/>
    <x v="1"/>
    <x v="8"/>
    <x v="352"/>
    <n v="3.3919999999999999"/>
    <n v="1"/>
    <n v="0.2"/>
    <n v="0.80559999999999998"/>
    <n v="2.5863999999999998"/>
  </r>
  <r>
    <x v="324"/>
    <d v="2017-10-05T00:00:00"/>
    <x v="1"/>
    <s v="Ann Steele"/>
    <s v="Home Office"/>
    <s v="United States"/>
    <x v="42"/>
    <x v="5"/>
    <x v="2"/>
    <x v="1"/>
    <x v="1"/>
    <x v="294"/>
    <n v="7.968"/>
    <n v="2"/>
    <n v="0.2"/>
    <n v="2.5895999999999999"/>
    <n v="5.3784000000000001"/>
  </r>
  <r>
    <x v="325"/>
    <d v="2015-03-10T00:00:00"/>
    <x v="3"/>
    <s v="Toby Swindell"/>
    <s v="Consumer"/>
    <s v="United States"/>
    <x v="12"/>
    <x v="5"/>
    <x v="2"/>
    <x v="1"/>
    <x v="5"/>
    <x v="353"/>
    <n v="1.1120000000000001"/>
    <n v="2"/>
    <n v="0.8"/>
    <n v="-1.8904000000000001"/>
    <n v="3.0024000000000002"/>
  </r>
  <r>
    <x v="326"/>
    <d v="2017-05-26T00:00:00"/>
    <x v="1"/>
    <s v="John Grady"/>
    <s v="Corporate"/>
    <s v="United States"/>
    <x v="100"/>
    <x v="15"/>
    <x v="3"/>
    <x v="0"/>
    <x v="3"/>
    <x v="260"/>
    <n v="520.04999999999995"/>
    <n v="5"/>
    <n v="0"/>
    <n v="72.807000000000002"/>
    <n v="447.24299999999994"/>
  </r>
  <r>
    <x v="327"/>
    <d v="2015-03-31T00:00:00"/>
    <x v="0"/>
    <s v="Sara Luxemburg"/>
    <s v="Home Office"/>
    <s v="United States"/>
    <x v="99"/>
    <x v="2"/>
    <x v="0"/>
    <x v="0"/>
    <x v="9"/>
    <x v="354"/>
    <n v="1166.92"/>
    <n v="5"/>
    <n v="0.2"/>
    <n v="131.27850000000001"/>
    <n v="1035.6415000000002"/>
  </r>
  <r>
    <x v="328"/>
    <d v="2016-08-27T00:00:00"/>
    <x v="2"/>
    <s v="Roland Fjeld"/>
    <s v="Consumer"/>
    <s v="United States"/>
    <x v="46"/>
    <x v="1"/>
    <x v="1"/>
    <x v="1"/>
    <x v="13"/>
    <x v="355"/>
    <n v="10.23"/>
    <n v="3"/>
    <n v="0"/>
    <n v="4.9104000000000001"/>
    <n v="5.3196000000000003"/>
  </r>
  <r>
    <x v="329"/>
    <d v="2014-05-25T00:00:00"/>
    <x v="1"/>
    <s v="Mitch Willingham"/>
    <s v="Corporate"/>
    <s v="United States"/>
    <x v="155"/>
    <x v="17"/>
    <x v="0"/>
    <x v="1"/>
    <x v="5"/>
    <x v="356"/>
    <n v="2715.93"/>
    <n v="7"/>
    <n v="0"/>
    <n v="1276.4871000000001"/>
    <n v="1439.4428999999998"/>
  </r>
  <r>
    <x v="330"/>
    <d v="2015-11-03T00:00:00"/>
    <x v="1"/>
    <s v="Rob Dowd"/>
    <s v="Consumer"/>
    <s v="United States"/>
    <x v="0"/>
    <x v="0"/>
    <x v="0"/>
    <x v="1"/>
    <x v="10"/>
    <x v="357"/>
    <n v="10.67"/>
    <n v="1"/>
    <n v="0"/>
    <n v="4.9081999999999999"/>
    <n v="5.7618"/>
  </r>
  <r>
    <x v="331"/>
    <d v="2016-11-17T00:00:00"/>
    <x v="1"/>
    <s v="Frank Merwin"/>
    <s v="Home Office"/>
    <s v="United States"/>
    <x v="126"/>
    <x v="4"/>
    <x v="1"/>
    <x v="1"/>
    <x v="8"/>
    <x v="307"/>
    <n v="44.02"/>
    <n v="2"/>
    <n v="0"/>
    <n v="11.4452"/>
    <n v="32.574800000000003"/>
  </r>
  <r>
    <x v="332"/>
    <d v="2015-08-31T00:00:00"/>
    <x v="1"/>
    <s v="Ryan Akin"/>
    <s v="Consumer"/>
    <s v="United States"/>
    <x v="156"/>
    <x v="1"/>
    <x v="1"/>
    <x v="1"/>
    <x v="7"/>
    <x v="358"/>
    <n v="484.65"/>
    <n v="3"/>
    <n v="0"/>
    <n v="92.083500000000001"/>
    <n v="392.56649999999996"/>
  </r>
  <r>
    <x v="14"/>
    <d v="2015-09-19T00:00:00"/>
    <x v="0"/>
    <s v="Meg O'Connel"/>
    <s v="Home Office"/>
    <s v="United States"/>
    <x v="1"/>
    <x v="1"/>
    <x v="1"/>
    <x v="1"/>
    <x v="4"/>
    <x v="359"/>
    <n v="32.4"/>
    <n v="5"/>
    <n v="0"/>
    <n v="15.552"/>
    <n v="16.847999999999999"/>
  </r>
  <r>
    <x v="333"/>
    <d v="2015-07-10T00:00:00"/>
    <x v="1"/>
    <s v="Kalyca Meade"/>
    <s v="Corporate"/>
    <s v="United States"/>
    <x v="19"/>
    <x v="15"/>
    <x v="3"/>
    <x v="0"/>
    <x v="3"/>
    <x v="360"/>
    <n v="13.96"/>
    <n v="2"/>
    <n v="0"/>
    <n v="6.7008000000000001"/>
    <n v="7.2592000000000008"/>
  </r>
  <r>
    <x v="334"/>
    <d v="2015-05-03T00:00:00"/>
    <x v="1"/>
    <s v="Greg Tran"/>
    <s v="Consumer"/>
    <s v="United States"/>
    <x v="157"/>
    <x v="39"/>
    <x v="3"/>
    <x v="1"/>
    <x v="8"/>
    <x v="361"/>
    <n v="22.74"/>
    <n v="3"/>
    <n v="0"/>
    <n v="8.8686000000000007"/>
    <n v="13.871399999999998"/>
  </r>
  <r>
    <x v="335"/>
    <d v="2015-06-20T00:00:00"/>
    <x v="1"/>
    <s v="Philip Brown"/>
    <s v="Consumer"/>
    <s v="United States"/>
    <x v="10"/>
    <x v="9"/>
    <x v="3"/>
    <x v="1"/>
    <x v="10"/>
    <x v="362"/>
    <n v="6.2080000000000002"/>
    <n v="2"/>
    <n v="0.2"/>
    <n v="2.1728000000000001"/>
    <n v="4.0351999999999997"/>
  </r>
  <r>
    <x v="87"/>
    <d v="2017-12-20T00:00:00"/>
    <x v="2"/>
    <s v="Hallie Redmond"/>
    <s v="Home Office"/>
    <s v="United States"/>
    <x v="1"/>
    <x v="1"/>
    <x v="1"/>
    <x v="1"/>
    <x v="5"/>
    <x v="363"/>
    <n v="11.808"/>
    <n v="2"/>
    <n v="0.2"/>
    <n v="4.2804000000000002"/>
    <n v="7.5275999999999996"/>
  </r>
  <r>
    <x v="336"/>
    <d v="2016-01-13T00:00:00"/>
    <x v="0"/>
    <s v="Deanra Eno"/>
    <s v="Home Office"/>
    <s v="United States"/>
    <x v="23"/>
    <x v="24"/>
    <x v="3"/>
    <x v="1"/>
    <x v="4"/>
    <x v="364"/>
    <n v="15.552"/>
    <n v="3"/>
    <n v="0.2"/>
    <n v="5.4432"/>
    <n v="10.108799999999999"/>
  </r>
  <r>
    <x v="337"/>
    <d v="2014-07-15T00:00:00"/>
    <x v="1"/>
    <s v="Laura Armstrong"/>
    <s v="Corporate"/>
    <s v="United States"/>
    <x v="74"/>
    <x v="30"/>
    <x v="3"/>
    <x v="1"/>
    <x v="4"/>
    <x v="14"/>
    <n v="177.2"/>
    <n v="5"/>
    <n v="0"/>
    <n v="83.284000000000006"/>
    <n v="93.915999999999983"/>
  </r>
  <r>
    <x v="69"/>
    <d v="2016-11-22T00:00:00"/>
    <x v="2"/>
    <s v="Allen Goldenen"/>
    <s v="Consumer"/>
    <s v="United States"/>
    <x v="68"/>
    <x v="24"/>
    <x v="3"/>
    <x v="1"/>
    <x v="4"/>
    <x v="365"/>
    <n v="15.696"/>
    <n v="3"/>
    <n v="0.2"/>
    <n v="5.1012000000000004"/>
    <n v="10.594799999999999"/>
  </r>
  <r>
    <x v="338"/>
    <d v="2016-04-26T00:00:00"/>
    <x v="1"/>
    <s v="Ed Ludwig"/>
    <s v="Home Office"/>
    <s v="United States"/>
    <x v="158"/>
    <x v="25"/>
    <x v="2"/>
    <x v="0"/>
    <x v="3"/>
    <x v="366"/>
    <n v="86.62"/>
    <n v="2"/>
    <n v="0"/>
    <n v="8.6620000000000008"/>
    <n v="77.957999999999998"/>
  </r>
  <r>
    <x v="339"/>
    <d v="2015-06-14T00:00:00"/>
    <x v="2"/>
    <s v="Jennifer Jackson"/>
    <s v="Consumer"/>
    <s v="United States"/>
    <x v="1"/>
    <x v="1"/>
    <x v="1"/>
    <x v="1"/>
    <x v="5"/>
    <x v="367"/>
    <n v="36.624000000000002"/>
    <n v="3"/>
    <n v="0.2"/>
    <n v="13.734"/>
    <n v="22.89"/>
  </r>
  <r>
    <x v="340"/>
    <d v="2017-11-21T00:00:00"/>
    <x v="2"/>
    <s v="Jennifer Halladay"/>
    <s v="Consumer"/>
    <s v="United States"/>
    <x v="128"/>
    <x v="3"/>
    <x v="0"/>
    <x v="1"/>
    <x v="8"/>
    <x v="368"/>
    <n v="23.968"/>
    <n v="7"/>
    <n v="0.2"/>
    <n v="2.6964000000000001"/>
    <n v="21.271599999999999"/>
  </r>
  <r>
    <x v="46"/>
    <d v="2016-09-09T00:00:00"/>
    <x v="0"/>
    <s v="Mary O'Rourke"/>
    <s v="Consumer"/>
    <s v="United States"/>
    <x v="19"/>
    <x v="15"/>
    <x v="3"/>
    <x v="2"/>
    <x v="12"/>
    <x v="369"/>
    <n v="31.86"/>
    <n v="2"/>
    <n v="0"/>
    <n v="11.151"/>
    <n v="20.709"/>
  </r>
  <r>
    <x v="341"/>
    <d v="2017-10-16T00:00:00"/>
    <x v="1"/>
    <s v="Steve Nguyen"/>
    <s v="Home Office"/>
    <s v="United States"/>
    <x v="159"/>
    <x v="10"/>
    <x v="2"/>
    <x v="0"/>
    <x v="9"/>
    <x v="370"/>
    <n v="254.60400000000001"/>
    <n v="14"/>
    <n v="0.3"/>
    <n v="-18.186"/>
    <n v="272.79000000000002"/>
  </r>
  <r>
    <x v="342"/>
    <d v="2014-06-01T00:00:00"/>
    <x v="0"/>
    <s v="Lena Creighton"/>
    <s v="Consumer"/>
    <s v="United States"/>
    <x v="8"/>
    <x v="1"/>
    <x v="1"/>
    <x v="2"/>
    <x v="11"/>
    <x v="371"/>
    <n v="1113.5039999999999"/>
    <n v="12"/>
    <n v="0.2"/>
    <n v="125.2692"/>
    <n v="988.23479999999995"/>
  </r>
  <r>
    <x v="210"/>
    <d v="2015-07-05T00:00:00"/>
    <x v="2"/>
    <s v="Deirdre Greer"/>
    <s v="Corporate"/>
    <s v="United States"/>
    <x v="10"/>
    <x v="9"/>
    <x v="3"/>
    <x v="0"/>
    <x v="3"/>
    <x v="372"/>
    <n v="168.464"/>
    <n v="2"/>
    <n v="0.2"/>
    <n v="-29.481200000000001"/>
    <n v="197.9452"/>
  </r>
  <r>
    <x v="343"/>
    <d v="2015-04-08T00:00:00"/>
    <x v="1"/>
    <s v="Nicole Fjeld"/>
    <s v="Home Office"/>
    <s v="United States"/>
    <x v="19"/>
    <x v="15"/>
    <x v="3"/>
    <x v="1"/>
    <x v="8"/>
    <x v="373"/>
    <n v="11.16"/>
    <n v="2"/>
    <n v="0"/>
    <n v="4.3524000000000003"/>
    <n v="6.8075999999999999"/>
  </r>
  <r>
    <x v="344"/>
    <d v="2017-12-17T00:00:00"/>
    <x v="1"/>
    <s v="Ben Peterman"/>
    <s v="Corporate"/>
    <s v="United States"/>
    <x v="65"/>
    <x v="1"/>
    <x v="1"/>
    <x v="1"/>
    <x v="5"/>
    <x v="374"/>
    <n v="19.936"/>
    <n v="4"/>
    <n v="0.2"/>
    <n v="7.2267999999999999"/>
    <n v="12.709199999999999"/>
  </r>
  <r>
    <x v="345"/>
    <d v="2016-12-01T00:00:00"/>
    <x v="1"/>
    <s v="Matthew Grinstein"/>
    <s v="Home Office"/>
    <s v="United States"/>
    <x v="10"/>
    <x v="9"/>
    <x v="3"/>
    <x v="1"/>
    <x v="13"/>
    <x v="375"/>
    <n v="4.4160000000000004"/>
    <n v="3"/>
    <n v="0.2"/>
    <n v="1.6008"/>
    <n v="2.8152000000000004"/>
  </r>
  <r>
    <x v="346"/>
    <d v="2015-03-29T00:00:00"/>
    <x v="1"/>
    <s v="Julia Dunbar"/>
    <s v="Consumer"/>
    <s v="United States"/>
    <x v="12"/>
    <x v="5"/>
    <x v="2"/>
    <x v="0"/>
    <x v="9"/>
    <x v="175"/>
    <n v="107.77200000000001"/>
    <n v="2"/>
    <n v="0.3"/>
    <n v="-29.252400000000002"/>
    <n v="137.02440000000001"/>
  </r>
  <r>
    <x v="347"/>
    <d v="2015-04-21T00:00:00"/>
    <x v="1"/>
    <s v="Theresa Swint"/>
    <s v="Corporate"/>
    <s v="United States"/>
    <x v="160"/>
    <x v="24"/>
    <x v="3"/>
    <x v="1"/>
    <x v="6"/>
    <x v="376"/>
    <n v="45.216000000000001"/>
    <n v="3"/>
    <n v="0.2"/>
    <n v="4.5216000000000003"/>
    <n v="40.694400000000002"/>
  </r>
  <r>
    <x v="348"/>
    <d v="2017-09-30T00:00:00"/>
    <x v="0"/>
    <s v="Charles McCrossin"/>
    <s v="Consumer"/>
    <s v="United States"/>
    <x v="161"/>
    <x v="5"/>
    <x v="2"/>
    <x v="1"/>
    <x v="15"/>
    <x v="315"/>
    <n v="1.744"/>
    <n v="1"/>
    <n v="0.2"/>
    <n v="-0.3488"/>
    <n v="2.0928"/>
  </r>
  <r>
    <x v="349"/>
    <d v="2015-07-29T00:00:00"/>
    <x v="1"/>
    <s v="Ross Baird"/>
    <s v="Home Office"/>
    <s v="United States"/>
    <x v="10"/>
    <x v="9"/>
    <x v="3"/>
    <x v="1"/>
    <x v="5"/>
    <x v="377"/>
    <n v="25.175999999999998"/>
    <n v="4"/>
    <n v="0.7"/>
    <n v="-18.462399999999999"/>
    <n v="43.638399999999997"/>
  </r>
  <r>
    <x v="217"/>
    <d v="2016-05-02T00:00:00"/>
    <x v="1"/>
    <s v="Erica Hernandez"/>
    <s v="Home Office"/>
    <s v="United States"/>
    <x v="56"/>
    <x v="22"/>
    <x v="1"/>
    <x v="1"/>
    <x v="4"/>
    <x v="378"/>
    <n v="29.472000000000001"/>
    <n v="3"/>
    <n v="0.2"/>
    <n v="9.9467999999999996"/>
    <n v="19.525200000000002"/>
  </r>
  <r>
    <x v="350"/>
    <d v="2016-11-19T00:00:00"/>
    <x v="1"/>
    <s v="Maurice Satty"/>
    <s v="Consumer"/>
    <s v="United States"/>
    <x v="112"/>
    <x v="16"/>
    <x v="1"/>
    <x v="1"/>
    <x v="5"/>
    <x v="379"/>
    <n v="6.27"/>
    <n v="5"/>
    <n v="0.7"/>
    <n v="-4.5979999999999999"/>
    <n v="10.867999999999999"/>
  </r>
  <r>
    <x v="289"/>
    <d v="2016-09-30T00:00:00"/>
    <x v="2"/>
    <s v="Chad Cunningham"/>
    <s v="Home Office"/>
    <s v="United States"/>
    <x v="37"/>
    <x v="14"/>
    <x v="2"/>
    <x v="1"/>
    <x v="8"/>
    <x v="380"/>
    <n v="40.880000000000003"/>
    <n v="7"/>
    <n v="0"/>
    <n v="10.6288"/>
    <n v="30.251200000000004"/>
  </r>
  <r>
    <x v="351"/>
    <d v="2017-09-25T00:00:00"/>
    <x v="0"/>
    <s v="Don Weiss"/>
    <s v="Consumer"/>
    <s v="United States"/>
    <x v="4"/>
    <x v="4"/>
    <x v="1"/>
    <x v="1"/>
    <x v="6"/>
    <x v="381"/>
    <n v="119.96"/>
    <n v="2"/>
    <n v="0"/>
    <n v="33.588799999999999"/>
    <n v="86.371199999999988"/>
  </r>
  <r>
    <x v="352"/>
    <d v="2016-03-05T00:00:00"/>
    <x v="1"/>
    <s v="Karen Daniels"/>
    <s v="Consumer"/>
    <s v="United States"/>
    <x v="162"/>
    <x v="15"/>
    <x v="3"/>
    <x v="0"/>
    <x v="2"/>
    <x v="382"/>
    <n v="836.59199999999998"/>
    <n v="8"/>
    <n v="0.4"/>
    <n v="-264.92079999999999"/>
    <n v="1101.5128"/>
  </r>
  <r>
    <x v="353"/>
    <d v="2016-08-12T00:00:00"/>
    <x v="3"/>
    <s v="Lena Cacioppo"/>
    <s v="Consumer"/>
    <s v="United States"/>
    <x v="87"/>
    <x v="23"/>
    <x v="2"/>
    <x v="1"/>
    <x v="4"/>
    <x v="383"/>
    <n v="6.48"/>
    <n v="1"/>
    <n v="0"/>
    <n v="3.1103999999999998"/>
    <n v="3.3696000000000006"/>
  </r>
  <r>
    <x v="223"/>
    <d v="2016-08-20T00:00:00"/>
    <x v="0"/>
    <s v="Craig Yedwab"/>
    <s v="Corporate"/>
    <s v="United States"/>
    <x v="163"/>
    <x v="1"/>
    <x v="1"/>
    <x v="2"/>
    <x v="11"/>
    <x v="384"/>
    <n v="71.975999999999999"/>
    <n v="3"/>
    <n v="0.2"/>
    <n v="7.1976000000000004"/>
    <n v="64.778400000000005"/>
  </r>
  <r>
    <x v="354"/>
    <d v="2015-12-13T00:00:00"/>
    <x v="1"/>
    <s v="Naresj Patel"/>
    <s v="Consumer"/>
    <s v="United States"/>
    <x v="65"/>
    <x v="1"/>
    <x v="1"/>
    <x v="1"/>
    <x v="8"/>
    <x v="385"/>
    <n v="120.15"/>
    <n v="9"/>
    <n v="0"/>
    <n v="33.642000000000003"/>
    <n v="86.50800000000001"/>
  </r>
  <r>
    <x v="355"/>
    <d v="2017-01-26T00:00:00"/>
    <x v="1"/>
    <s v="Penelope Sewall"/>
    <s v="Home Office"/>
    <s v="United States"/>
    <x v="34"/>
    <x v="3"/>
    <x v="0"/>
    <x v="1"/>
    <x v="7"/>
    <x v="386"/>
    <n v="348.20800000000003"/>
    <n v="7"/>
    <n v="0.2"/>
    <n v="30.4682"/>
    <n v="317.7398"/>
  </r>
  <r>
    <x v="356"/>
    <d v="2014-06-28T00:00:00"/>
    <x v="2"/>
    <s v="Noel Staavos"/>
    <s v="Corporate"/>
    <s v="United States"/>
    <x v="1"/>
    <x v="1"/>
    <x v="1"/>
    <x v="0"/>
    <x v="2"/>
    <x v="387"/>
    <n v="447.84"/>
    <n v="5"/>
    <n v="0.2"/>
    <n v="11.196"/>
    <n v="436.64399999999995"/>
  </r>
  <r>
    <x v="357"/>
    <d v="2016-06-17T00:00:00"/>
    <x v="2"/>
    <s v="Paul Van Hugh"/>
    <s v="Home Office"/>
    <s v="United States"/>
    <x v="8"/>
    <x v="1"/>
    <x v="1"/>
    <x v="1"/>
    <x v="8"/>
    <x v="388"/>
    <n v="7.04"/>
    <n v="4"/>
    <n v="0"/>
    <n v="2.0415999999999999"/>
    <n v="4.9984000000000002"/>
  </r>
  <r>
    <x v="75"/>
    <d v="2017-04-27T00:00:00"/>
    <x v="1"/>
    <s v="Resi Pölking"/>
    <s v="Consumer"/>
    <s v="United States"/>
    <x v="12"/>
    <x v="5"/>
    <x v="2"/>
    <x v="1"/>
    <x v="5"/>
    <x v="389"/>
    <n v="2.694"/>
    <n v="3"/>
    <n v="0.8"/>
    <n v="-4.7145000000000001"/>
    <n v="7.4085000000000001"/>
  </r>
  <r>
    <x v="136"/>
    <d v="2016-10-27T00:00:00"/>
    <x v="1"/>
    <s v="Neoma Murray"/>
    <s v="Consumer"/>
    <s v="United States"/>
    <x v="151"/>
    <x v="1"/>
    <x v="1"/>
    <x v="1"/>
    <x v="4"/>
    <x v="390"/>
    <n v="22.92"/>
    <n v="3"/>
    <n v="0"/>
    <n v="11.2308"/>
    <n v="11.689200000000001"/>
  </r>
  <r>
    <x v="358"/>
    <d v="2016-07-24T00:00:00"/>
    <x v="0"/>
    <s v="Dionis Lloyd"/>
    <s v="Corporate"/>
    <s v="United States"/>
    <x v="8"/>
    <x v="1"/>
    <x v="1"/>
    <x v="1"/>
    <x v="1"/>
    <x v="391"/>
    <n v="6.3"/>
    <n v="2"/>
    <n v="0"/>
    <n v="3.024"/>
    <n v="3.2759999999999998"/>
  </r>
  <r>
    <x v="359"/>
    <d v="2014-01-26T00:00:00"/>
    <x v="1"/>
    <s v="Hunter Lopez"/>
    <s v="Consumer"/>
    <s v="United States"/>
    <x v="164"/>
    <x v="38"/>
    <x v="0"/>
    <x v="2"/>
    <x v="11"/>
    <x v="392"/>
    <n v="699.93"/>
    <n v="7"/>
    <n v="0"/>
    <n v="181.98179999999999"/>
    <n v="517.94819999999993"/>
  </r>
  <r>
    <x v="55"/>
    <d v="2015-03-07T00:00:00"/>
    <x v="1"/>
    <s v="Pete Armstrong"/>
    <s v="Home Office"/>
    <s v="United States"/>
    <x v="94"/>
    <x v="14"/>
    <x v="2"/>
    <x v="1"/>
    <x v="8"/>
    <x v="393"/>
    <n v="10.16"/>
    <n v="1"/>
    <n v="0"/>
    <n v="2.6415999999999999"/>
    <n v="7.5183999999999997"/>
  </r>
  <r>
    <x v="360"/>
    <d v="2016-04-16T00:00:00"/>
    <x v="1"/>
    <s v="Brian Dahlen"/>
    <s v="Consumer"/>
    <s v="United States"/>
    <x v="23"/>
    <x v="17"/>
    <x v="0"/>
    <x v="0"/>
    <x v="2"/>
    <x v="394"/>
    <n v="343.92"/>
    <n v="4"/>
    <n v="0"/>
    <n v="75.662400000000005"/>
    <n v="268.25760000000002"/>
  </r>
  <r>
    <x v="361"/>
    <d v="2016-12-07T00:00:00"/>
    <x v="2"/>
    <s v="Greg Guthrie"/>
    <s v="Corporate"/>
    <s v="United States"/>
    <x v="165"/>
    <x v="1"/>
    <x v="1"/>
    <x v="1"/>
    <x v="4"/>
    <x v="359"/>
    <n v="19.440000000000001"/>
    <n v="3"/>
    <n v="0"/>
    <n v="9.3312000000000008"/>
    <n v="10.1088"/>
  </r>
  <r>
    <x v="24"/>
    <d v="2016-12-11T00:00:00"/>
    <x v="3"/>
    <s v="Lena Radford"/>
    <s v="Consumer"/>
    <s v="United States"/>
    <x v="166"/>
    <x v="2"/>
    <x v="0"/>
    <x v="1"/>
    <x v="7"/>
    <x v="395"/>
    <n v="85.224000000000004"/>
    <n v="3"/>
    <n v="0.2"/>
    <n v="7.4570999999999996"/>
    <n v="77.766900000000007"/>
  </r>
  <r>
    <x v="350"/>
    <d v="2016-11-15T00:00:00"/>
    <x v="0"/>
    <s v="Frank Hawley"/>
    <s v="Corporate"/>
    <s v="United States"/>
    <x v="167"/>
    <x v="14"/>
    <x v="2"/>
    <x v="1"/>
    <x v="10"/>
    <x v="396"/>
    <n v="287.52"/>
    <n v="8"/>
    <n v="0"/>
    <n v="129.38399999999999"/>
    <n v="158.136"/>
  </r>
  <r>
    <x v="343"/>
    <d v="2015-04-04T00:00:00"/>
    <x v="3"/>
    <s v="Nat Carroll"/>
    <s v="Consumer"/>
    <s v="United States"/>
    <x v="168"/>
    <x v="12"/>
    <x v="2"/>
    <x v="1"/>
    <x v="6"/>
    <x v="397"/>
    <n v="644.07600000000002"/>
    <n v="2"/>
    <n v="0.1"/>
    <n v="107.346"/>
    <n v="536.73"/>
  </r>
  <r>
    <x v="362"/>
    <d v="2015-05-14T00:00:00"/>
    <x v="1"/>
    <s v="Claudia Bergmann"/>
    <s v="Corporate"/>
    <s v="United States"/>
    <x v="169"/>
    <x v="24"/>
    <x v="3"/>
    <x v="0"/>
    <x v="3"/>
    <x v="398"/>
    <n v="8.3520000000000003"/>
    <n v="6"/>
    <n v="0.2"/>
    <n v="1.2527999999999999"/>
    <n v="7.0992000000000006"/>
  </r>
  <r>
    <x v="363"/>
    <d v="2014-12-21T00:00:00"/>
    <x v="2"/>
    <s v="Penelope Sewall"/>
    <s v="Home Office"/>
    <s v="United States"/>
    <x v="170"/>
    <x v="17"/>
    <x v="0"/>
    <x v="1"/>
    <x v="7"/>
    <x v="399"/>
    <n v="122.48"/>
    <n v="2"/>
    <n v="0"/>
    <n v="0"/>
    <n v="122.48"/>
  </r>
  <r>
    <x v="364"/>
    <d v="2016-07-07T00:00:00"/>
    <x v="0"/>
    <s v="George Bell"/>
    <s v="Corporate"/>
    <s v="United States"/>
    <x v="1"/>
    <x v="1"/>
    <x v="1"/>
    <x v="0"/>
    <x v="9"/>
    <x v="400"/>
    <n v="195.184"/>
    <n v="1"/>
    <n v="0.2"/>
    <n v="19.5184"/>
    <n v="175.66559999999998"/>
  </r>
  <r>
    <x v="204"/>
    <d v="2017-07-04T00:00:00"/>
    <x v="1"/>
    <s v="Alex Avila"/>
    <s v="Consumer"/>
    <s v="United States"/>
    <x v="30"/>
    <x v="11"/>
    <x v="2"/>
    <x v="1"/>
    <x v="6"/>
    <x v="401"/>
    <n v="362.94"/>
    <n v="3"/>
    <n v="0"/>
    <n v="90.734999999999999"/>
    <n v="272.20499999999998"/>
  </r>
  <r>
    <x v="365"/>
    <d v="2014-09-05T00:00:00"/>
    <x v="0"/>
    <s v="Larry Tron"/>
    <s v="Consumer"/>
    <s v="United States"/>
    <x v="171"/>
    <x v="1"/>
    <x v="1"/>
    <x v="1"/>
    <x v="8"/>
    <x v="402"/>
    <n v="53.94"/>
    <n v="3"/>
    <n v="0"/>
    <n v="15.6426"/>
    <n v="38.297399999999996"/>
  </r>
  <r>
    <x v="205"/>
    <d v="2014-03-08T00:00:00"/>
    <x v="1"/>
    <s v="Anne Pryor"/>
    <s v="Home Office"/>
    <s v="United States"/>
    <x v="19"/>
    <x v="15"/>
    <x v="3"/>
    <x v="2"/>
    <x v="11"/>
    <x v="403"/>
    <n v="9.99"/>
    <n v="1"/>
    <n v="0"/>
    <n v="4.5953999999999997"/>
    <n v="5.3946000000000005"/>
  </r>
  <r>
    <x v="366"/>
    <d v="2014-05-08T00:00:00"/>
    <x v="1"/>
    <s v="Paul MacIntyre"/>
    <s v="Consumer"/>
    <s v="United States"/>
    <x v="24"/>
    <x v="12"/>
    <x v="2"/>
    <x v="1"/>
    <x v="5"/>
    <x v="310"/>
    <n v="46.8"/>
    <n v="4"/>
    <n v="0"/>
    <n v="21.06"/>
    <n v="25.74"/>
  </r>
  <r>
    <x v="367"/>
    <d v="2015-11-02T00:00:00"/>
    <x v="3"/>
    <s v="Kelly Collister"/>
    <s v="Consumer"/>
    <s v="United States"/>
    <x v="4"/>
    <x v="4"/>
    <x v="1"/>
    <x v="2"/>
    <x v="12"/>
    <x v="49"/>
    <n v="447.93"/>
    <n v="9"/>
    <n v="0"/>
    <n v="49.272300000000001"/>
    <n v="398.65769999999998"/>
  </r>
  <r>
    <x v="368"/>
    <d v="2014-03-14T00:00:00"/>
    <x v="1"/>
    <s v="Scott Williamson"/>
    <s v="Consumer"/>
    <s v="United States"/>
    <x v="172"/>
    <x v="12"/>
    <x v="2"/>
    <x v="1"/>
    <x v="4"/>
    <x v="404"/>
    <n v="22.38"/>
    <n v="2"/>
    <n v="0"/>
    <n v="10.7424"/>
    <n v="11.637599999999999"/>
  </r>
  <r>
    <x v="369"/>
    <d v="2014-04-25T00:00:00"/>
    <x v="1"/>
    <s v="Allen Armold"/>
    <s v="Consumer"/>
    <s v="United States"/>
    <x v="1"/>
    <x v="1"/>
    <x v="1"/>
    <x v="1"/>
    <x v="5"/>
    <x v="405"/>
    <n v="16.52"/>
    <n v="5"/>
    <n v="0.2"/>
    <n v="5.5754999999999999"/>
    <n v="10.9445"/>
  </r>
  <r>
    <x v="370"/>
    <d v="2015-10-26T00:00:00"/>
    <x v="1"/>
    <s v="Liz Thompson"/>
    <s v="Consumer"/>
    <s v="United States"/>
    <x v="39"/>
    <x v="10"/>
    <x v="2"/>
    <x v="1"/>
    <x v="5"/>
    <x v="406"/>
    <n v="5.1760000000000002"/>
    <n v="4"/>
    <n v="0.8"/>
    <n v="-7.7640000000000002"/>
    <n v="12.940000000000001"/>
  </r>
  <r>
    <x v="371"/>
    <d v="2015-08-25T00:00:00"/>
    <x v="2"/>
    <s v="Dave Poirier"/>
    <s v="Corporate"/>
    <s v="United States"/>
    <x v="19"/>
    <x v="15"/>
    <x v="3"/>
    <x v="1"/>
    <x v="5"/>
    <x v="407"/>
    <n v="50.112000000000002"/>
    <n v="6"/>
    <n v="0.2"/>
    <n v="16.2864"/>
    <n v="33.825600000000001"/>
  </r>
  <r>
    <x v="48"/>
    <d v="2016-12-05T00:00:00"/>
    <x v="1"/>
    <s v="Joel Eaton"/>
    <s v="Consumer"/>
    <s v="United States"/>
    <x v="173"/>
    <x v="40"/>
    <x v="3"/>
    <x v="0"/>
    <x v="9"/>
    <x v="408"/>
    <n v="172.5"/>
    <n v="2"/>
    <n v="0"/>
    <n v="51.75"/>
    <n v="120.75"/>
  </r>
  <r>
    <x v="372"/>
    <d v="2017-01-15T00:00:00"/>
    <x v="2"/>
    <s v="Rob Beeghly"/>
    <s v="Consumer"/>
    <s v="United States"/>
    <x v="99"/>
    <x v="3"/>
    <x v="0"/>
    <x v="1"/>
    <x v="10"/>
    <x v="409"/>
    <n v="21.744"/>
    <n v="1"/>
    <n v="0.2"/>
    <n v="7.3385999999999996"/>
    <n v="14.4054"/>
  </r>
  <r>
    <x v="144"/>
    <d v="2014-11-30T00:00:00"/>
    <x v="1"/>
    <s v="Harold Ryan"/>
    <s v="Corporate"/>
    <s v="United States"/>
    <x v="4"/>
    <x v="4"/>
    <x v="1"/>
    <x v="1"/>
    <x v="5"/>
    <x v="410"/>
    <n v="12.096"/>
    <n v="7"/>
    <n v="0.2"/>
    <n v="4.2336"/>
    <n v="7.8624000000000001"/>
  </r>
  <r>
    <x v="373"/>
    <d v="2017-02-28T00:00:00"/>
    <x v="0"/>
    <s v="Bradley Talbott"/>
    <s v="Home Office"/>
    <s v="United States"/>
    <x v="1"/>
    <x v="1"/>
    <x v="1"/>
    <x v="1"/>
    <x v="6"/>
    <x v="256"/>
    <n v="81.92"/>
    <n v="4"/>
    <n v="0"/>
    <n v="22.118400000000001"/>
    <n v="59.801600000000001"/>
  </r>
  <r>
    <x v="374"/>
    <d v="2015-09-15T00:00:00"/>
    <x v="3"/>
    <s v="Nat Gilpin"/>
    <s v="Corporate"/>
    <s v="United States"/>
    <x v="174"/>
    <x v="2"/>
    <x v="0"/>
    <x v="1"/>
    <x v="4"/>
    <x v="411"/>
    <n v="15.552"/>
    <n v="3"/>
    <n v="0.2"/>
    <n v="5.4432"/>
    <n v="10.108799999999999"/>
  </r>
  <r>
    <x v="375"/>
    <d v="2017-08-04T00:00:00"/>
    <x v="2"/>
    <s v="Larry Hughes"/>
    <s v="Consumer"/>
    <s v="United States"/>
    <x v="34"/>
    <x v="3"/>
    <x v="0"/>
    <x v="2"/>
    <x v="11"/>
    <x v="412"/>
    <n v="271.95999999999998"/>
    <n v="5"/>
    <n v="0.2"/>
    <n v="16.997499999999999"/>
    <n v="254.96249999999998"/>
  </r>
  <r>
    <x v="200"/>
    <d v="2016-07-18T00:00:00"/>
    <x v="0"/>
    <s v="Steven Ward"/>
    <s v="Corporate"/>
    <s v="United States"/>
    <x v="19"/>
    <x v="15"/>
    <x v="3"/>
    <x v="1"/>
    <x v="7"/>
    <x v="413"/>
    <n v="11.21"/>
    <n v="1"/>
    <n v="0"/>
    <n v="3.363"/>
    <n v="7.8470000000000013"/>
  </r>
  <r>
    <x v="376"/>
    <d v="2017-09-13T00:00:00"/>
    <x v="1"/>
    <s v="Stefania Perrino"/>
    <s v="Corporate"/>
    <s v="United States"/>
    <x v="10"/>
    <x v="9"/>
    <x v="3"/>
    <x v="0"/>
    <x v="9"/>
    <x v="97"/>
    <n v="141.37200000000001"/>
    <n v="2"/>
    <n v="0.3"/>
    <n v="-48.470399999999998"/>
    <n v="189.8424"/>
  </r>
  <r>
    <x v="125"/>
    <d v="2014-07-16T00:00:00"/>
    <x v="1"/>
    <s v="Ben Ferrer"/>
    <s v="Home Office"/>
    <s v="United States"/>
    <x v="1"/>
    <x v="1"/>
    <x v="1"/>
    <x v="1"/>
    <x v="7"/>
    <x v="8"/>
    <n v="249.75"/>
    <n v="9"/>
    <n v="0"/>
    <n v="44.954999999999998"/>
    <n v="204.79500000000002"/>
  </r>
  <r>
    <x v="92"/>
    <d v="2016-10-28T00:00:00"/>
    <x v="3"/>
    <s v="Patrick Gardner"/>
    <s v="Consumer"/>
    <s v="United States"/>
    <x v="175"/>
    <x v="2"/>
    <x v="0"/>
    <x v="0"/>
    <x v="3"/>
    <x v="414"/>
    <n v="47.951999999999998"/>
    <n v="3"/>
    <n v="0.2"/>
    <n v="13.786199999999999"/>
    <n v="34.165799999999997"/>
  </r>
  <r>
    <x v="377"/>
    <d v="2016-02-22T00:00:00"/>
    <x v="1"/>
    <s v="Patrick Gardner"/>
    <s v="Consumer"/>
    <s v="United States"/>
    <x v="19"/>
    <x v="15"/>
    <x v="3"/>
    <x v="1"/>
    <x v="5"/>
    <x v="415"/>
    <n v="398.35199999999998"/>
    <n v="3"/>
    <n v="0.2"/>
    <n v="124.485"/>
    <n v="273.86699999999996"/>
  </r>
  <r>
    <x v="274"/>
    <d v="2017-05-21T00:00:00"/>
    <x v="1"/>
    <s v="Eva Jacobs"/>
    <s v="Consumer"/>
    <s v="United States"/>
    <x v="176"/>
    <x v="35"/>
    <x v="0"/>
    <x v="1"/>
    <x v="10"/>
    <x v="416"/>
    <n v="48.69"/>
    <n v="9"/>
    <n v="0"/>
    <n v="23.8581"/>
    <n v="24.831899999999997"/>
  </r>
  <r>
    <x v="378"/>
    <d v="2014-12-14T00:00:00"/>
    <x v="0"/>
    <s v="Nora Preis"/>
    <s v="Consumer"/>
    <s v="United States"/>
    <x v="177"/>
    <x v="1"/>
    <x v="1"/>
    <x v="0"/>
    <x v="2"/>
    <x v="417"/>
    <n v="764.68799999999999"/>
    <n v="6"/>
    <n v="0.2"/>
    <n v="95.585999999999999"/>
    <n v="669.10199999999998"/>
  </r>
  <r>
    <x v="379"/>
    <d v="2017-12-24T00:00:00"/>
    <x v="1"/>
    <s v="Doug Jacobs"/>
    <s v="Consumer"/>
    <s v="United States"/>
    <x v="19"/>
    <x v="15"/>
    <x v="3"/>
    <x v="1"/>
    <x v="8"/>
    <x v="361"/>
    <n v="38.82"/>
    <n v="6"/>
    <n v="0"/>
    <n v="17.469000000000001"/>
    <n v="21.350999999999999"/>
  </r>
  <r>
    <x v="380"/>
    <d v="2017-03-14T00:00:00"/>
    <x v="1"/>
    <s v="Mick Hernandez"/>
    <s v="Home Office"/>
    <s v="United States"/>
    <x v="130"/>
    <x v="9"/>
    <x v="3"/>
    <x v="1"/>
    <x v="8"/>
    <x v="418"/>
    <n v="5.2480000000000002"/>
    <n v="2"/>
    <n v="0.2"/>
    <n v="0.59040000000000004"/>
    <n v="4.6576000000000004"/>
  </r>
  <r>
    <x v="381"/>
    <d v="2016-12-28T00:00:00"/>
    <x v="0"/>
    <s v="Ross Baird"/>
    <s v="Home Office"/>
    <s v="United States"/>
    <x v="34"/>
    <x v="3"/>
    <x v="0"/>
    <x v="1"/>
    <x v="5"/>
    <x v="419"/>
    <n v="27.882000000000001"/>
    <n v="3"/>
    <n v="0.7"/>
    <n v="-20.4468"/>
    <n v="48.328800000000001"/>
  </r>
  <r>
    <x v="382"/>
    <d v="2017-10-27T00:00:00"/>
    <x v="1"/>
    <s v="Jocasta Rupert"/>
    <s v="Consumer"/>
    <s v="United States"/>
    <x v="99"/>
    <x v="2"/>
    <x v="0"/>
    <x v="2"/>
    <x v="11"/>
    <x v="420"/>
    <n v="863.88"/>
    <n v="3"/>
    <n v="0.2"/>
    <n v="107.985"/>
    <n v="755.89499999999998"/>
  </r>
  <r>
    <x v="383"/>
    <d v="2017-07-09T00:00:00"/>
    <x v="0"/>
    <s v="Christine Sundaresam"/>
    <s v="Consumer"/>
    <s v="United States"/>
    <x v="76"/>
    <x v="15"/>
    <x v="3"/>
    <x v="1"/>
    <x v="5"/>
    <x v="12"/>
    <n v="17.472000000000001"/>
    <n v="3"/>
    <n v="0.2"/>
    <n v="6.3335999999999997"/>
    <n v="11.138400000000001"/>
  </r>
  <r>
    <x v="151"/>
    <d v="2014-12-29T00:00:00"/>
    <x v="1"/>
    <s v="Julie Creighton"/>
    <s v="Corporate"/>
    <s v="United States"/>
    <x v="1"/>
    <x v="1"/>
    <x v="1"/>
    <x v="1"/>
    <x v="7"/>
    <x v="171"/>
    <n v="142.86000000000001"/>
    <n v="1"/>
    <n v="0"/>
    <n v="41.429400000000001"/>
    <n v="101.43060000000001"/>
  </r>
  <r>
    <x v="351"/>
    <d v="2017-09-27T00:00:00"/>
    <x v="1"/>
    <s v="Brooke Gillingham"/>
    <s v="Corporate"/>
    <s v="United States"/>
    <x v="95"/>
    <x v="22"/>
    <x v="1"/>
    <x v="0"/>
    <x v="3"/>
    <x v="421"/>
    <n v="29.327999999999999"/>
    <n v="3"/>
    <n v="0.2"/>
    <n v="3.6659999999999999"/>
    <n v="25.661999999999999"/>
  </r>
  <r>
    <x v="384"/>
    <d v="2017-06-08T00:00:00"/>
    <x v="1"/>
    <s v="Dan Campbell"/>
    <s v="Consumer"/>
    <s v="United States"/>
    <x v="144"/>
    <x v="19"/>
    <x v="0"/>
    <x v="1"/>
    <x v="4"/>
    <x v="422"/>
    <n v="12.48"/>
    <n v="2"/>
    <n v="0"/>
    <n v="5.6159999999999997"/>
    <n v="6.8640000000000008"/>
  </r>
  <r>
    <x v="385"/>
    <d v="2016-05-26T00:00:00"/>
    <x v="3"/>
    <s v="Maurice Satty"/>
    <s v="Consumer"/>
    <s v="United States"/>
    <x v="5"/>
    <x v="5"/>
    <x v="2"/>
    <x v="1"/>
    <x v="4"/>
    <x v="423"/>
    <n v="10.368"/>
    <n v="2"/>
    <n v="0.2"/>
    <n v="3.6288"/>
    <n v="6.7392000000000003"/>
  </r>
  <r>
    <x v="386"/>
    <d v="2016-05-07T00:00:00"/>
    <x v="1"/>
    <s v="Bryan Davis"/>
    <s v="Consumer"/>
    <s v="United States"/>
    <x v="12"/>
    <x v="5"/>
    <x v="2"/>
    <x v="1"/>
    <x v="8"/>
    <x v="424"/>
    <n v="86.352000000000004"/>
    <n v="3"/>
    <n v="0.2"/>
    <n v="5.3970000000000002"/>
    <n v="80.954999999999998"/>
  </r>
  <r>
    <x v="72"/>
    <d v="2014-09-11T00:00:00"/>
    <x v="2"/>
    <s v="Karen Carlisle"/>
    <s v="Corporate"/>
    <s v="United States"/>
    <x v="178"/>
    <x v="32"/>
    <x v="0"/>
    <x v="2"/>
    <x v="12"/>
    <x v="425"/>
    <n v="32.97"/>
    <n v="3"/>
    <n v="0"/>
    <n v="12.8583"/>
    <n v="20.111699999999999"/>
  </r>
  <r>
    <x v="61"/>
    <d v="2016-09-06T00:00:00"/>
    <x v="2"/>
    <s v="Toby Ritter"/>
    <s v="Consumer"/>
    <s v="United States"/>
    <x v="179"/>
    <x v="23"/>
    <x v="2"/>
    <x v="2"/>
    <x v="11"/>
    <x v="426"/>
    <n v="278.39999999999998"/>
    <n v="3"/>
    <n v="0"/>
    <n v="80.736000000000004"/>
    <n v="197.66399999999999"/>
  </r>
  <r>
    <x v="174"/>
    <d v="2016-07-03T00:00:00"/>
    <x v="1"/>
    <s v="Gene McClure"/>
    <s v="Consumer"/>
    <s v="United States"/>
    <x v="180"/>
    <x v="34"/>
    <x v="3"/>
    <x v="1"/>
    <x v="7"/>
    <x v="427"/>
    <n v="14.9"/>
    <n v="5"/>
    <n v="0"/>
    <n v="1.0429999999999999"/>
    <n v="13.857000000000001"/>
  </r>
  <r>
    <x v="387"/>
    <d v="2015-07-08T00:00:00"/>
    <x v="1"/>
    <s v="Alan Dominguez"/>
    <s v="Home Office"/>
    <s v="United States"/>
    <x v="19"/>
    <x v="15"/>
    <x v="3"/>
    <x v="1"/>
    <x v="8"/>
    <x v="428"/>
    <n v="15.48"/>
    <n v="3"/>
    <n v="0"/>
    <n v="4.4892000000000003"/>
    <n v="10.9908"/>
  </r>
  <r>
    <x v="388"/>
    <d v="2016-11-26T00:00:00"/>
    <x v="1"/>
    <s v="Todd Boyes"/>
    <s v="Corporate"/>
    <s v="United States"/>
    <x v="19"/>
    <x v="15"/>
    <x v="3"/>
    <x v="0"/>
    <x v="3"/>
    <x v="429"/>
    <n v="39.880000000000003"/>
    <n v="2"/>
    <n v="0"/>
    <n v="11.166399999999999"/>
    <n v="28.713600000000003"/>
  </r>
  <r>
    <x v="332"/>
    <d v="2015-09-01T00:00:00"/>
    <x v="1"/>
    <s v="Philip Fox"/>
    <s v="Consumer"/>
    <s v="United States"/>
    <x v="65"/>
    <x v="1"/>
    <x v="1"/>
    <x v="1"/>
    <x v="15"/>
    <x v="430"/>
    <n v="32.94"/>
    <n v="3"/>
    <n v="0"/>
    <n v="9.2232000000000003"/>
    <n v="23.716799999999999"/>
  </r>
  <r>
    <x v="389"/>
    <d v="2015-05-29T00:00:00"/>
    <x v="1"/>
    <s v="Justin Hirsh"/>
    <s v="Consumer"/>
    <s v="United States"/>
    <x v="181"/>
    <x v="22"/>
    <x v="1"/>
    <x v="1"/>
    <x v="6"/>
    <x v="431"/>
    <n v="845.72799999999995"/>
    <n v="13"/>
    <n v="0.2"/>
    <n v="84.572800000000001"/>
    <n v="761.15519999999992"/>
  </r>
  <r>
    <x v="390"/>
    <d v="2016-12-12T00:00:00"/>
    <x v="0"/>
    <s v="Quincy Jones"/>
    <s v="Corporate"/>
    <s v="United States"/>
    <x v="32"/>
    <x v="11"/>
    <x v="2"/>
    <x v="2"/>
    <x v="11"/>
    <x v="199"/>
    <n v="114.95"/>
    <n v="5"/>
    <n v="0"/>
    <n v="2.2989999999999999"/>
    <n v="112.651"/>
  </r>
  <r>
    <x v="222"/>
    <d v="2015-10-07T00:00:00"/>
    <x v="2"/>
    <s v="Alex Avila"/>
    <s v="Consumer"/>
    <s v="United States"/>
    <x v="8"/>
    <x v="1"/>
    <x v="1"/>
    <x v="1"/>
    <x v="7"/>
    <x v="432"/>
    <n v="26.96"/>
    <n v="2"/>
    <n v="0"/>
    <n v="7.0095999999999998"/>
    <n v="19.950400000000002"/>
  </r>
  <r>
    <x v="391"/>
    <d v="2016-12-25T00:00:00"/>
    <x v="0"/>
    <s v="Logan Currie"/>
    <s v="Consumer"/>
    <s v="United States"/>
    <x v="23"/>
    <x v="17"/>
    <x v="0"/>
    <x v="0"/>
    <x v="3"/>
    <x v="433"/>
    <n v="572.76"/>
    <n v="6"/>
    <n v="0"/>
    <n v="166.10040000000001"/>
    <n v="406.65959999999995"/>
  </r>
  <r>
    <x v="392"/>
    <d v="2015-09-24T00:00:00"/>
    <x v="0"/>
    <s v="Tracy Collins"/>
    <s v="Home Office"/>
    <s v="United States"/>
    <x v="72"/>
    <x v="17"/>
    <x v="0"/>
    <x v="0"/>
    <x v="0"/>
    <x v="434"/>
    <n v="61.96"/>
    <n v="2"/>
    <n v="0"/>
    <n v="4.3372000000000002"/>
    <n v="57.622799999999998"/>
  </r>
  <r>
    <x v="393"/>
    <d v="2017-07-07T00:00:00"/>
    <x v="1"/>
    <s v="Chuck Sachs"/>
    <s v="Consumer"/>
    <s v="United States"/>
    <x v="37"/>
    <x v="32"/>
    <x v="0"/>
    <x v="0"/>
    <x v="3"/>
    <x v="435"/>
    <n v="23.99"/>
    <n v="1"/>
    <n v="0"/>
    <n v="5.5176999999999996"/>
    <n v="18.472299999999997"/>
  </r>
  <r>
    <x v="22"/>
    <d v="2016-06-21T00:00:00"/>
    <x v="2"/>
    <s v="Roy Collins"/>
    <s v="Consumer"/>
    <s v="United States"/>
    <x v="42"/>
    <x v="1"/>
    <x v="1"/>
    <x v="1"/>
    <x v="4"/>
    <x v="436"/>
    <n v="46.76"/>
    <n v="7"/>
    <n v="0"/>
    <n v="22.444800000000001"/>
    <n v="24.315199999999997"/>
  </r>
  <r>
    <x v="111"/>
    <d v="2016-12-23T00:00:00"/>
    <x v="1"/>
    <s v="Henry Goldwyn"/>
    <s v="Corporate"/>
    <s v="United States"/>
    <x v="1"/>
    <x v="1"/>
    <x v="1"/>
    <x v="1"/>
    <x v="4"/>
    <x v="437"/>
    <n v="38.880000000000003"/>
    <n v="6"/>
    <n v="0"/>
    <n v="18.662400000000002"/>
    <n v="20.217600000000001"/>
  </r>
  <r>
    <x v="244"/>
    <d v="2014-07-05T00:00:00"/>
    <x v="1"/>
    <s v="Laurel Workman"/>
    <s v="Corporate"/>
    <s v="United States"/>
    <x v="182"/>
    <x v="2"/>
    <x v="0"/>
    <x v="2"/>
    <x v="11"/>
    <x v="420"/>
    <n v="575.91999999999996"/>
    <n v="2"/>
    <n v="0.2"/>
    <n v="71.989999999999995"/>
    <n v="503.92999999999995"/>
  </r>
  <r>
    <x v="394"/>
    <d v="2017-02-08T00:00:00"/>
    <x v="1"/>
    <s v="Matt Collins"/>
    <s v="Consumer"/>
    <s v="United States"/>
    <x v="68"/>
    <x v="24"/>
    <x v="3"/>
    <x v="1"/>
    <x v="5"/>
    <x v="327"/>
    <n v="5.2290000000000001"/>
    <n v="3"/>
    <n v="0.7"/>
    <n v="-4.1832000000000003"/>
    <n v="9.4122000000000003"/>
  </r>
  <r>
    <x v="395"/>
    <d v="2017-03-08T00:00:00"/>
    <x v="1"/>
    <s v="Liz Preis"/>
    <s v="Consumer"/>
    <s v="United States"/>
    <x v="183"/>
    <x v="0"/>
    <x v="0"/>
    <x v="1"/>
    <x v="6"/>
    <x v="438"/>
    <n v="72.8"/>
    <n v="5"/>
    <n v="0"/>
    <n v="19.655999999999999"/>
    <n v="53.143999999999998"/>
  </r>
  <r>
    <x v="396"/>
    <d v="2017-10-10T00:00:00"/>
    <x v="2"/>
    <s v="Evan Bailliet"/>
    <s v="Consumer"/>
    <s v="United States"/>
    <x v="92"/>
    <x v="3"/>
    <x v="0"/>
    <x v="1"/>
    <x v="4"/>
    <x v="439"/>
    <n v="10.816000000000001"/>
    <n v="4"/>
    <n v="0.2"/>
    <n v="3.5152000000000001"/>
    <n v="7.3008000000000006"/>
  </r>
  <r>
    <x v="342"/>
    <d v="2014-05-30T00:00:00"/>
    <x v="2"/>
    <s v="Laurel Elliston"/>
    <s v="Consumer"/>
    <s v="United States"/>
    <x v="21"/>
    <x v="10"/>
    <x v="2"/>
    <x v="1"/>
    <x v="5"/>
    <x v="440"/>
    <n v="17.46"/>
    <n v="6"/>
    <n v="0.8"/>
    <n v="-30.555"/>
    <n v="48.015000000000001"/>
  </r>
  <r>
    <x v="397"/>
    <d v="2015-06-18T00:00:00"/>
    <x v="1"/>
    <s v="Alan Dominguez"/>
    <s v="Home Office"/>
    <s v="United States"/>
    <x v="10"/>
    <x v="9"/>
    <x v="3"/>
    <x v="0"/>
    <x v="3"/>
    <x v="441"/>
    <n v="51.072000000000003"/>
    <n v="6"/>
    <n v="0.2"/>
    <n v="5.1071999999999997"/>
    <n v="45.964800000000004"/>
  </r>
  <r>
    <x v="398"/>
    <d v="2016-04-01T00:00:00"/>
    <x v="2"/>
    <s v="Cathy Prescott"/>
    <s v="Corporate"/>
    <s v="United States"/>
    <x v="148"/>
    <x v="29"/>
    <x v="3"/>
    <x v="1"/>
    <x v="4"/>
    <x v="442"/>
    <n v="11.34"/>
    <n v="1"/>
    <n v="0"/>
    <n v="5.5566000000000004"/>
    <n v="5.7833999999999994"/>
  </r>
  <r>
    <x v="399"/>
    <d v="2017-10-18T00:00:00"/>
    <x v="0"/>
    <s v="Frank Gastineau"/>
    <s v="Home Office"/>
    <s v="United States"/>
    <x v="8"/>
    <x v="1"/>
    <x v="1"/>
    <x v="1"/>
    <x v="8"/>
    <x v="443"/>
    <n v="87.92"/>
    <n v="4"/>
    <n v="0"/>
    <n v="26.376000000000001"/>
    <n v="61.543999999999997"/>
  </r>
  <r>
    <x v="400"/>
    <d v="2016-05-27T00:00:00"/>
    <x v="1"/>
    <s v="Lisa DeCherney"/>
    <s v="Consumer"/>
    <s v="United States"/>
    <x v="8"/>
    <x v="1"/>
    <x v="1"/>
    <x v="0"/>
    <x v="3"/>
    <x v="444"/>
    <n v="37.049999999999997"/>
    <n v="3"/>
    <n v="0"/>
    <n v="16.302"/>
    <n v="20.747999999999998"/>
  </r>
  <r>
    <x v="401"/>
    <d v="2017-06-06T00:00:00"/>
    <x v="1"/>
    <s v="Alejandro Ballentine"/>
    <s v="Home Office"/>
    <s v="United States"/>
    <x v="145"/>
    <x v="24"/>
    <x v="3"/>
    <x v="2"/>
    <x v="11"/>
    <x v="445"/>
    <n v="2.97"/>
    <n v="1"/>
    <n v="0.4"/>
    <n v="-0.64349999999999996"/>
    <n v="3.6135000000000002"/>
  </r>
  <r>
    <x v="402"/>
    <d v="2014-02-21T00:00:00"/>
    <x v="1"/>
    <s v="Michael Nguyen"/>
    <s v="Consumer"/>
    <s v="United States"/>
    <x v="57"/>
    <x v="5"/>
    <x v="2"/>
    <x v="1"/>
    <x v="5"/>
    <x v="350"/>
    <n v="1.08"/>
    <n v="3"/>
    <n v="0.8"/>
    <n v="-1.728"/>
    <n v="2.8079999999999998"/>
  </r>
  <r>
    <x v="403"/>
    <d v="2014-05-10T00:00:00"/>
    <x v="1"/>
    <s v="Harold Pawlan"/>
    <s v="Home Office"/>
    <s v="United States"/>
    <x v="1"/>
    <x v="1"/>
    <x v="1"/>
    <x v="1"/>
    <x v="5"/>
    <x v="446"/>
    <n v="140.73599999999999"/>
    <n v="8"/>
    <n v="0.2"/>
    <n v="52.776000000000003"/>
    <n v="87.95999999999998"/>
  </r>
  <r>
    <x v="170"/>
    <d v="2017-04-02T00:00:00"/>
    <x v="0"/>
    <s v="Chad McGuire"/>
    <s v="Consumer"/>
    <s v="United States"/>
    <x v="19"/>
    <x v="15"/>
    <x v="3"/>
    <x v="0"/>
    <x v="3"/>
    <x v="447"/>
    <n v="29.78"/>
    <n v="2"/>
    <n v="0"/>
    <n v="8.0405999999999995"/>
    <n v="21.739400000000003"/>
  </r>
  <r>
    <x v="404"/>
    <d v="2017-01-04T00:00:00"/>
    <x v="2"/>
    <s v="Aaron Smayling"/>
    <s v="Corporate"/>
    <s v="United States"/>
    <x v="99"/>
    <x v="3"/>
    <x v="0"/>
    <x v="2"/>
    <x v="14"/>
    <x v="448"/>
    <n v="695.7"/>
    <n v="2"/>
    <n v="0.5"/>
    <n v="-27.827999999999999"/>
    <n v="723.52800000000002"/>
  </r>
  <r>
    <x v="67"/>
    <d v="2015-06-01T00:00:00"/>
    <x v="1"/>
    <s v="Karl Braun"/>
    <s v="Consumer"/>
    <s v="United States"/>
    <x v="184"/>
    <x v="15"/>
    <x v="3"/>
    <x v="1"/>
    <x v="8"/>
    <x v="449"/>
    <n v="47.82"/>
    <n v="3"/>
    <n v="0"/>
    <n v="14.346"/>
    <n v="33.474000000000004"/>
  </r>
  <r>
    <x v="405"/>
    <d v="2014-03-24T00:00:00"/>
    <x v="1"/>
    <s v="Bradley Nguyen"/>
    <s v="Consumer"/>
    <s v="United States"/>
    <x v="64"/>
    <x v="11"/>
    <x v="2"/>
    <x v="1"/>
    <x v="6"/>
    <x v="266"/>
    <n v="93.78"/>
    <n v="2"/>
    <n v="0"/>
    <n v="36.574199999999998"/>
    <n v="57.205800000000004"/>
  </r>
  <r>
    <x v="406"/>
    <d v="2014-10-08T00:00:00"/>
    <x v="0"/>
    <s v="Beth Paige"/>
    <s v="Consumer"/>
    <s v="United States"/>
    <x v="135"/>
    <x v="10"/>
    <x v="2"/>
    <x v="0"/>
    <x v="9"/>
    <x v="450"/>
    <n v="258.279"/>
    <n v="3"/>
    <n v="0.3"/>
    <n v="-70.104299999999995"/>
    <n v="328.38329999999996"/>
  </r>
  <r>
    <x v="407"/>
    <d v="2016-03-31T00:00:00"/>
    <x v="2"/>
    <s v="Aaron Smayling"/>
    <s v="Corporate"/>
    <s v="United States"/>
    <x v="72"/>
    <x v="17"/>
    <x v="0"/>
    <x v="1"/>
    <x v="7"/>
    <x v="451"/>
    <n v="31.4"/>
    <n v="2"/>
    <n v="0"/>
    <n v="7.85"/>
    <n v="23.549999999999997"/>
  </r>
  <r>
    <x v="408"/>
    <d v="2017-05-09T00:00:00"/>
    <x v="1"/>
    <s v="Lindsay Williams"/>
    <s v="Corporate"/>
    <s v="United States"/>
    <x v="8"/>
    <x v="1"/>
    <x v="1"/>
    <x v="2"/>
    <x v="11"/>
    <x v="452"/>
    <n v="183.96"/>
    <n v="5"/>
    <n v="0.2"/>
    <n v="20.695499999999999"/>
    <n v="163.2645"/>
  </r>
  <r>
    <x v="409"/>
    <d v="2014-10-01T00:00:00"/>
    <x v="0"/>
    <s v="Kean Takahito"/>
    <s v="Consumer"/>
    <s v="United States"/>
    <x v="1"/>
    <x v="1"/>
    <x v="1"/>
    <x v="0"/>
    <x v="9"/>
    <x v="453"/>
    <n v="145.56800000000001"/>
    <n v="2"/>
    <n v="0.2"/>
    <n v="0"/>
    <n v="145.56800000000001"/>
  </r>
  <r>
    <x v="15"/>
    <d v="2017-10-25T00:00:00"/>
    <x v="1"/>
    <s v="Harry Marie"/>
    <s v="Corporate"/>
    <s v="United States"/>
    <x v="10"/>
    <x v="9"/>
    <x v="3"/>
    <x v="1"/>
    <x v="8"/>
    <x v="307"/>
    <n v="123.256"/>
    <n v="7"/>
    <n v="0.2"/>
    <n v="9.2441999999999993"/>
    <n v="114.01179999999999"/>
  </r>
  <r>
    <x v="130"/>
    <d v="2017-07-11T00:00:00"/>
    <x v="2"/>
    <s v="Sam Zeldin"/>
    <s v="Home Office"/>
    <s v="United States"/>
    <x v="185"/>
    <x v="1"/>
    <x v="1"/>
    <x v="0"/>
    <x v="3"/>
    <x v="122"/>
    <n v="145.9"/>
    <n v="5"/>
    <n v="0"/>
    <n v="62.737000000000002"/>
    <n v="83.163000000000011"/>
  </r>
  <r>
    <x v="93"/>
    <d v="2015-12-28T00:00:00"/>
    <x v="1"/>
    <s v="Jim Radford"/>
    <s v="Consumer"/>
    <s v="United States"/>
    <x v="186"/>
    <x v="22"/>
    <x v="1"/>
    <x v="0"/>
    <x v="0"/>
    <x v="81"/>
    <n v="590.05799999999999"/>
    <n v="7"/>
    <n v="0.7"/>
    <n v="-786.74400000000003"/>
    <n v="1376.8020000000001"/>
  </r>
  <r>
    <x v="410"/>
    <d v="2017-03-12T00:00:00"/>
    <x v="1"/>
    <s v="Michael Granlund"/>
    <s v="Home Office"/>
    <s v="United States"/>
    <x v="187"/>
    <x v="40"/>
    <x v="3"/>
    <x v="2"/>
    <x v="12"/>
    <x v="454"/>
    <n v="49.08"/>
    <n v="3"/>
    <n v="0"/>
    <n v="4.9080000000000004"/>
    <n v="44.171999999999997"/>
  </r>
  <r>
    <x v="411"/>
    <d v="2014-04-06T00:00:00"/>
    <x v="0"/>
    <s v="Kunst Miller"/>
    <s v="Consumer"/>
    <s v="United States"/>
    <x v="121"/>
    <x v="1"/>
    <x v="1"/>
    <x v="1"/>
    <x v="1"/>
    <x v="455"/>
    <n v="29.6"/>
    <n v="2"/>
    <n v="0"/>
    <n v="14.8"/>
    <n v="14.8"/>
  </r>
  <r>
    <x v="412"/>
    <d v="2016-02-05T00:00:00"/>
    <x v="3"/>
    <s v="Paul Prost"/>
    <s v="Home Office"/>
    <s v="United States"/>
    <x v="188"/>
    <x v="32"/>
    <x v="0"/>
    <x v="1"/>
    <x v="7"/>
    <x v="456"/>
    <n v="80.98"/>
    <n v="1"/>
    <n v="0"/>
    <n v="1.6195999999999999"/>
    <n v="79.360399999999998"/>
  </r>
  <r>
    <x v="396"/>
    <d v="2017-10-14T00:00:00"/>
    <x v="1"/>
    <s v="Cyma Kinney"/>
    <s v="Corporate"/>
    <s v="United States"/>
    <x v="33"/>
    <x v="10"/>
    <x v="2"/>
    <x v="0"/>
    <x v="2"/>
    <x v="457"/>
    <n v="652.45000000000005"/>
    <n v="5"/>
    <n v="0.5"/>
    <n v="-430.61700000000002"/>
    <n v="1083.067"/>
  </r>
  <r>
    <x v="413"/>
    <d v="2016-11-05T00:00:00"/>
    <x v="1"/>
    <s v="Katherine Murray"/>
    <s v="Home Office"/>
    <s v="United States"/>
    <x v="116"/>
    <x v="17"/>
    <x v="0"/>
    <x v="2"/>
    <x v="11"/>
    <x v="458"/>
    <n v="21.8"/>
    <n v="2"/>
    <n v="0"/>
    <n v="6.1040000000000001"/>
    <n v="15.696000000000002"/>
  </r>
  <r>
    <x v="414"/>
    <d v="2016-04-25T00:00:00"/>
    <x v="1"/>
    <s v="Gary Mitchum"/>
    <s v="Home Office"/>
    <s v="United States"/>
    <x v="37"/>
    <x v="24"/>
    <x v="3"/>
    <x v="0"/>
    <x v="2"/>
    <x v="459"/>
    <n v="205.17599999999999"/>
    <n v="2"/>
    <n v="0.4"/>
    <n v="-58.133200000000002"/>
    <n v="263.30919999999998"/>
  </r>
  <r>
    <x v="290"/>
    <d v="2014-04-08T00:00:00"/>
    <x v="2"/>
    <s v="Shirley Daniels"/>
    <s v="Home Office"/>
    <s v="United States"/>
    <x v="10"/>
    <x v="9"/>
    <x v="3"/>
    <x v="1"/>
    <x v="15"/>
    <x v="226"/>
    <n v="10.304"/>
    <n v="1"/>
    <n v="0.2"/>
    <n v="-2.1896"/>
    <n v="12.493600000000001"/>
  </r>
  <r>
    <x v="415"/>
    <d v="2016-07-13T00:00:00"/>
    <x v="1"/>
    <s v="Jonathan Doherty"/>
    <s v="Corporate"/>
    <s v="United States"/>
    <x v="19"/>
    <x v="15"/>
    <x v="3"/>
    <x v="0"/>
    <x v="9"/>
    <x v="287"/>
    <n v="408.00599999999997"/>
    <n v="2"/>
    <n v="0.1"/>
    <n v="72.534400000000005"/>
    <n v="335.47159999999997"/>
  </r>
  <r>
    <x v="416"/>
    <d v="2017-01-31T00:00:00"/>
    <x v="0"/>
    <s v="Beth Thompson"/>
    <s v="Home Office"/>
    <s v="United States"/>
    <x v="104"/>
    <x v="1"/>
    <x v="1"/>
    <x v="2"/>
    <x v="12"/>
    <x v="460"/>
    <n v="239.97"/>
    <n v="3"/>
    <n v="0"/>
    <n v="26.396699999999999"/>
    <n v="213.57329999999999"/>
  </r>
  <r>
    <x v="184"/>
    <d v="2017-11-30T00:00:00"/>
    <x v="1"/>
    <s v="Liz Thompson"/>
    <s v="Consumer"/>
    <s v="United States"/>
    <x v="37"/>
    <x v="24"/>
    <x v="3"/>
    <x v="2"/>
    <x v="11"/>
    <x v="452"/>
    <n v="220.75200000000001"/>
    <n v="8"/>
    <n v="0.4"/>
    <n v="-40.471200000000003"/>
    <n v="261.22320000000002"/>
  </r>
  <r>
    <x v="417"/>
    <d v="2016-12-30T00:00:00"/>
    <x v="1"/>
    <s v="Frank Preis"/>
    <s v="Consumer"/>
    <s v="United States"/>
    <x v="4"/>
    <x v="4"/>
    <x v="1"/>
    <x v="1"/>
    <x v="4"/>
    <x v="461"/>
    <n v="33.9"/>
    <n v="5"/>
    <n v="0"/>
    <n v="15.593999999999999"/>
    <n v="18.305999999999997"/>
  </r>
  <r>
    <x v="51"/>
    <d v="2015-10-15T00:00:00"/>
    <x v="3"/>
    <s v="Joel Eaton"/>
    <s v="Consumer"/>
    <s v="United States"/>
    <x v="102"/>
    <x v="5"/>
    <x v="2"/>
    <x v="2"/>
    <x v="12"/>
    <x v="462"/>
    <n v="263.88"/>
    <n v="3"/>
    <n v="0.2"/>
    <n v="42.880499999999998"/>
    <n v="220.99950000000001"/>
  </r>
  <r>
    <x v="418"/>
    <d v="2017-08-08T00:00:00"/>
    <x v="2"/>
    <s v="Pauline Webber"/>
    <s v="Corporate"/>
    <s v="United States"/>
    <x v="94"/>
    <x v="0"/>
    <x v="0"/>
    <x v="1"/>
    <x v="4"/>
    <x v="463"/>
    <n v="13.76"/>
    <n v="2"/>
    <n v="0"/>
    <n v="6.3296000000000001"/>
    <n v="7.4303999999999997"/>
  </r>
  <r>
    <x v="400"/>
    <d v="2016-05-28T00:00:00"/>
    <x v="1"/>
    <s v="Ken Lonsdale"/>
    <s v="Consumer"/>
    <s v="United States"/>
    <x v="21"/>
    <x v="10"/>
    <x v="2"/>
    <x v="2"/>
    <x v="11"/>
    <x v="464"/>
    <n v="1979.9280000000001"/>
    <n v="9"/>
    <n v="0.2"/>
    <n v="148.49459999999999"/>
    <n v="1831.4334000000001"/>
  </r>
  <r>
    <x v="419"/>
    <d v="2017-06-16T00:00:00"/>
    <x v="2"/>
    <s v="Shirley Daniels"/>
    <s v="Home Office"/>
    <s v="United States"/>
    <x v="21"/>
    <x v="10"/>
    <x v="2"/>
    <x v="1"/>
    <x v="7"/>
    <x v="465"/>
    <n v="164.73599999999999"/>
    <n v="4"/>
    <n v="0.2"/>
    <n v="-39.1248"/>
    <n v="203.86079999999998"/>
  </r>
  <r>
    <x v="420"/>
    <d v="2014-04-24T00:00:00"/>
    <x v="2"/>
    <s v="Theresa Swint"/>
    <s v="Corporate"/>
    <s v="United States"/>
    <x v="10"/>
    <x v="9"/>
    <x v="3"/>
    <x v="1"/>
    <x v="5"/>
    <x v="466"/>
    <n v="2.5019999999999998"/>
    <n v="3"/>
    <n v="0.7"/>
    <n v="-1.7514000000000001"/>
    <n v="4.2534000000000001"/>
  </r>
  <r>
    <x v="421"/>
    <d v="2015-05-07T00:00:00"/>
    <x v="1"/>
    <s v="Jennifer Braxton"/>
    <s v="Corporate"/>
    <s v="United States"/>
    <x v="1"/>
    <x v="1"/>
    <x v="1"/>
    <x v="2"/>
    <x v="11"/>
    <x v="467"/>
    <n v="88.751999999999995"/>
    <n v="3"/>
    <n v="0.2"/>
    <n v="11.093999999999999"/>
    <n v="77.658000000000001"/>
  </r>
  <r>
    <x v="422"/>
    <d v="2015-07-20T00:00:00"/>
    <x v="2"/>
    <s v="Thais Sissman"/>
    <s v="Consumer"/>
    <s v="United States"/>
    <x v="153"/>
    <x v="16"/>
    <x v="1"/>
    <x v="1"/>
    <x v="5"/>
    <x v="468"/>
    <n v="2.0249999999999999"/>
    <n v="1"/>
    <n v="0.7"/>
    <n v="-1.35"/>
    <n v="3.375"/>
  </r>
  <r>
    <x v="423"/>
    <d v="2016-11-29T00:00:00"/>
    <x v="2"/>
    <s v="Mark Cousins"/>
    <s v="Corporate"/>
    <s v="United States"/>
    <x v="189"/>
    <x v="19"/>
    <x v="0"/>
    <x v="1"/>
    <x v="4"/>
    <x v="14"/>
    <n v="70.98"/>
    <n v="7"/>
    <n v="0"/>
    <n v="34.780200000000001"/>
    <n v="36.199800000000003"/>
  </r>
  <r>
    <x v="424"/>
    <d v="2015-08-21T00:00:00"/>
    <x v="1"/>
    <s v="Shaun Chance"/>
    <s v="Corporate"/>
    <s v="United States"/>
    <x v="190"/>
    <x v="31"/>
    <x v="3"/>
    <x v="1"/>
    <x v="5"/>
    <x v="139"/>
    <n v="52.2"/>
    <n v="9"/>
    <n v="0"/>
    <n v="23.49"/>
    <n v="28.710000000000004"/>
  </r>
  <r>
    <x v="20"/>
    <d v="2016-03-15T00:00:00"/>
    <x v="1"/>
    <s v="Mick Brown"/>
    <s v="Consumer"/>
    <s v="United States"/>
    <x v="191"/>
    <x v="30"/>
    <x v="3"/>
    <x v="0"/>
    <x v="2"/>
    <x v="382"/>
    <n v="244.006"/>
    <n v="2"/>
    <n v="0.3"/>
    <n v="-31.372199999999999"/>
    <n v="275.37819999999999"/>
  </r>
  <r>
    <x v="213"/>
    <d v="2014-08-14T00:00:00"/>
    <x v="1"/>
    <s v="Maria Bertelson"/>
    <s v="Consumer"/>
    <s v="United States"/>
    <x v="192"/>
    <x v="16"/>
    <x v="1"/>
    <x v="0"/>
    <x v="3"/>
    <x v="469"/>
    <n v="121.376"/>
    <n v="4"/>
    <n v="0.2"/>
    <n v="-3.0344000000000002"/>
    <n v="124.41040000000001"/>
  </r>
  <r>
    <x v="425"/>
    <d v="2015-05-16T00:00:00"/>
    <x v="3"/>
    <s v="Tracy Hopkins"/>
    <s v="Home Office"/>
    <s v="United States"/>
    <x v="99"/>
    <x v="2"/>
    <x v="0"/>
    <x v="2"/>
    <x v="12"/>
    <x v="304"/>
    <n v="255.96799999999999"/>
    <n v="4"/>
    <n v="0.2"/>
    <n v="31.995999999999999"/>
    <n v="223.97199999999998"/>
  </r>
  <r>
    <x v="426"/>
    <d v="2015-09-27T00:00:00"/>
    <x v="0"/>
    <s v="Odella Nelson"/>
    <s v="Corporate"/>
    <s v="United States"/>
    <x v="10"/>
    <x v="9"/>
    <x v="3"/>
    <x v="1"/>
    <x v="8"/>
    <x v="470"/>
    <n v="6.8479999999999999"/>
    <n v="2"/>
    <n v="0.2"/>
    <n v="0.59919999999999995"/>
    <n v="6.2488000000000001"/>
  </r>
  <r>
    <x v="427"/>
    <d v="2016-11-25T00:00:00"/>
    <x v="1"/>
    <s v="Nora Pelletier"/>
    <s v="Home Office"/>
    <s v="United States"/>
    <x v="193"/>
    <x v="15"/>
    <x v="3"/>
    <x v="1"/>
    <x v="8"/>
    <x v="471"/>
    <n v="17.28"/>
    <n v="6"/>
    <n v="0"/>
    <n v="5.0111999999999997"/>
    <n v="12.268800000000002"/>
  </r>
  <r>
    <x v="428"/>
    <d v="2017-03-24T00:00:00"/>
    <x v="1"/>
    <s v="Catherine Glotzbach"/>
    <s v="Home Office"/>
    <s v="United States"/>
    <x v="19"/>
    <x v="15"/>
    <x v="3"/>
    <x v="1"/>
    <x v="1"/>
    <x v="472"/>
    <n v="28.91"/>
    <n v="7"/>
    <n v="0"/>
    <n v="13.2986"/>
    <n v="15.6114"/>
  </r>
  <r>
    <x v="112"/>
    <d v="2017-11-20T00:00:00"/>
    <x v="2"/>
    <s v="Katherine Ducich"/>
    <s v="Consumer"/>
    <s v="United States"/>
    <x v="194"/>
    <x v="1"/>
    <x v="1"/>
    <x v="2"/>
    <x v="11"/>
    <x v="189"/>
    <n v="31.968"/>
    <n v="4"/>
    <n v="0.2"/>
    <n v="2.3976000000000002"/>
    <n v="29.570399999999999"/>
  </r>
  <r>
    <x v="429"/>
    <d v="2016-12-08T00:00:00"/>
    <x v="1"/>
    <s v="Mike Kennedy"/>
    <s v="Consumer"/>
    <s v="United States"/>
    <x v="8"/>
    <x v="1"/>
    <x v="1"/>
    <x v="1"/>
    <x v="4"/>
    <x v="473"/>
    <n v="25.92"/>
    <n v="4"/>
    <n v="0"/>
    <n v="12.441599999999999"/>
    <n v="13.478400000000002"/>
  </r>
  <r>
    <x v="430"/>
    <d v="2016-10-18T00:00:00"/>
    <x v="1"/>
    <s v="Christine Phan"/>
    <s v="Corporate"/>
    <s v="United States"/>
    <x v="4"/>
    <x v="4"/>
    <x v="1"/>
    <x v="2"/>
    <x v="12"/>
    <x v="474"/>
    <n v="177"/>
    <n v="3"/>
    <n v="0"/>
    <n v="30.09"/>
    <n v="146.91"/>
  </r>
  <r>
    <x v="431"/>
    <d v="2014-12-03T00:00:00"/>
    <x v="1"/>
    <s v="Maxwell Schwartz"/>
    <s v="Consumer"/>
    <s v="United States"/>
    <x v="19"/>
    <x v="15"/>
    <x v="3"/>
    <x v="1"/>
    <x v="13"/>
    <x v="200"/>
    <n v="3.76"/>
    <n v="2"/>
    <n v="0"/>
    <n v="1.3160000000000001"/>
    <n v="2.444"/>
  </r>
  <r>
    <x v="432"/>
    <d v="2015-11-07T00:00:00"/>
    <x v="1"/>
    <s v="Corinna Mitchell"/>
    <s v="Home Office"/>
    <s v="United States"/>
    <x v="1"/>
    <x v="1"/>
    <x v="1"/>
    <x v="2"/>
    <x v="11"/>
    <x v="475"/>
    <n v="1212.848"/>
    <n v="7"/>
    <n v="0.2"/>
    <n v="106.1242"/>
    <n v="1106.7238"/>
  </r>
  <r>
    <x v="433"/>
    <d v="2014-12-06T00:00:00"/>
    <x v="1"/>
    <s v="Corey-Lock"/>
    <s v="Consumer"/>
    <s v="United States"/>
    <x v="10"/>
    <x v="9"/>
    <x v="3"/>
    <x v="1"/>
    <x v="1"/>
    <x v="476"/>
    <n v="5.04"/>
    <n v="2"/>
    <n v="0.2"/>
    <n v="1.764"/>
    <n v="3.2759999999999998"/>
  </r>
  <r>
    <x v="434"/>
    <d v="2017-05-05T00:00:00"/>
    <x v="0"/>
    <s v="Dionis Lloyd"/>
    <s v="Corporate"/>
    <s v="United States"/>
    <x v="19"/>
    <x v="15"/>
    <x v="3"/>
    <x v="1"/>
    <x v="10"/>
    <x v="15"/>
    <n v="62.96"/>
    <n v="4"/>
    <n v="0"/>
    <n v="28.332000000000001"/>
    <n v="34.628"/>
  </r>
  <r>
    <x v="435"/>
    <d v="2017-11-03T00:00:00"/>
    <x v="1"/>
    <s v="Jane Waco"/>
    <s v="Corporate"/>
    <s v="United States"/>
    <x v="126"/>
    <x v="4"/>
    <x v="1"/>
    <x v="0"/>
    <x v="3"/>
    <x v="477"/>
    <n v="9.64"/>
    <n v="2"/>
    <n v="0"/>
    <n v="3.6631999999999998"/>
    <n v="5.9768000000000008"/>
  </r>
  <r>
    <x v="436"/>
    <d v="2014-12-19T00:00:00"/>
    <x v="0"/>
    <s v="Roy Französisch"/>
    <s v="Consumer"/>
    <s v="United States"/>
    <x v="37"/>
    <x v="32"/>
    <x v="0"/>
    <x v="1"/>
    <x v="8"/>
    <x v="385"/>
    <n v="40.049999999999997"/>
    <n v="3"/>
    <n v="0"/>
    <n v="11.214"/>
    <n v="28.835999999999999"/>
  </r>
  <r>
    <x v="437"/>
    <d v="2016-10-20T00:00:00"/>
    <x v="2"/>
    <s v="Neil Knudson"/>
    <s v="Home Office"/>
    <s v="United States"/>
    <x v="8"/>
    <x v="1"/>
    <x v="1"/>
    <x v="1"/>
    <x v="5"/>
    <x v="478"/>
    <n v="18.16"/>
    <n v="5"/>
    <n v="0.2"/>
    <n v="6.5830000000000002"/>
    <n v="11.577"/>
  </r>
  <r>
    <x v="182"/>
    <d v="2017-11-18T00:00:00"/>
    <x v="1"/>
    <s v="Nathan Gelder"/>
    <s v="Consumer"/>
    <s v="United States"/>
    <x v="80"/>
    <x v="5"/>
    <x v="2"/>
    <x v="1"/>
    <x v="4"/>
    <x v="479"/>
    <n v="16.056000000000001"/>
    <n v="3"/>
    <n v="0.2"/>
    <n v="5.8202999999999996"/>
    <n v="10.235700000000001"/>
  </r>
  <r>
    <x v="438"/>
    <d v="2015-08-07T00:00:00"/>
    <x v="1"/>
    <s v="Pauline Chand"/>
    <s v="Home Office"/>
    <s v="United States"/>
    <x v="1"/>
    <x v="1"/>
    <x v="1"/>
    <x v="1"/>
    <x v="8"/>
    <x v="480"/>
    <n v="6.72"/>
    <n v="4"/>
    <n v="0"/>
    <n v="3.36"/>
    <n v="3.36"/>
  </r>
  <r>
    <x v="85"/>
    <d v="2017-07-01T00:00:00"/>
    <x v="1"/>
    <s v="Nicole Hansen"/>
    <s v="Corporate"/>
    <s v="United States"/>
    <x v="195"/>
    <x v="1"/>
    <x v="1"/>
    <x v="1"/>
    <x v="8"/>
    <x v="481"/>
    <n v="385.6"/>
    <n v="8"/>
    <n v="0"/>
    <n v="111.824"/>
    <n v="273.77600000000001"/>
  </r>
  <r>
    <x v="439"/>
    <d v="2017-08-22T00:00:00"/>
    <x v="1"/>
    <s v="Russell Applegate"/>
    <s v="Consumer"/>
    <s v="United States"/>
    <x v="57"/>
    <x v="5"/>
    <x v="2"/>
    <x v="1"/>
    <x v="7"/>
    <x v="482"/>
    <n v="200.06399999999999"/>
    <n v="3"/>
    <n v="0.2"/>
    <n v="12.504"/>
    <n v="187.56"/>
  </r>
  <r>
    <x v="440"/>
    <d v="2014-02-06T00:00:00"/>
    <x v="0"/>
    <s v="Tom Boeckenhauer"/>
    <s v="Consumer"/>
    <s v="United States"/>
    <x v="4"/>
    <x v="4"/>
    <x v="1"/>
    <x v="1"/>
    <x v="5"/>
    <x v="127"/>
    <n v="83.84"/>
    <n v="2"/>
    <n v="0.2"/>
    <n v="27.248000000000001"/>
    <n v="56.591999999999999"/>
  </r>
  <r>
    <x v="441"/>
    <d v="2017-02-14T00:00:00"/>
    <x v="0"/>
    <s v="Victoria Wilson"/>
    <s v="Corporate"/>
    <s v="United States"/>
    <x v="8"/>
    <x v="1"/>
    <x v="1"/>
    <x v="1"/>
    <x v="5"/>
    <x v="483"/>
    <n v="21.335999999999999"/>
    <n v="7"/>
    <n v="0.2"/>
    <n v="7.7343000000000002"/>
    <n v="13.601699999999997"/>
  </r>
  <r>
    <x v="442"/>
    <d v="2017-04-21T00:00:00"/>
    <x v="1"/>
    <s v="Paul Lucas"/>
    <s v="Home Office"/>
    <s v="United States"/>
    <x v="21"/>
    <x v="10"/>
    <x v="2"/>
    <x v="1"/>
    <x v="8"/>
    <x v="484"/>
    <n v="16.52"/>
    <n v="5"/>
    <n v="0.2"/>
    <n v="2.0649999999999999"/>
    <n v="14.455"/>
  </r>
  <r>
    <x v="193"/>
    <d v="2015-11-10T00:00:00"/>
    <x v="0"/>
    <s v="Mike Caudle"/>
    <s v="Corporate"/>
    <s v="United States"/>
    <x v="43"/>
    <x v="13"/>
    <x v="3"/>
    <x v="1"/>
    <x v="13"/>
    <x v="485"/>
    <n v="26.18"/>
    <n v="7"/>
    <n v="0"/>
    <n v="0.52359999999999995"/>
    <n v="25.656400000000001"/>
  </r>
  <r>
    <x v="443"/>
    <d v="2017-09-05T00:00:00"/>
    <x v="1"/>
    <s v="Jeremy Farry"/>
    <s v="Consumer"/>
    <s v="United States"/>
    <x v="196"/>
    <x v="16"/>
    <x v="1"/>
    <x v="1"/>
    <x v="7"/>
    <x v="486"/>
    <n v="10.744"/>
    <n v="1"/>
    <n v="0.2"/>
    <n v="0.80579999999999996"/>
    <n v="9.9382000000000001"/>
  </r>
  <r>
    <x v="444"/>
    <d v="2014-03-16T00:00:00"/>
    <x v="0"/>
    <s v="Chloris Kastensmidt"/>
    <s v="Consumer"/>
    <s v="United States"/>
    <x v="37"/>
    <x v="24"/>
    <x v="3"/>
    <x v="0"/>
    <x v="3"/>
    <x v="487"/>
    <n v="8.32"/>
    <n v="5"/>
    <n v="0.2"/>
    <n v="2.2879999999999998"/>
    <n v="6.032"/>
  </r>
  <r>
    <x v="445"/>
    <d v="2014-02-08T00:00:00"/>
    <x v="1"/>
    <s v="Deborah Brumfield"/>
    <s v="Home Office"/>
    <s v="United States"/>
    <x v="65"/>
    <x v="1"/>
    <x v="1"/>
    <x v="1"/>
    <x v="5"/>
    <x v="488"/>
    <n v="82.896000000000001"/>
    <n v="3"/>
    <n v="0.2"/>
    <n v="29.0136"/>
    <n v="53.882400000000004"/>
  </r>
  <r>
    <x v="446"/>
    <d v="2015-11-27T00:00:00"/>
    <x v="1"/>
    <s v="Victoria Brennan"/>
    <s v="Corporate"/>
    <s v="United States"/>
    <x v="49"/>
    <x v="5"/>
    <x v="2"/>
    <x v="1"/>
    <x v="4"/>
    <x v="489"/>
    <n v="335.52"/>
    <n v="4"/>
    <n v="0.2"/>
    <n v="117.432"/>
    <n v="218.08799999999997"/>
  </r>
  <r>
    <x v="25"/>
    <d v="2016-06-22T00:00:00"/>
    <x v="1"/>
    <s v="Ivan Gibson"/>
    <s v="Consumer"/>
    <s v="United States"/>
    <x v="65"/>
    <x v="1"/>
    <x v="1"/>
    <x v="1"/>
    <x v="4"/>
    <x v="490"/>
    <n v="111.96"/>
    <n v="2"/>
    <n v="0"/>
    <n v="54.860399999999998"/>
    <n v="57.099599999999995"/>
  </r>
  <r>
    <x v="447"/>
    <d v="2014-05-05T00:00:00"/>
    <x v="2"/>
    <s v="Joni Sundaresam"/>
    <s v="Home Office"/>
    <s v="United States"/>
    <x v="197"/>
    <x v="6"/>
    <x v="2"/>
    <x v="1"/>
    <x v="1"/>
    <x v="491"/>
    <n v="21.56"/>
    <n v="7"/>
    <n v="0"/>
    <n v="10.348800000000001"/>
    <n v="11.211199999999998"/>
  </r>
  <r>
    <x v="448"/>
    <d v="2017-10-21T00:00:00"/>
    <x v="1"/>
    <s v="Bobby Odegard"/>
    <s v="Consumer"/>
    <s v="United States"/>
    <x v="94"/>
    <x v="0"/>
    <x v="0"/>
    <x v="1"/>
    <x v="5"/>
    <x v="318"/>
    <n v="124.75"/>
    <n v="5"/>
    <n v="0"/>
    <n v="57.384999999999998"/>
    <n v="67.365000000000009"/>
  </r>
  <r>
    <x v="178"/>
    <d v="2016-05-15T00:00:00"/>
    <x v="1"/>
    <s v="Julia West"/>
    <s v="Consumer"/>
    <s v="United States"/>
    <x v="10"/>
    <x v="9"/>
    <x v="3"/>
    <x v="1"/>
    <x v="10"/>
    <x v="70"/>
    <n v="9.3439999999999994"/>
    <n v="1"/>
    <n v="0.2"/>
    <n v="3.504"/>
    <n v="5.84"/>
  </r>
  <r>
    <x v="183"/>
    <d v="2015-03-18T00:00:00"/>
    <x v="0"/>
    <s v="Jeremy Ellison"/>
    <s v="Consumer"/>
    <s v="United States"/>
    <x v="4"/>
    <x v="4"/>
    <x v="1"/>
    <x v="0"/>
    <x v="2"/>
    <x v="394"/>
    <n v="171.96"/>
    <n v="2"/>
    <n v="0"/>
    <n v="44.709600000000002"/>
    <n v="127.25040000000001"/>
  </r>
  <r>
    <x v="449"/>
    <d v="2014-04-09T00:00:00"/>
    <x v="1"/>
    <s v="Paul Knutson"/>
    <s v="Home Office"/>
    <s v="United States"/>
    <x v="8"/>
    <x v="1"/>
    <x v="1"/>
    <x v="1"/>
    <x v="1"/>
    <x v="492"/>
    <n v="18.899999999999999"/>
    <n v="6"/>
    <n v="0"/>
    <n v="9.0719999999999992"/>
    <n v="9.8279999999999994"/>
  </r>
  <r>
    <x v="148"/>
    <d v="2017-06-30T00:00:00"/>
    <x v="3"/>
    <s v="Sheri Gordon"/>
    <s v="Consumer"/>
    <s v="United States"/>
    <x v="19"/>
    <x v="15"/>
    <x v="3"/>
    <x v="0"/>
    <x v="2"/>
    <x v="2"/>
    <n v="1044.6300000000001"/>
    <n v="5"/>
    <n v="0.4"/>
    <n v="-295.9785"/>
    <n v="1340.6085"/>
  </r>
  <r>
    <x v="450"/>
    <d v="2014-03-04T00:00:00"/>
    <x v="3"/>
    <s v="Clay Ludtke"/>
    <s v="Consumer"/>
    <s v="United States"/>
    <x v="28"/>
    <x v="20"/>
    <x v="0"/>
    <x v="1"/>
    <x v="7"/>
    <x v="493"/>
    <n v="354.9"/>
    <n v="5"/>
    <n v="0"/>
    <n v="17.745000000000001"/>
    <n v="337.15499999999997"/>
  </r>
  <r>
    <x v="451"/>
    <d v="2015-03-25T00:00:00"/>
    <x v="1"/>
    <s v="Jesus Ocampo"/>
    <s v="Home Office"/>
    <s v="United States"/>
    <x v="4"/>
    <x v="4"/>
    <x v="1"/>
    <x v="2"/>
    <x v="11"/>
    <x v="494"/>
    <n v="453.57600000000002"/>
    <n v="3"/>
    <n v="0.2"/>
    <n v="39.687899999999999"/>
    <n v="413.88810000000001"/>
  </r>
  <r>
    <x v="452"/>
    <d v="2017-06-11T00:00:00"/>
    <x v="3"/>
    <s v="Dianna Vittorini"/>
    <s v="Consumer"/>
    <s v="United States"/>
    <x v="1"/>
    <x v="1"/>
    <x v="1"/>
    <x v="1"/>
    <x v="4"/>
    <x v="495"/>
    <n v="122.97"/>
    <n v="3"/>
    <n v="0"/>
    <n v="60.255299999999998"/>
    <n v="62.714700000000001"/>
  </r>
  <r>
    <x v="453"/>
    <d v="2014-11-25T00:00:00"/>
    <x v="2"/>
    <s v="Sanjit Chand"/>
    <s v="Consumer"/>
    <s v="United States"/>
    <x v="1"/>
    <x v="1"/>
    <x v="1"/>
    <x v="0"/>
    <x v="9"/>
    <x v="38"/>
    <n v="603.91999999999996"/>
    <n v="5"/>
    <n v="0.2"/>
    <n v="-67.941000000000003"/>
    <n v="671.86099999999999"/>
  </r>
  <r>
    <x v="454"/>
    <d v="2014-12-18T00:00:00"/>
    <x v="2"/>
    <s v="Mick Crebagga"/>
    <s v="Consumer"/>
    <s v="United States"/>
    <x v="198"/>
    <x v="5"/>
    <x v="2"/>
    <x v="2"/>
    <x v="11"/>
    <x v="496"/>
    <n v="40.68"/>
    <n v="3"/>
    <n v="0.2"/>
    <n v="-9.1530000000000005"/>
    <n v="49.832999999999998"/>
  </r>
  <r>
    <x v="455"/>
    <d v="2016-03-01T00:00:00"/>
    <x v="2"/>
    <s v="Dan Lawera"/>
    <s v="Consumer"/>
    <s v="United States"/>
    <x v="19"/>
    <x v="15"/>
    <x v="3"/>
    <x v="1"/>
    <x v="6"/>
    <x v="497"/>
    <n v="170.88"/>
    <n v="3"/>
    <n v="0"/>
    <n v="49.555199999999999"/>
    <n v="121.3248"/>
  </r>
  <r>
    <x v="94"/>
    <d v="2015-08-12T00:00:00"/>
    <x v="2"/>
    <s v="Naresj Patel"/>
    <s v="Consumer"/>
    <s v="United States"/>
    <x v="19"/>
    <x v="15"/>
    <x v="3"/>
    <x v="2"/>
    <x v="11"/>
    <x v="150"/>
    <n v="307.98"/>
    <n v="2"/>
    <n v="0"/>
    <n v="89.3142"/>
    <n v="218.66580000000002"/>
  </r>
  <r>
    <x v="456"/>
    <d v="2016-05-16T00:00:00"/>
    <x v="1"/>
    <s v="Vivek Grady"/>
    <s v="Corporate"/>
    <s v="United States"/>
    <x v="155"/>
    <x v="17"/>
    <x v="0"/>
    <x v="1"/>
    <x v="8"/>
    <x v="195"/>
    <n v="10.96"/>
    <n v="4"/>
    <n v="0"/>
    <n v="2.9592000000000001"/>
    <n v="8.0008000000000017"/>
  </r>
  <r>
    <x v="161"/>
    <d v="2016-04-19T00:00:00"/>
    <x v="1"/>
    <s v="Muhammed Yedwab"/>
    <s v="Corporate"/>
    <s v="United States"/>
    <x v="199"/>
    <x v="5"/>
    <x v="2"/>
    <x v="1"/>
    <x v="8"/>
    <x v="498"/>
    <n v="33.488"/>
    <n v="7"/>
    <n v="0.2"/>
    <n v="5.8604000000000003"/>
    <n v="27.627600000000001"/>
  </r>
  <r>
    <x v="457"/>
    <d v="2015-06-25T00:00:00"/>
    <x v="0"/>
    <s v="Rick Duston"/>
    <s v="Consumer"/>
    <s v="United States"/>
    <x v="200"/>
    <x v="4"/>
    <x v="1"/>
    <x v="2"/>
    <x v="11"/>
    <x v="499"/>
    <n v="201.56800000000001"/>
    <n v="4"/>
    <n v="0.2"/>
    <n v="22.676400000000001"/>
    <n v="178.89160000000001"/>
  </r>
  <r>
    <x v="458"/>
    <d v="2014-10-19T00:00:00"/>
    <x v="3"/>
    <s v="Jeremy Farry"/>
    <s v="Consumer"/>
    <s v="United States"/>
    <x v="1"/>
    <x v="1"/>
    <x v="1"/>
    <x v="1"/>
    <x v="4"/>
    <x v="500"/>
    <n v="13.44"/>
    <n v="3"/>
    <n v="0"/>
    <n v="6.5856000000000003"/>
    <n v="6.8543999999999992"/>
  </r>
  <r>
    <x v="459"/>
    <d v="2015-03-27T00:00:00"/>
    <x v="2"/>
    <s v="Dennis Pardue"/>
    <s v="Home Office"/>
    <s v="United States"/>
    <x v="88"/>
    <x v="10"/>
    <x v="2"/>
    <x v="0"/>
    <x v="0"/>
    <x v="501"/>
    <n v="359.05799999999999"/>
    <n v="3"/>
    <n v="0.3"/>
    <n v="-35.905799999999999"/>
    <n v="394.96379999999999"/>
  </r>
  <r>
    <x v="460"/>
    <d v="2017-05-12T00:00:00"/>
    <x v="1"/>
    <s v="Maribeth Dona"/>
    <s v="Consumer"/>
    <s v="United States"/>
    <x v="37"/>
    <x v="24"/>
    <x v="3"/>
    <x v="0"/>
    <x v="9"/>
    <x v="502"/>
    <n v="47.991999999999997"/>
    <n v="2"/>
    <n v="0.3"/>
    <n v="-2.0568"/>
    <n v="50.0488"/>
  </r>
  <r>
    <x v="461"/>
    <d v="2016-05-13T00:00:00"/>
    <x v="0"/>
    <s v="George Bell"/>
    <s v="Corporate"/>
    <s v="United States"/>
    <x v="17"/>
    <x v="13"/>
    <x v="3"/>
    <x v="0"/>
    <x v="3"/>
    <x v="503"/>
    <n v="211.96"/>
    <n v="2"/>
    <n v="0"/>
    <n v="42.392000000000003"/>
    <n v="169.56800000000001"/>
  </r>
  <r>
    <x v="414"/>
    <d v="2016-04-24T00:00:00"/>
    <x v="0"/>
    <s v="Jas O'Carroll"/>
    <s v="Consumer"/>
    <s v="United States"/>
    <x v="1"/>
    <x v="1"/>
    <x v="1"/>
    <x v="2"/>
    <x v="11"/>
    <x v="403"/>
    <n v="39.96"/>
    <n v="5"/>
    <n v="0.2"/>
    <n v="12.987"/>
    <n v="26.972999999999999"/>
  </r>
  <r>
    <x v="462"/>
    <d v="2016-03-19T00:00:00"/>
    <x v="1"/>
    <s v="Paul Lucas"/>
    <s v="Home Office"/>
    <s v="United States"/>
    <x v="10"/>
    <x v="9"/>
    <x v="3"/>
    <x v="2"/>
    <x v="12"/>
    <x v="504"/>
    <n v="83.975999999999999"/>
    <n v="3"/>
    <n v="0.2"/>
    <n v="-13.646100000000001"/>
    <n v="97.622100000000003"/>
  </r>
  <r>
    <x v="463"/>
    <d v="2015-11-22T00:00:00"/>
    <x v="1"/>
    <s v="Philisse Overcash"/>
    <s v="Home Office"/>
    <s v="United States"/>
    <x v="19"/>
    <x v="15"/>
    <x v="3"/>
    <x v="1"/>
    <x v="6"/>
    <x v="248"/>
    <n v="523.25"/>
    <n v="5"/>
    <n v="0"/>
    <n v="141.2775"/>
    <n v="381.97249999999997"/>
  </r>
  <r>
    <x v="464"/>
    <d v="2017-06-25T00:00:00"/>
    <x v="0"/>
    <s v="Alan Shonely"/>
    <s v="Consumer"/>
    <s v="United States"/>
    <x v="201"/>
    <x v="24"/>
    <x v="3"/>
    <x v="0"/>
    <x v="3"/>
    <x v="505"/>
    <n v="17.920000000000002"/>
    <n v="5"/>
    <n v="0.2"/>
    <n v="2.464"/>
    <n v="15.456000000000001"/>
  </r>
  <r>
    <x v="461"/>
    <d v="2016-05-08T00:00:00"/>
    <x v="3"/>
    <s v="Clay Ludtke"/>
    <s v="Consumer"/>
    <s v="United States"/>
    <x v="201"/>
    <x v="24"/>
    <x v="3"/>
    <x v="1"/>
    <x v="7"/>
    <x v="506"/>
    <n v="1006.056"/>
    <n v="3"/>
    <n v="0.2"/>
    <n v="88.029899999999998"/>
    <n v="918.02610000000004"/>
  </r>
  <r>
    <x v="34"/>
    <d v="2014-12-02T00:00:00"/>
    <x v="1"/>
    <s v="Natalie Webber"/>
    <s v="Consumer"/>
    <s v="United States"/>
    <x v="202"/>
    <x v="21"/>
    <x v="1"/>
    <x v="1"/>
    <x v="4"/>
    <x v="364"/>
    <n v="15.552"/>
    <n v="3"/>
    <n v="0.2"/>
    <n v="5.4432"/>
    <n v="10.108799999999999"/>
  </r>
  <r>
    <x v="451"/>
    <d v="2015-03-20T00:00:00"/>
    <x v="2"/>
    <s v="Fred Hopkins"/>
    <s v="Corporate"/>
    <s v="United States"/>
    <x v="4"/>
    <x v="4"/>
    <x v="1"/>
    <x v="1"/>
    <x v="7"/>
    <x v="507"/>
    <n v="1247.6400000000001"/>
    <n v="3"/>
    <n v="0"/>
    <n v="349.33920000000001"/>
    <n v="898.30080000000009"/>
  </r>
  <r>
    <x v="110"/>
    <d v="2015-09-29T00:00:00"/>
    <x v="0"/>
    <s v="Sarah Foster"/>
    <s v="Consumer"/>
    <s v="United States"/>
    <x v="10"/>
    <x v="9"/>
    <x v="3"/>
    <x v="1"/>
    <x v="5"/>
    <x v="508"/>
    <n v="121.104"/>
    <n v="6"/>
    <n v="0.7"/>
    <n v="-100.92"/>
    <n v="222.024"/>
  </r>
  <r>
    <x v="465"/>
    <d v="2014-08-29T00:00:00"/>
    <x v="3"/>
    <s v="Hilary Holden"/>
    <s v="Corporate"/>
    <s v="United States"/>
    <x v="8"/>
    <x v="1"/>
    <x v="1"/>
    <x v="1"/>
    <x v="4"/>
    <x v="509"/>
    <n v="109.92"/>
    <n v="2"/>
    <n v="0"/>
    <n v="53.860799999999998"/>
    <n v="56.059200000000004"/>
  </r>
  <r>
    <x v="434"/>
    <d v="2017-05-06T00:00:00"/>
    <x v="1"/>
    <s v="Quincy Jones"/>
    <s v="Corporate"/>
    <s v="United States"/>
    <x v="10"/>
    <x v="9"/>
    <x v="3"/>
    <x v="2"/>
    <x v="11"/>
    <x v="510"/>
    <n v="677.58"/>
    <n v="5"/>
    <n v="0.4"/>
    <n v="-158.102"/>
    <n v="835.68200000000002"/>
  </r>
  <r>
    <x v="466"/>
    <d v="2015-01-15T00:00:00"/>
    <x v="1"/>
    <s v="Michael Moore"/>
    <s v="Consumer"/>
    <s v="United States"/>
    <x v="19"/>
    <x v="15"/>
    <x v="3"/>
    <x v="0"/>
    <x v="2"/>
    <x v="511"/>
    <n v="1018.104"/>
    <n v="4"/>
    <n v="0.4"/>
    <n v="-373.3048"/>
    <n v="1391.4088000000002"/>
  </r>
  <r>
    <x v="467"/>
    <d v="2016-03-25T00:00:00"/>
    <x v="2"/>
    <s v="Robert Barroso"/>
    <s v="Corporate"/>
    <s v="United States"/>
    <x v="203"/>
    <x v="33"/>
    <x v="1"/>
    <x v="2"/>
    <x v="12"/>
    <x v="512"/>
    <n v="58.58"/>
    <n v="2"/>
    <n v="0"/>
    <n v="19.331399999999999"/>
    <n v="39.248599999999996"/>
  </r>
  <r>
    <x v="468"/>
    <d v="2014-08-20T00:00:00"/>
    <x v="1"/>
    <s v="Troy Staebel"/>
    <s v="Consumer"/>
    <s v="United States"/>
    <x v="10"/>
    <x v="9"/>
    <x v="3"/>
    <x v="0"/>
    <x v="2"/>
    <x v="178"/>
    <n v="853.09199999999998"/>
    <n v="6"/>
    <n v="0.4"/>
    <n v="-227.49119999999999"/>
    <n v="1080.5832"/>
  </r>
  <r>
    <x v="174"/>
    <d v="2016-06-29T00:00:00"/>
    <x v="0"/>
    <s v="Alejandro Ballentine"/>
    <s v="Home Office"/>
    <s v="United States"/>
    <x v="204"/>
    <x v="5"/>
    <x v="2"/>
    <x v="2"/>
    <x v="12"/>
    <x v="513"/>
    <n v="13.616"/>
    <n v="2"/>
    <n v="0.2"/>
    <n v="3.5741999999999998"/>
    <n v="10.0418"/>
  </r>
  <r>
    <x v="469"/>
    <d v="2015-07-15T00:00:00"/>
    <x v="0"/>
    <s v="Natalie DeCherney"/>
    <s v="Consumer"/>
    <s v="United States"/>
    <x v="19"/>
    <x v="15"/>
    <x v="3"/>
    <x v="1"/>
    <x v="5"/>
    <x v="363"/>
    <n v="11.808"/>
    <n v="2"/>
    <n v="0.2"/>
    <n v="4.2804000000000002"/>
    <n v="7.5275999999999996"/>
  </r>
  <r>
    <x v="470"/>
    <d v="2016-03-08T00:00:00"/>
    <x v="3"/>
    <s v="Patrick Gardner"/>
    <s v="Consumer"/>
    <s v="United States"/>
    <x v="192"/>
    <x v="16"/>
    <x v="1"/>
    <x v="1"/>
    <x v="5"/>
    <x v="514"/>
    <n v="9.702"/>
    <n v="3"/>
    <n v="0.7"/>
    <n v="-7.1147999999999998"/>
    <n v="16.816800000000001"/>
  </r>
  <r>
    <x v="471"/>
    <d v="2015-02-04T00:00:00"/>
    <x v="1"/>
    <s v="Jeremy Pistek"/>
    <s v="Consumer"/>
    <s v="United States"/>
    <x v="12"/>
    <x v="5"/>
    <x v="2"/>
    <x v="1"/>
    <x v="4"/>
    <x v="515"/>
    <n v="14.304"/>
    <n v="6"/>
    <n v="0.2"/>
    <n v="5.0064000000000002"/>
    <n v="9.2975999999999992"/>
  </r>
  <r>
    <x v="472"/>
    <d v="2017-10-13T00:00:00"/>
    <x v="1"/>
    <s v="Debra Catini"/>
    <s v="Consumer"/>
    <s v="United States"/>
    <x v="8"/>
    <x v="1"/>
    <x v="1"/>
    <x v="0"/>
    <x v="0"/>
    <x v="516"/>
    <n v="307.666"/>
    <n v="2"/>
    <n v="0.15"/>
    <n v="-14.478400000000001"/>
    <n v="322.14440000000002"/>
  </r>
  <r>
    <x v="473"/>
    <d v="2016-05-04T00:00:00"/>
    <x v="1"/>
    <s v="John Lee"/>
    <s v="Consumer"/>
    <s v="United States"/>
    <x v="19"/>
    <x v="15"/>
    <x v="3"/>
    <x v="1"/>
    <x v="5"/>
    <x v="132"/>
    <n v="7.7119999999999997"/>
    <n v="2"/>
    <n v="0.2"/>
    <n v="2.7955999999999999"/>
    <n v="4.9163999999999994"/>
  </r>
  <r>
    <x v="128"/>
    <d v="2015-12-25T00:00:00"/>
    <x v="1"/>
    <s v="Katherine Ducich"/>
    <s v="Consumer"/>
    <s v="United States"/>
    <x v="21"/>
    <x v="10"/>
    <x v="2"/>
    <x v="2"/>
    <x v="11"/>
    <x v="392"/>
    <n v="159.98400000000001"/>
    <n v="2"/>
    <n v="0.2"/>
    <n v="11.998799999999999"/>
    <n v="147.98520000000002"/>
  </r>
  <r>
    <x v="474"/>
    <d v="2015-12-20T00:00:00"/>
    <x v="2"/>
    <s v="Jay Kimmel"/>
    <s v="Consumer"/>
    <s v="United States"/>
    <x v="10"/>
    <x v="9"/>
    <x v="3"/>
    <x v="1"/>
    <x v="6"/>
    <x v="517"/>
    <n v="434.35199999999998"/>
    <n v="3"/>
    <n v="0.2"/>
    <n v="43.435200000000002"/>
    <n v="390.91679999999997"/>
  </r>
  <r>
    <x v="475"/>
    <d v="2017-05-04T00:00:00"/>
    <x v="0"/>
    <s v="Filia McAdams"/>
    <s v="Corporate"/>
    <s v="United States"/>
    <x v="61"/>
    <x v="24"/>
    <x v="3"/>
    <x v="0"/>
    <x v="2"/>
    <x v="518"/>
    <n v="1048.3499999999999"/>
    <n v="5"/>
    <n v="0.4"/>
    <n v="-69.89"/>
    <n v="1118.24"/>
  </r>
  <r>
    <x v="476"/>
    <d v="2016-02-07T00:00:00"/>
    <x v="3"/>
    <s v="Christina Anderson"/>
    <s v="Consumer"/>
    <s v="United States"/>
    <x v="23"/>
    <x v="17"/>
    <x v="0"/>
    <x v="2"/>
    <x v="12"/>
    <x v="519"/>
    <n v="100"/>
    <n v="4"/>
    <n v="0"/>
    <n v="21"/>
    <n v="79"/>
  </r>
  <r>
    <x v="196"/>
    <d v="2016-07-14T00:00:00"/>
    <x v="1"/>
    <s v="Logan Haushalter"/>
    <s v="Consumer"/>
    <s v="United States"/>
    <x v="57"/>
    <x v="5"/>
    <x v="2"/>
    <x v="1"/>
    <x v="7"/>
    <x v="520"/>
    <n v="338.04"/>
    <n v="3"/>
    <n v="0.2"/>
    <n v="-33.804000000000002"/>
    <n v="371.84400000000005"/>
  </r>
  <r>
    <x v="477"/>
    <d v="2017-08-01T00:00:00"/>
    <x v="0"/>
    <s v="Anna Gayman"/>
    <s v="Consumer"/>
    <s v="United States"/>
    <x v="99"/>
    <x v="3"/>
    <x v="0"/>
    <x v="1"/>
    <x v="6"/>
    <x v="521"/>
    <n v="34.847999999999999"/>
    <n v="2"/>
    <n v="0.2"/>
    <n v="6.5339999999999998"/>
    <n v="28.314"/>
  </r>
  <r>
    <x v="36"/>
    <d v="2015-09-09T00:00:00"/>
    <x v="1"/>
    <s v="David Bremer"/>
    <s v="Corporate"/>
    <s v="United States"/>
    <x v="8"/>
    <x v="1"/>
    <x v="1"/>
    <x v="1"/>
    <x v="7"/>
    <x v="206"/>
    <n v="31.44"/>
    <n v="3"/>
    <n v="0"/>
    <n v="8.4887999999999995"/>
    <n v="22.9512"/>
  </r>
  <r>
    <x v="478"/>
    <d v="2014-06-09T00:00:00"/>
    <x v="2"/>
    <s v="Bryan Mills"/>
    <s v="Consumer"/>
    <s v="United States"/>
    <x v="29"/>
    <x v="15"/>
    <x v="3"/>
    <x v="1"/>
    <x v="8"/>
    <x v="522"/>
    <n v="13.36"/>
    <n v="2"/>
    <n v="0"/>
    <n v="4.9432"/>
    <n v="8.4167999999999985"/>
  </r>
  <r>
    <x v="479"/>
    <d v="2016-08-17T00:00:00"/>
    <x v="0"/>
    <s v="Erin Mull"/>
    <s v="Consumer"/>
    <s v="United States"/>
    <x v="99"/>
    <x v="3"/>
    <x v="0"/>
    <x v="1"/>
    <x v="5"/>
    <x v="523"/>
    <n v="11.231999999999999"/>
    <n v="8"/>
    <n v="0.7"/>
    <n v="-8.2368000000000006"/>
    <n v="19.468800000000002"/>
  </r>
  <r>
    <x v="480"/>
    <d v="2014-04-29T00:00:00"/>
    <x v="1"/>
    <s v="Dianna Arnett"/>
    <s v="Home Office"/>
    <s v="United States"/>
    <x v="12"/>
    <x v="5"/>
    <x v="2"/>
    <x v="1"/>
    <x v="4"/>
    <x v="337"/>
    <n v="10.368"/>
    <n v="2"/>
    <n v="0.2"/>
    <n v="3.6288"/>
    <n v="6.7392000000000003"/>
  </r>
  <r>
    <x v="202"/>
    <d v="2014-05-17T00:00:00"/>
    <x v="1"/>
    <s v="Raymond Messe"/>
    <s v="Consumer"/>
    <s v="United States"/>
    <x v="12"/>
    <x v="5"/>
    <x v="2"/>
    <x v="2"/>
    <x v="12"/>
    <x v="512"/>
    <n v="46.863999999999997"/>
    <n v="2"/>
    <n v="0.2"/>
    <n v="7.6154000000000002"/>
    <n v="39.248599999999996"/>
  </r>
  <r>
    <x v="481"/>
    <d v="2014-01-12T00:00:00"/>
    <x v="1"/>
    <s v="Mick Brown"/>
    <s v="Consumer"/>
    <s v="United States"/>
    <x v="10"/>
    <x v="9"/>
    <x v="3"/>
    <x v="1"/>
    <x v="8"/>
    <x v="157"/>
    <n v="19.536000000000001"/>
    <n v="3"/>
    <n v="0.2"/>
    <n v="4.8840000000000003"/>
    <n v="14.652000000000001"/>
  </r>
  <r>
    <x v="482"/>
    <d v="2016-08-08T00:00:00"/>
    <x v="1"/>
    <s v="Max Ludwig"/>
    <s v="Home Office"/>
    <s v="United States"/>
    <x v="205"/>
    <x v="17"/>
    <x v="0"/>
    <x v="1"/>
    <x v="15"/>
    <x v="154"/>
    <n v="35.06"/>
    <n v="2"/>
    <n v="0"/>
    <n v="10.518000000000001"/>
    <n v="24.542000000000002"/>
  </r>
  <r>
    <x v="483"/>
    <d v="2014-03-26T00:00:00"/>
    <x v="1"/>
    <s v="Craig Carroll"/>
    <s v="Consumer"/>
    <s v="United States"/>
    <x v="206"/>
    <x v="3"/>
    <x v="0"/>
    <x v="1"/>
    <x v="5"/>
    <x v="22"/>
    <n v="7.6440000000000001"/>
    <n v="4"/>
    <n v="0.7"/>
    <n v="-5.8604000000000003"/>
    <n v="13.5044"/>
  </r>
  <r>
    <x v="484"/>
    <d v="2014-05-03T00:00:00"/>
    <x v="1"/>
    <s v="Muhammed Yedwab"/>
    <s v="Corporate"/>
    <s v="United States"/>
    <x v="207"/>
    <x v="40"/>
    <x v="3"/>
    <x v="1"/>
    <x v="5"/>
    <x v="524"/>
    <n v="20.86"/>
    <n v="2"/>
    <n v="0"/>
    <n v="9.3870000000000005"/>
    <n v="11.472999999999999"/>
  </r>
  <r>
    <x v="26"/>
    <d v="2015-11-28T00:00:00"/>
    <x v="1"/>
    <s v="Darren Powers"/>
    <s v="Consumer"/>
    <s v="United States"/>
    <x v="1"/>
    <x v="1"/>
    <x v="1"/>
    <x v="1"/>
    <x v="4"/>
    <x v="525"/>
    <n v="368.91"/>
    <n v="9"/>
    <n v="0"/>
    <n v="180.76589999999999"/>
    <n v="188.14410000000004"/>
  </r>
  <r>
    <x v="485"/>
    <d v="2016-11-16T00:00:00"/>
    <x v="1"/>
    <s v="Bryan Davis"/>
    <s v="Consumer"/>
    <s v="United States"/>
    <x v="19"/>
    <x v="15"/>
    <x v="3"/>
    <x v="2"/>
    <x v="12"/>
    <x v="526"/>
    <n v="59.97"/>
    <n v="3"/>
    <n v="0"/>
    <n v="14.9925"/>
    <n v="44.977499999999999"/>
  </r>
  <r>
    <x v="486"/>
    <d v="2015-07-13T00:00:00"/>
    <x v="1"/>
    <s v="Claudia Bergmann"/>
    <s v="Corporate"/>
    <s v="United States"/>
    <x v="44"/>
    <x v="31"/>
    <x v="3"/>
    <x v="1"/>
    <x v="4"/>
    <x v="527"/>
    <n v="6.58"/>
    <n v="2"/>
    <n v="0"/>
    <n v="3.0268000000000002"/>
    <n v="3.5531999999999999"/>
  </r>
  <r>
    <x v="487"/>
    <d v="2015-02-19T00:00:00"/>
    <x v="1"/>
    <s v="Roy Phan"/>
    <s v="Corporate"/>
    <s v="United States"/>
    <x v="208"/>
    <x v="6"/>
    <x v="2"/>
    <x v="2"/>
    <x v="11"/>
    <x v="528"/>
    <n v="134.97"/>
    <n v="3"/>
    <n v="0"/>
    <n v="64.785600000000002"/>
    <n v="70.184399999999997"/>
  </r>
  <r>
    <x v="488"/>
    <d v="2014-10-04T00:00:00"/>
    <x v="1"/>
    <s v="Russell Applegate"/>
    <s v="Consumer"/>
    <s v="United States"/>
    <x v="19"/>
    <x v="15"/>
    <x v="3"/>
    <x v="1"/>
    <x v="4"/>
    <x v="271"/>
    <n v="48.94"/>
    <n v="1"/>
    <n v="0"/>
    <n v="24.47"/>
    <n v="24.47"/>
  </r>
  <r>
    <x v="489"/>
    <d v="2014-12-13T00:00:00"/>
    <x v="1"/>
    <s v="Thomas Boland"/>
    <s v="Corporate"/>
    <s v="United States"/>
    <x v="12"/>
    <x v="5"/>
    <x v="2"/>
    <x v="1"/>
    <x v="7"/>
    <x v="529"/>
    <n v="60.415999999999997"/>
    <n v="2"/>
    <n v="0.2"/>
    <n v="6.0415999999999999"/>
    <n v="54.374399999999994"/>
  </r>
  <r>
    <x v="140"/>
    <d v="2017-08-30T00:00:00"/>
    <x v="2"/>
    <s v="Mathew Reese"/>
    <s v="Home Office"/>
    <s v="United States"/>
    <x v="19"/>
    <x v="15"/>
    <x v="3"/>
    <x v="1"/>
    <x v="7"/>
    <x v="530"/>
    <n v="63.84"/>
    <n v="8"/>
    <n v="0"/>
    <n v="16.598400000000002"/>
    <n v="47.241600000000005"/>
  </r>
  <r>
    <x v="250"/>
    <d v="2016-07-11T00:00:00"/>
    <x v="1"/>
    <s v="Raymond Messe"/>
    <s v="Consumer"/>
    <s v="United States"/>
    <x v="46"/>
    <x v="1"/>
    <x v="1"/>
    <x v="0"/>
    <x v="3"/>
    <x v="216"/>
    <n v="215.65"/>
    <n v="5"/>
    <n v="0"/>
    <n v="73.320999999999998"/>
    <n v="142.32900000000001"/>
  </r>
  <r>
    <x v="490"/>
    <d v="2016-08-10T00:00:00"/>
    <x v="0"/>
    <s v="Jill Fjeld"/>
    <s v="Consumer"/>
    <s v="United States"/>
    <x v="57"/>
    <x v="5"/>
    <x v="2"/>
    <x v="1"/>
    <x v="13"/>
    <x v="95"/>
    <n v="11.167999999999999"/>
    <n v="4"/>
    <n v="0.2"/>
    <n v="3.6295999999999999"/>
    <n v="7.5383999999999993"/>
  </r>
  <r>
    <x v="491"/>
    <d v="2016-02-13T00:00:00"/>
    <x v="2"/>
    <s v="Phillip Breyer"/>
    <s v="Corporate"/>
    <s v="United States"/>
    <x v="209"/>
    <x v="26"/>
    <x v="2"/>
    <x v="2"/>
    <x v="11"/>
    <x v="531"/>
    <n v="69.930000000000007"/>
    <n v="7"/>
    <n v="0"/>
    <n v="0.69930000000000003"/>
    <n v="69.230700000000013"/>
  </r>
  <r>
    <x v="3"/>
    <d v="2014-06-11T00:00:00"/>
    <x v="0"/>
    <s v="Frank Olsen"/>
    <s v="Consumer"/>
    <s v="United States"/>
    <x v="170"/>
    <x v="17"/>
    <x v="0"/>
    <x v="0"/>
    <x v="2"/>
    <x v="58"/>
    <n v="1441.3"/>
    <n v="7"/>
    <n v="0"/>
    <n v="245.02099999999999"/>
    <n v="1196.279"/>
  </r>
  <r>
    <x v="492"/>
    <d v="2015-09-18T00:00:00"/>
    <x v="1"/>
    <s v="Stefania Perrino"/>
    <s v="Corporate"/>
    <s v="United States"/>
    <x v="1"/>
    <x v="1"/>
    <x v="1"/>
    <x v="0"/>
    <x v="2"/>
    <x v="532"/>
    <n v="170.136"/>
    <n v="3"/>
    <n v="0.2"/>
    <n v="-8.5068000000000001"/>
    <n v="178.64279999999999"/>
  </r>
  <r>
    <x v="493"/>
    <d v="2015-06-04T00:00:00"/>
    <x v="3"/>
    <s v="Lauren Leatherbury"/>
    <s v="Consumer"/>
    <s v="United States"/>
    <x v="4"/>
    <x v="4"/>
    <x v="1"/>
    <x v="1"/>
    <x v="1"/>
    <x v="533"/>
    <n v="7.38"/>
    <n v="2"/>
    <n v="0"/>
    <n v="3.4685999999999999"/>
    <n v="3.9114"/>
  </r>
  <r>
    <x v="315"/>
    <d v="2015-12-15T00:00:00"/>
    <x v="0"/>
    <s v="Matt Collins"/>
    <s v="Consumer"/>
    <s v="United States"/>
    <x v="1"/>
    <x v="1"/>
    <x v="1"/>
    <x v="1"/>
    <x v="1"/>
    <x v="534"/>
    <n v="9.9600000000000009"/>
    <n v="2"/>
    <n v="0"/>
    <n v="4.5815999999999999"/>
    <n v="5.378400000000001"/>
  </r>
  <r>
    <x v="494"/>
    <d v="2014-05-29T00:00:00"/>
    <x v="1"/>
    <s v="Janet Lee"/>
    <s v="Consumer"/>
    <s v="United States"/>
    <x v="21"/>
    <x v="10"/>
    <x v="2"/>
    <x v="1"/>
    <x v="6"/>
    <x v="535"/>
    <n v="75.599999999999994"/>
    <n v="2"/>
    <n v="0.8"/>
    <n v="-166.32"/>
    <n v="241.92"/>
  </r>
  <r>
    <x v="495"/>
    <d v="2016-02-20T00:00:00"/>
    <x v="1"/>
    <s v="Erin Ashbrook"/>
    <s v="Corporate"/>
    <s v="United States"/>
    <x v="21"/>
    <x v="10"/>
    <x v="2"/>
    <x v="1"/>
    <x v="6"/>
    <x v="536"/>
    <n v="92.063999999999993"/>
    <n v="6"/>
    <n v="0.8"/>
    <n v="-225.55680000000001"/>
    <n v="317.62080000000003"/>
  </r>
  <r>
    <x v="496"/>
    <d v="2016-02-11T00:00:00"/>
    <x v="0"/>
    <s v="Cathy Hwang"/>
    <s v="Home Office"/>
    <s v="United States"/>
    <x v="210"/>
    <x v="3"/>
    <x v="0"/>
    <x v="2"/>
    <x v="11"/>
    <x v="537"/>
    <n v="1127.9760000000001"/>
    <n v="3"/>
    <n v="0.2"/>
    <n v="126.8973"/>
    <n v="1001.0787000000001"/>
  </r>
  <r>
    <x v="497"/>
    <d v="2014-05-24T00:00:00"/>
    <x v="1"/>
    <s v="Bruce Stewart"/>
    <s v="Consumer"/>
    <s v="United States"/>
    <x v="201"/>
    <x v="24"/>
    <x v="3"/>
    <x v="2"/>
    <x v="11"/>
    <x v="538"/>
    <n v="779.79600000000005"/>
    <n v="2"/>
    <n v="0.4"/>
    <n v="-168.95580000000001"/>
    <n v="948.7518"/>
  </r>
  <r>
    <x v="375"/>
    <d v="2017-08-07T00:00:00"/>
    <x v="1"/>
    <s v="Aaron Smayling"/>
    <s v="Corporate"/>
    <s v="United States"/>
    <x v="80"/>
    <x v="5"/>
    <x v="2"/>
    <x v="2"/>
    <x v="14"/>
    <x v="539"/>
    <n v="1439.982"/>
    <n v="3"/>
    <n v="0.4"/>
    <n v="-263.99669999999998"/>
    <n v="1703.9786999999999"/>
  </r>
  <r>
    <x v="238"/>
    <d v="2014-06-24T00:00:00"/>
    <x v="2"/>
    <s v="Raymond Messe"/>
    <s v="Consumer"/>
    <s v="United States"/>
    <x v="211"/>
    <x v="29"/>
    <x v="3"/>
    <x v="1"/>
    <x v="8"/>
    <x v="9"/>
    <n v="21.4"/>
    <n v="5"/>
    <n v="0"/>
    <n v="6.2060000000000004"/>
    <n v="15.193999999999999"/>
  </r>
  <r>
    <x v="498"/>
    <d v="2017-02-21T00:00:00"/>
    <x v="0"/>
    <s v="Nicole Hansen"/>
    <s v="Corporate"/>
    <s v="United States"/>
    <x v="212"/>
    <x v="32"/>
    <x v="0"/>
    <x v="1"/>
    <x v="6"/>
    <x v="540"/>
    <n v="1245.8599999999999"/>
    <n v="7"/>
    <n v="0"/>
    <n v="361.29939999999999"/>
    <n v="884.56059999999991"/>
  </r>
  <r>
    <x v="499"/>
    <d v="2016-07-23T00:00:00"/>
    <x v="1"/>
    <s v="Katharine Harms"/>
    <s v="Corporate"/>
    <s v="United States"/>
    <x v="213"/>
    <x v="0"/>
    <x v="0"/>
    <x v="0"/>
    <x v="9"/>
    <x v="541"/>
    <n v="140.81"/>
    <n v="1"/>
    <n v="0"/>
    <n v="39.4268"/>
    <n v="101.3832"/>
  </r>
  <r>
    <x v="90"/>
    <d v="2015-02-11T00:00:00"/>
    <x v="0"/>
    <s v="Frank Atkinson"/>
    <s v="Corporate"/>
    <s v="United States"/>
    <x v="49"/>
    <x v="5"/>
    <x v="2"/>
    <x v="1"/>
    <x v="1"/>
    <x v="542"/>
    <n v="40.095999999999997"/>
    <n v="4"/>
    <n v="0.2"/>
    <n v="13.532400000000001"/>
    <n v="26.563599999999994"/>
  </r>
  <r>
    <x v="477"/>
    <d v="2017-08-02T00:00:00"/>
    <x v="1"/>
    <s v="Giulietta Weimer"/>
    <s v="Consumer"/>
    <s v="United States"/>
    <x v="4"/>
    <x v="4"/>
    <x v="1"/>
    <x v="2"/>
    <x v="12"/>
    <x v="543"/>
    <n v="90.57"/>
    <n v="3"/>
    <n v="0"/>
    <n v="11.774100000000001"/>
    <n v="78.795899999999989"/>
  </r>
  <r>
    <x v="500"/>
    <d v="2017-01-17T00:00:00"/>
    <x v="0"/>
    <s v="Dianna Arnett"/>
    <s v="Home Office"/>
    <s v="United States"/>
    <x v="157"/>
    <x v="39"/>
    <x v="3"/>
    <x v="1"/>
    <x v="4"/>
    <x v="60"/>
    <n v="40.08"/>
    <n v="6"/>
    <n v="0"/>
    <n v="19.238399999999999"/>
    <n v="20.8416"/>
  </r>
  <r>
    <x v="17"/>
    <d v="2017-09-10T00:00:00"/>
    <x v="3"/>
    <s v="Frank Hawley"/>
    <s v="Corporate"/>
    <s v="United States"/>
    <x v="1"/>
    <x v="1"/>
    <x v="1"/>
    <x v="0"/>
    <x v="9"/>
    <x v="125"/>
    <n v="362.35199999999998"/>
    <n v="3"/>
    <n v="0.2"/>
    <n v="27.176400000000001"/>
    <n v="335.17559999999997"/>
  </r>
  <r>
    <x v="501"/>
    <d v="2015-07-25T00:00:00"/>
    <x v="0"/>
    <s v="Ralph Kennedy"/>
    <s v="Consumer"/>
    <s v="United States"/>
    <x v="214"/>
    <x v="14"/>
    <x v="2"/>
    <x v="1"/>
    <x v="7"/>
    <x v="544"/>
    <n v="34.76"/>
    <n v="1"/>
    <n v="0"/>
    <n v="9.7327999999999992"/>
    <n v="25.027200000000001"/>
  </r>
  <r>
    <x v="502"/>
    <d v="2014-06-17T00:00:00"/>
    <x v="1"/>
    <s v="Filia McAdams"/>
    <s v="Corporate"/>
    <s v="United States"/>
    <x v="1"/>
    <x v="1"/>
    <x v="1"/>
    <x v="1"/>
    <x v="8"/>
    <x v="361"/>
    <n v="14.52"/>
    <n v="3"/>
    <n v="0"/>
    <n v="4.7915999999999999"/>
    <n v="9.7284000000000006"/>
  </r>
  <r>
    <x v="503"/>
    <d v="2017-05-15T00:00:00"/>
    <x v="0"/>
    <s v="Alyssa Crouse"/>
    <s v="Corporate"/>
    <s v="United States"/>
    <x v="12"/>
    <x v="5"/>
    <x v="2"/>
    <x v="1"/>
    <x v="7"/>
    <x v="545"/>
    <n v="127.92"/>
    <n v="5"/>
    <n v="0.2"/>
    <n v="-15.99"/>
    <n v="143.91"/>
  </r>
  <r>
    <x v="504"/>
    <d v="2017-03-27T00:00:00"/>
    <x v="2"/>
    <s v="Gary McGarr"/>
    <s v="Consumer"/>
    <s v="United States"/>
    <x v="19"/>
    <x v="15"/>
    <x v="3"/>
    <x v="0"/>
    <x v="0"/>
    <x v="546"/>
    <n v="257.56799999999998"/>
    <n v="2"/>
    <n v="0.2"/>
    <n v="-28.976400000000002"/>
    <n v="286.5444"/>
  </r>
  <r>
    <x v="505"/>
    <d v="2014-11-12T00:00:00"/>
    <x v="3"/>
    <s v="Roy Französisch"/>
    <s v="Consumer"/>
    <s v="United States"/>
    <x v="49"/>
    <x v="5"/>
    <x v="2"/>
    <x v="1"/>
    <x v="7"/>
    <x v="94"/>
    <n v="49.631999999999998"/>
    <n v="4"/>
    <n v="0.2"/>
    <n v="4.9631999999999996"/>
    <n v="44.668799999999997"/>
  </r>
  <r>
    <x v="60"/>
    <d v="2016-10-17T00:00:00"/>
    <x v="1"/>
    <s v="Noah Childs"/>
    <s v="Corporate"/>
    <s v="United States"/>
    <x v="33"/>
    <x v="22"/>
    <x v="1"/>
    <x v="0"/>
    <x v="2"/>
    <x v="547"/>
    <n v="727.45"/>
    <n v="5"/>
    <n v="0.5"/>
    <n v="-465.56799999999998"/>
    <n v="1193.018"/>
  </r>
  <r>
    <x v="4"/>
    <d v="2017-04-18T00:00:00"/>
    <x v="2"/>
    <s v="Adam Hart"/>
    <s v="Corporate"/>
    <s v="United States"/>
    <x v="0"/>
    <x v="33"/>
    <x v="1"/>
    <x v="0"/>
    <x v="3"/>
    <x v="548"/>
    <n v="196.45"/>
    <n v="5"/>
    <n v="0"/>
    <n v="70.721999999999994"/>
    <n v="125.72799999999999"/>
  </r>
  <r>
    <x v="506"/>
    <d v="2015-07-01T00:00:00"/>
    <x v="1"/>
    <s v="Cathy Hwang"/>
    <s v="Home Office"/>
    <s v="United States"/>
    <x v="10"/>
    <x v="9"/>
    <x v="3"/>
    <x v="1"/>
    <x v="4"/>
    <x v="549"/>
    <n v="31.103999999999999"/>
    <n v="6"/>
    <n v="0.2"/>
    <n v="10.8864"/>
    <n v="20.217599999999997"/>
  </r>
  <r>
    <x v="328"/>
    <d v="2016-08-29T00:00:00"/>
    <x v="0"/>
    <s v="Charles Crestani"/>
    <s v="Consumer"/>
    <s v="United States"/>
    <x v="4"/>
    <x v="4"/>
    <x v="1"/>
    <x v="1"/>
    <x v="4"/>
    <x v="550"/>
    <n v="6.48"/>
    <n v="1"/>
    <n v="0"/>
    <n v="3.1103999999999998"/>
    <n v="3.3696000000000006"/>
  </r>
  <r>
    <x v="507"/>
    <d v="2014-07-25T00:00:00"/>
    <x v="1"/>
    <s v="Michelle Ellison"/>
    <s v="Corporate"/>
    <s v="United States"/>
    <x v="8"/>
    <x v="1"/>
    <x v="1"/>
    <x v="1"/>
    <x v="8"/>
    <x v="551"/>
    <n v="99.2"/>
    <n v="5"/>
    <n v="0"/>
    <n v="25.792000000000002"/>
    <n v="73.408000000000001"/>
  </r>
  <r>
    <x v="508"/>
    <d v="2017-11-25T00:00:00"/>
    <x v="1"/>
    <s v="Benjamin Patterson"/>
    <s v="Consumer"/>
    <s v="United States"/>
    <x v="215"/>
    <x v="4"/>
    <x v="1"/>
    <x v="0"/>
    <x v="2"/>
    <x v="552"/>
    <n v="70.98"/>
    <n v="1"/>
    <n v="0"/>
    <n v="20.584199999999999"/>
    <n v="50.395800000000008"/>
  </r>
  <r>
    <x v="509"/>
    <d v="2017-03-29T00:00:00"/>
    <x v="1"/>
    <s v="John Castell"/>
    <s v="Consumer"/>
    <s v="United States"/>
    <x v="49"/>
    <x v="5"/>
    <x v="2"/>
    <x v="2"/>
    <x v="11"/>
    <x v="205"/>
    <n v="470.37599999999998"/>
    <n v="3"/>
    <n v="0.2"/>
    <n v="47.037599999999998"/>
    <n v="423.33839999999998"/>
  </r>
  <r>
    <x v="510"/>
    <d v="2015-03-05T00:00:00"/>
    <x v="3"/>
    <s v="Luke Foster"/>
    <s v="Consumer"/>
    <s v="United States"/>
    <x v="19"/>
    <x v="15"/>
    <x v="3"/>
    <x v="1"/>
    <x v="10"/>
    <x v="70"/>
    <n v="29.34"/>
    <n v="3"/>
    <n v="0"/>
    <n v="14.67"/>
    <n v="14.67"/>
  </r>
  <r>
    <x v="511"/>
    <d v="2014-10-22T00:00:00"/>
    <x v="2"/>
    <s v="Tracy Blumstein"/>
    <s v="Consumer"/>
    <s v="United States"/>
    <x v="51"/>
    <x v="24"/>
    <x v="3"/>
    <x v="1"/>
    <x v="6"/>
    <x v="231"/>
    <n v="121.792"/>
    <n v="4"/>
    <n v="0.2"/>
    <n v="13.701599999999999"/>
    <n v="108.0904"/>
  </r>
  <r>
    <x v="512"/>
    <d v="2014-03-18T00:00:00"/>
    <x v="1"/>
    <s v="Dean Katz"/>
    <s v="Corporate"/>
    <s v="United States"/>
    <x v="93"/>
    <x v="1"/>
    <x v="1"/>
    <x v="1"/>
    <x v="4"/>
    <x v="235"/>
    <n v="10.56"/>
    <n v="2"/>
    <n v="0"/>
    <n v="4.7519999999999998"/>
    <n v="5.8080000000000007"/>
  </r>
  <r>
    <x v="513"/>
    <d v="2016-01-04T00:00:00"/>
    <x v="1"/>
    <s v="Jas O'Carroll"/>
    <s v="Consumer"/>
    <s v="United States"/>
    <x v="216"/>
    <x v="36"/>
    <x v="1"/>
    <x v="1"/>
    <x v="5"/>
    <x v="553"/>
    <n v="487.98399999999998"/>
    <n v="2"/>
    <n v="0.2"/>
    <n v="152.495"/>
    <n v="335.48899999999998"/>
  </r>
  <r>
    <x v="465"/>
    <d v="2014-09-02T00:00:00"/>
    <x v="0"/>
    <s v="Ryan Akin"/>
    <s v="Consumer"/>
    <s v="United States"/>
    <x v="91"/>
    <x v="2"/>
    <x v="0"/>
    <x v="1"/>
    <x v="10"/>
    <x v="554"/>
    <n v="29.808"/>
    <n v="2"/>
    <n v="0.2"/>
    <n v="10.805400000000001"/>
    <n v="19.002600000000001"/>
  </r>
  <r>
    <x v="192"/>
    <d v="2017-10-22T00:00:00"/>
    <x v="2"/>
    <s v="Damala Kotsonis"/>
    <s v="Corporate"/>
    <s v="United States"/>
    <x v="23"/>
    <x v="21"/>
    <x v="1"/>
    <x v="1"/>
    <x v="4"/>
    <x v="298"/>
    <n v="5.1840000000000002"/>
    <n v="1"/>
    <n v="0.2"/>
    <n v="1.8144"/>
    <n v="3.3696000000000002"/>
  </r>
  <r>
    <x v="514"/>
    <d v="2016-05-21T00:00:00"/>
    <x v="1"/>
    <s v="Roy Phan"/>
    <s v="Corporate"/>
    <s v="United States"/>
    <x v="217"/>
    <x v="2"/>
    <x v="0"/>
    <x v="1"/>
    <x v="5"/>
    <x v="555"/>
    <n v="2.952"/>
    <n v="2"/>
    <n v="0.7"/>
    <n v="-2.1648000000000001"/>
    <n v="5.1167999999999996"/>
  </r>
  <r>
    <x v="393"/>
    <d v="2017-07-06T00:00:00"/>
    <x v="0"/>
    <s v="Frank Hawley"/>
    <s v="Corporate"/>
    <s v="United States"/>
    <x v="12"/>
    <x v="5"/>
    <x v="2"/>
    <x v="1"/>
    <x v="4"/>
    <x v="556"/>
    <n v="273.89600000000002"/>
    <n v="7"/>
    <n v="0.2"/>
    <n v="92.439899999999994"/>
    <n v="181.45610000000002"/>
  </r>
  <r>
    <x v="515"/>
    <d v="2014-01-17T00:00:00"/>
    <x v="2"/>
    <s v="Erica Hackney"/>
    <s v="Consumer"/>
    <s v="United States"/>
    <x v="212"/>
    <x v="32"/>
    <x v="0"/>
    <x v="2"/>
    <x v="12"/>
    <x v="112"/>
    <n v="149.94999999999999"/>
    <n v="5"/>
    <n v="0"/>
    <n v="65.977999999999994"/>
    <n v="83.971999999999994"/>
  </r>
  <r>
    <x v="516"/>
    <d v="2015-11-14T00:00:00"/>
    <x v="1"/>
    <s v="Helen Abelman"/>
    <s v="Consumer"/>
    <s v="United States"/>
    <x v="44"/>
    <x v="31"/>
    <x v="3"/>
    <x v="1"/>
    <x v="8"/>
    <x v="164"/>
    <n v="11.65"/>
    <n v="5"/>
    <n v="0"/>
    <n v="3.3784999999999998"/>
    <n v="8.2714999999999996"/>
  </r>
  <r>
    <x v="517"/>
    <d v="2015-11-01T00:00:00"/>
    <x v="0"/>
    <s v="Cathy Hwang"/>
    <s v="Home Office"/>
    <s v="United States"/>
    <x v="62"/>
    <x v="12"/>
    <x v="2"/>
    <x v="2"/>
    <x v="11"/>
    <x v="557"/>
    <n v="299.89999999999998"/>
    <n v="2"/>
    <n v="0"/>
    <n v="74.974999999999994"/>
    <n v="224.92499999999998"/>
  </r>
  <r>
    <x v="518"/>
    <d v="2017-08-19T00:00:00"/>
    <x v="2"/>
    <s v="Edward Hooks"/>
    <s v="Corporate"/>
    <s v="United States"/>
    <x v="218"/>
    <x v="15"/>
    <x v="3"/>
    <x v="1"/>
    <x v="5"/>
    <x v="558"/>
    <n v="895.92"/>
    <n v="5"/>
    <n v="0.2"/>
    <n v="302.37299999999999"/>
    <n v="593.54700000000003"/>
  </r>
  <r>
    <x v="519"/>
    <d v="2016-07-10T00:00:00"/>
    <x v="0"/>
    <s v="Scot Coram"/>
    <s v="Corporate"/>
    <s v="United States"/>
    <x v="72"/>
    <x v="5"/>
    <x v="2"/>
    <x v="2"/>
    <x v="11"/>
    <x v="559"/>
    <n v="863.64"/>
    <n v="9"/>
    <n v="0.2"/>
    <n v="107.955"/>
    <n v="755.68499999999995"/>
  </r>
  <r>
    <x v="520"/>
    <d v="2017-03-13T00:00:00"/>
    <x v="1"/>
    <s v="Lindsay Williams"/>
    <s v="Corporate"/>
    <s v="United States"/>
    <x v="8"/>
    <x v="1"/>
    <x v="1"/>
    <x v="2"/>
    <x v="12"/>
    <x v="560"/>
    <n v="199.98"/>
    <n v="2"/>
    <n v="0"/>
    <n v="69.992999999999995"/>
    <n v="129.98699999999999"/>
  </r>
  <r>
    <x v="521"/>
    <d v="2017-12-01T00:00:00"/>
    <x v="2"/>
    <s v="Rick Hansen"/>
    <s v="Consumer"/>
    <s v="United States"/>
    <x v="56"/>
    <x v="22"/>
    <x v="1"/>
    <x v="1"/>
    <x v="4"/>
    <x v="264"/>
    <n v="88.768000000000001"/>
    <n v="2"/>
    <n v="0.2"/>
    <n v="31.0688"/>
    <n v="57.699200000000005"/>
  </r>
  <r>
    <x v="522"/>
    <d v="2017-03-18T00:00:00"/>
    <x v="0"/>
    <s v="Valerie Mitchum"/>
    <s v="Home Office"/>
    <s v="United States"/>
    <x v="4"/>
    <x v="4"/>
    <x v="1"/>
    <x v="1"/>
    <x v="4"/>
    <x v="561"/>
    <n v="6.48"/>
    <n v="1"/>
    <n v="0"/>
    <n v="3.1103999999999998"/>
    <n v="3.3696000000000006"/>
  </r>
  <r>
    <x v="523"/>
    <d v="2017-08-10T00:00:00"/>
    <x v="0"/>
    <s v="Seth Vernon"/>
    <s v="Consumer"/>
    <s v="United States"/>
    <x v="219"/>
    <x v="28"/>
    <x v="0"/>
    <x v="0"/>
    <x v="0"/>
    <x v="562"/>
    <n v="145.74"/>
    <n v="3"/>
    <n v="0"/>
    <n v="23.3184"/>
    <n v="122.42160000000001"/>
  </r>
  <r>
    <x v="389"/>
    <d v="2015-05-27T00:00:00"/>
    <x v="0"/>
    <s v="Nora Pelletier"/>
    <s v="Home Office"/>
    <s v="United States"/>
    <x v="8"/>
    <x v="1"/>
    <x v="1"/>
    <x v="0"/>
    <x v="3"/>
    <x v="563"/>
    <n v="14.73"/>
    <n v="3"/>
    <n v="0"/>
    <n v="4.8609"/>
    <n v="9.8690999999999995"/>
  </r>
  <r>
    <x v="22"/>
    <d v="2016-06-26T00:00:00"/>
    <x v="1"/>
    <s v="Erin Ashbrook"/>
    <s v="Corporate"/>
    <s v="United States"/>
    <x v="220"/>
    <x v="5"/>
    <x v="2"/>
    <x v="2"/>
    <x v="12"/>
    <x v="564"/>
    <n v="95.968000000000004"/>
    <n v="4"/>
    <n v="0.2"/>
    <n v="26.391200000000001"/>
    <n v="69.576800000000006"/>
  </r>
  <r>
    <x v="186"/>
    <d v="2017-12-28T00:00:00"/>
    <x v="1"/>
    <s v="Dean Braden"/>
    <s v="Consumer"/>
    <s v="United States"/>
    <x v="221"/>
    <x v="30"/>
    <x v="3"/>
    <x v="2"/>
    <x v="11"/>
    <x v="565"/>
    <n v="281.97000000000003"/>
    <n v="3"/>
    <n v="0"/>
    <n v="78.951599999999999"/>
    <n v="203.01840000000004"/>
  </r>
  <r>
    <x v="524"/>
    <d v="2017-05-11T00:00:00"/>
    <x v="1"/>
    <s v="Max Ludwig"/>
    <s v="Home Office"/>
    <s v="United States"/>
    <x v="21"/>
    <x v="10"/>
    <x v="2"/>
    <x v="1"/>
    <x v="8"/>
    <x v="566"/>
    <n v="6.4080000000000004"/>
    <n v="3"/>
    <n v="0.2"/>
    <n v="0.64080000000000004"/>
    <n v="5.7672000000000008"/>
  </r>
  <r>
    <x v="525"/>
    <d v="2014-10-20T00:00:00"/>
    <x v="0"/>
    <s v="Alan Schoenberger"/>
    <s v="Corporate"/>
    <s v="United States"/>
    <x v="111"/>
    <x v="19"/>
    <x v="0"/>
    <x v="1"/>
    <x v="7"/>
    <x v="253"/>
    <n v="275.97000000000003"/>
    <n v="3"/>
    <n v="0"/>
    <n v="11.0388"/>
    <n v="264.93120000000005"/>
  </r>
  <r>
    <x v="362"/>
    <d v="2015-05-12T00:00:00"/>
    <x v="1"/>
    <s v="Allen Armold"/>
    <s v="Consumer"/>
    <s v="United States"/>
    <x v="116"/>
    <x v="21"/>
    <x v="1"/>
    <x v="1"/>
    <x v="8"/>
    <x v="567"/>
    <n v="5.2480000000000002"/>
    <n v="2"/>
    <n v="0.2"/>
    <n v="0.59040000000000004"/>
    <n v="4.6576000000000004"/>
  </r>
  <r>
    <x v="155"/>
    <d v="2016-04-14T00:00:00"/>
    <x v="3"/>
    <s v="Kean Takahito"/>
    <s v="Consumer"/>
    <s v="United States"/>
    <x v="192"/>
    <x v="16"/>
    <x v="1"/>
    <x v="0"/>
    <x v="9"/>
    <x v="354"/>
    <n v="933.53599999999994"/>
    <n v="4"/>
    <n v="0.2"/>
    <n v="105.0228"/>
    <n v="828.51319999999998"/>
  </r>
  <r>
    <x v="526"/>
    <d v="2014-11-27T00:00:00"/>
    <x v="0"/>
    <s v="Laurel Workman"/>
    <s v="Corporate"/>
    <s v="United States"/>
    <x v="66"/>
    <x v="1"/>
    <x v="1"/>
    <x v="1"/>
    <x v="6"/>
    <x v="568"/>
    <n v="320.88"/>
    <n v="6"/>
    <n v="0"/>
    <n v="93.055199999999999"/>
    <n v="227.82479999999998"/>
  </r>
  <r>
    <x v="527"/>
    <d v="2015-11-13T00:00:00"/>
    <x v="1"/>
    <s v="Adam Shillingsburg"/>
    <s v="Consumer"/>
    <s v="United States"/>
    <x v="23"/>
    <x v="25"/>
    <x v="2"/>
    <x v="1"/>
    <x v="5"/>
    <x v="569"/>
    <n v="17.22"/>
    <n v="3"/>
    <n v="0"/>
    <n v="7.9211999999999998"/>
    <n v="9.2988"/>
  </r>
  <r>
    <x v="528"/>
    <d v="2014-02-09T00:00:00"/>
    <x v="2"/>
    <s v="Neil Ducich"/>
    <s v="Corporate"/>
    <s v="United States"/>
    <x v="222"/>
    <x v="17"/>
    <x v="0"/>
    <x v="1"/>
    <x v="1"/>
    <x v="570"/>
    <n v="15"/>
    <n v="4"/>
    <n v="0"/>
    <n v="7.2"/>
    <n v="7.8"/>
  </r>
  <r>
    <x v="529"/>
    <d v="2014-11-21T00:00:00"/>
    <x v="1"/>
    <s v="Jamie Frazer"/>
    <s v="Consumer"/>
    <s v="United States"/>
    <x v="223"/>
    <x v="18"/>
    <x v="0"/>
    <x v="1"/>
    <x v="8"/>
    <x v="571"/>
    <n v="4.2240000000000002"/>
    <n v="3"/>
    <n v="0.2"/>
    <n v="0.47520000000000001"/>
    <n v="3.7488000000000001"/>
  </r>
  <r>
    <x v="230"/>
    <d v="2016-09-21T00:00:00"/>
    <x v="2"/>
    <s v="Rick Huthwaite"/>
    <s v="Home Office"/>
    <s v="United States"/>
    <x v="180"/>
    <x v="34"/>
    <x v="3"/>
    <x v="1"/>
    <x v="7"/>
    <x v="233"/>
    <n v="1606.23"/>
    <n v="9"/>
    <n v="0"/>
    <n v="481.86900000000003"/>
    <n v="1124.3609999999999"/>
  </r>
  <r>
    <x v="530"/>
    <d v="2015-03-15T00:00:00"/>
    <x v="2"/>
    <s v="Marc Crier"/>
    <s v="Consumer"/>
    <s v="United States"/>
    <x v="4"/>
    <x v="4"/>
    <x v="1"/>
    <x v="0"/>
    <x v="0"/>
    <x v="572"/>
    <n v="141.96"/>
    <n v="2"/>
    <n v="0"/>
    <n v="39.748800000000003"/>
    <n v="102.21120000000001"/>
  </r>
  <r>
    <x v="531"/>
    <d v="2015-01-27T00:00:00"/>
    <x v="1"/>
    <s v="Carl Weiss"/>
    <s v="Home Office"/>
    <s v="United States"/>
    <x v="224"/>
    <x v="36"/>
    <x v="1"/>
    <x v="1"/>
    <x v="4"/>
    <x v="573"/>
    <n v="29.04"/>
    <n v="3"/>
    <n v="0"/>
    <n v="13.9392"/>
    <n v="15.1008"/>
  </r>
  <r>
    <x v="532"/>
    <d v="2015-06-23T00:00:00"/>
    <x v="1"/>
    <s v="Skye Norling"/>
    <s v="Home Office"/>
    <s v="United States"/>
    <x v="88"/>
    <x v="16"/>
    <x v="1"/>
    <x v="1"/>
    <x v="4"/>
    <x v="574"/>
    <n v="11.952"/>
    <n v="3"/>
    <n v="0.2"/>
    <n v="4.3326000000000002"/>
    <n v="7.6193999999999997"/>
  </r>
  <r>
    <x v="533"/>
    <d v="2015-10-08T00:00:00"/>
    <x v="1"/>
    <s v="Ed Braxton"/>
    <s v="Corporate"/>
    <s v="United States"/>
    <x v="65"/>
    <x v="1"/>
    <x v="1"/>
    <x v="1"/>
    <x v="5"/>
    <x v="575"/>
    <n v="57.503999999999998"/>
    <n v="6"/>
    <n v="0.2"/>
    <n v="20.1264"/>
    <n v="37.377600000000001"/>
  </r>
  <r>
    <x v="534"/>
    <d v="2014-08-23T00:00:00"/>
    <x v="1"/>
    <s v="Ken Black"/>
    <s v="Corporate"/>
    <s v="United States"/>
    <x v="12"/>
    <x v="5"/>
    <x v="2"/>
    <x v="1"/>
    <x v="4"/>
    <x v="576"/>
    <n v="15.552"/>
    <n v="3"/>
    <n v="0.2"/>
    <n v="5.4432"/>
    <n v="10.108799999999999"/>
  </r>
  <r>
    <x v="535"/>
    <d v="2014-11-04T00:00:00"/>
    <x v="1"/>
    <s v="Greg Guthrie"/>
    <s v="Corporate"/>
    <s v="United States"/>
    <x v="1"/>
    <x v="1"/>
    <x v="1"/>
    <x v="1"/>
    <x v="13"/>
    <x v="200"/>
    <n v="11.34"/>
    <n v="3"/>
    <n v="0"/>
    <n v="5.2164000000000001"/>
    <n v="6.1235999999999997"/>
  </r>
  <r>
    <x v="536"/>
    <d v="2015-04-19T00:00:00"/>
    <x v="1"/>
    <s v="Zuschuss Carroll"/>
    <s v="Consumer"/>
    <s v="United States"/>
    <x v="195"/>
    <x v="1"/>
    <x v="1"/>
    <x v="2"/>
    <x v="12"/>
    <x v="577"/>
    <n v="199.96"/>
    <n v="4"/>
    <n v="0"/>
    <n v="69.986000000000004"/>
    <n v="129.97399999999999"/>
  </r>
  <r>
    <x v="537"/>
    <d v="2014-12-05T00:00:00"/>
    <x v="1"/>
    <s v="Toby Ritter"/>
    <s v="Consumer"/>
    <s v="United States"/>
    <x v="8"/>
    <x v="1"/>
    <x v="1"/>
    <x v="0"/>
    <x v="3"/>
    <x v="578"/>
    <n v="58.2"/>
    <n v="3"/>
    <n v="0"/>
    <n v="28.518000000000001"/>
    <n v="29.682000000000002"/>
  </r>
  <r>
    <x v="93"/>
    <d v="2015-12-29T00:00:00"/>
    <x v="1"/>
    <s v="Maribeth Schnelling"/>
    <s v="Consumer"/>
    <s v="United States"/>
    <x v="153"/>
    <x v="16"/>
    <x v="1"/>
    <x v="1"/>
    <x v="4"/>
    <x v="579"/>
    <n v="106.232"/>
    <n v="7"/>
    <n v="0.2"/>
    <n v="37.181199999999997"/>
    <n v="69.05080000000001"/>
  </r>
  <r>
    <x v="538"/>
    <d v="2017-03-01T00:00:00"/>
    <x v="1"/>
    <s v="Clytie Kelty"/>
    <s v="Consumer"/>
    <s v="United States"/>
    <x v="1"/>
    <x v="1"/>
    <x v="1"/>
    <x v="1"/>
    <x v="4"/>
    <x v="422"/>
    <n v="37.44"/>
    <n v="6"/>
    <n v="0"/>
    <n v="16.847999999999999"/>
    <n v="20.591999999999999"/>
  </r>
  <r>
    <x v="453"/>
    <d v="2014-11-29T00:00:00"/>
    <x v="1"/>
    <s v="Emily Ducich"/>
    <s v="Home Office"/>
    <s v="United States"/>
    <x v="12"/>
    <x v="5"/>
    <x v="2"/>
    <x v="1"/>
    <x v="1"/>
    <x v="187"/>
    <n v="23.68"/>
    <n v="2"/>
    <n v="0.2"/>
    <n v="8.8800000000000008"/>
    <n v="14.799999999999999"/>
  </r>
  <r>
    <x v="539"/>
    <d v="2016-06-28T00:00:00"/>
    <x v="1"/>
    <s v="Irene Maddox"/>
    <s v="Consumer"/>
    <s v="United States"/>
    <x v="19"/>
    <x v="15"/>
    <x v="3"/>
    <x v="1"/>
    <x v="1"/>
    <x v="580"/>
    <n v="122.12"/>
    <n v="4"/>
    <n v="0"/>
    <n v="56.175199999999997"/>
    <n v="65.944800000000015"/>
  </r>
  <r>
    <x v="540"/>
    <d v="2015-10-30T00:00:00"/>
    <x v="1"/>
    <s v="Maribeth Yedwab"/>
    <s v="Corporate"/>
    <s v="United States"/>
    <x v="225"/>
    <x v="1"/>
    <x v="1"/>
    <x v="1"/>
    <x v="1"/>
    <x v="581"/>
    <n v="5.76"/>
    <n v="2"/>
    <n v="0"/>
    <n v="2.6496"/>
    <n v="3.1103999999999998"/>
  </r>
  <r>
    <x v="541"/>
    <d v="2017-07-19T00:00:00"/>
    <x v="1"/>
    <s v="Magdelene Morse"/>
    <s v="Consumer"/>
    <s v="United States"/>
    <x v="92"/>
    <x v="13"/>
    <x v="3"/>
    <x v="1"/>
    <x v="5"/>
    <x v="582"/>
    <n v="26.55"/>
    <n v="3"/>
    <n v="0"/>
    <n v="13.009499999999999"/>
    <n v="13.540500000000002"/>
  </r>
  <r>
    <x v="542"/>
    <d v="2015-11-29T00:00:00"/>
    <x v="1"/>
    <s v="Sandra Flanagan"/>
    <s v="Consumer"/>
    <s v="United States"/>
    <x v="92"/>
    <x v="3"/>
    <x v="0"/>
    <x v="1"/>
    <x v="8"/>
    <x v="583"/>
    <n v="13.12"/>
    <n v="5"/>
    <n v="0.2"/>
    <n v="1.476"/>
    <n v="11.643999999999998"/>
  </r>
  <r>
    <x v="368"/>
    <d v="2014-03-17T00:00:00"/>
    <x v="1"/>
    <s v="Kean Thornton"/>
    <s v="Consumer"/>
    <s v="United States"/>
    <x v="56"/>
    <x v="22"/>
    <x v="1"/>
    <x v="1"/>
    <x v="7"/>
    <x v="584"/>
    <n v="636.40800000000002"/>
    <n v="3"/>
    <n v="0.2"/>
    <n v="-15.9102"/>
    <n v="652.31820000000005"/>
  </r>
  <r>
    <x v="543"/>
    <d v="2014-07-18T00:00:00"/>
    <x v="3"/>
    <s v="Adrian Hane"/>
    <s v="Home Office"/>
    <s v="United States"/>
    <x v="84"/>
    <x v="16"/>
    <x v="1"/>
    <x v="0"/>
    <x v="9"/>
    <x v="585"/>
    <n v="259.13600000000002"/>
    <n v="4"/>
    <n v="0.2"/>
    <n v="-25.913599999999999"/>
    <n v="285.0496"/>
  </r>
  <r>
    <x v="544"/>
    <d v="2017-03-28T00:00:00"/>
    <x v="0"/>
    <s v="Brian Moss"/>
    <s v="Corporate"/>
    <s v="United States"/>
    <x v="19"/>
    <x v="15"/>
    <x v="3"/>
    <x v="1"/>
    <x v="4"/>
    <x v="586"/>
    <n v="221.92"/>
    <n v="4"/>
    <n v="0"/>
    <n v="106.52160000000001"/>
    <n v="115.39839999999998"/>
  </r>
  <r>
    <x v="488"/>
    <d v="2014-10-05T00:00:00"/>
    <x v="1"/>
    <s v="Ben Wallace"/>
    <s v="Consumer"/>
    <s v="United States"/>
    <x v="175"/>
    <x v="2"/>
    <x v="0"/>
    <x v="1"/>
    <x v="4"/>
    <x v="587"/>
    <n v="15.552"/>
    <n v="3"/>
    <n v="0.2"/>
    <n v="5.4432"/>
    <n v="10.108799999999999"/>
  </r>
  <r>
    <x v="82"/>
    <d v="2015-10-31T00:00:00"/>
    <x v="3"/>
    <s v="Sandra Glassco"/>
    <s v="Consumer"/>
    <s v="United States"/>
    <x v="52"/>
    <x v="1"/>
    <x v="1"/>
    <x v="1"/>
    <x v="4"/>
    <x v="160"/>
    <n v="19.98"/>
    <n v="1"/>
    <n v="0"/>
    <n v="9.3905999999999992"/>
    <n v="10.589400000000001"/>
  </r>
  <r>
    <x v="323"/>
    <d v="2017-01-13T00:00:00"/>
    <x v="1"/>
    <s v="Thais Sissman"/>
    <s v="Consumer"/>
    <s v="United States"/>
    <x v="226"/>
    <x v="2"/>
    <x v="0"/>
    <x v="1"/>
    <x v="5"/>
    <x v="346"/>
    <n v="2.8079999999999998"/>
    <n v="3"/>
    <n v="0.7"/>
    <n v="-1.9656"/>
    <n v="4.7736000000000001"/>
  </r>
  <r>
    <x v="545"/>
    <d v="2017-09-24T00:00:00"/>
    <x v="0"/>
    <s v="Erica Hernandez"/>
    <s v="Home Office"/>
    <s v="United States"/>
    <x v="168"/>
    <x v="12"/>
    <x v="2"/>
    <x v="0"/>
    <x v="0"/>
    <x v="588"/>
    <n v="241.96"/>
    <n v="2"/>
    <n v="0"/>
    <n v="41.133200000000002"/>
    <n v="200.82679999999999"/>
  </r>
  <r>
    <x v="546"/>
    <d v="2014-05-22T00:00:00"/>
    <x v="0"/>
    <s v="Randy Ferguson"/>
    <s v="Corporate"/>
    <s v="United States"/>
    <x v="17"/>
    <x v="37"/>
    <x v="3"/>
    <x v="1"/>
    <x v="6"/>
    <x v="589"/>
    <n v="33.28"/>
    <n v="4"/>
    <n v="0"/>
    <n v="9.3184000000000005"/>
    <n v="23.961600000000001"/>
  </r>
  <r>
    <x v="513"/>
    <d v="2016-01-05T00:00:00"/>
    <x v="1"/>
    <s v="Trudy Brown"/>
    <s v="Consumer"/>
    <s v="United States"/>
    <x v="227"/>
    <x v="5"/>
    <x v="2"/>
    <x v="0"/>
    <x v="3"/>
    <x v="590"/>
    <n v="14.76"/>
    <n v="5"/>
    <n v="0.6"/>
    <n v="-11.439"/>
    <n v="26.198999999999998"/>
  </r>
  <r>
    <x v="378"/>
    <d v="2014-12-17T00:00:00"/>
    <x v="1"/>
    <s v="William Brown"/>
    <s v="Consumer"/>
    <s v="United States"/>
    <x v="3"/>
    <x v="1"/>
    <x v="1"/>
    <x v="0"/>
    <x v="3"/>
    <x v="366"/>
    <n v="43.31"/>
    <n v="1"/>
    <n v="0"/>
    <n v="4.3310000000000004"/>
    <n v="38.978999999999999"/>
  </r>
  <r>
    <x v="170"/>
    <d v="2017-04-05T00:00:00"/>
    <x v="1"/>
    <s v="Denny Ordway"/>
    <s v="Consumer"/>
    <s v="United States"/>
    <x v="19"/>
    <x v="15"/>
    <x v="3"/>
    <x v="2"/>
    <x v="11"/>
    <x v="591"/>
    <n v="84.95"/>
    <n v="5"/>
    <n v="0"/>
    <n v="22.087"/>
    <n v="62.863"/>
  </r>
  <r>
    <x v="473"/>
    <d v="2016-05-05T00:00:00"/>
    <x v="1"/>
    <s v="Ben Ferrer"/>
    <s v="Home Office"/>
    <s v="United States"/>
    <x v="57"/>
    <x v="5"/>
    <x v="2"/>
    <x v="0"/>
    <x v="3"/>
    <x v="592"/>
    <n v="22.608000000000001"/>
    <n v="3"/>
    <n v="0.6"/>
    <n v="-10.1736"/>
    <n v="32.781599999999997"/>
  </r>
  <r>
    <x v="547"/>
    <d v="2016-01-12T00:00:00"/>
    <x v="1"/>
    <s v="Dianna Wilson"/>
    <s v="Home Office"/>
    <s v="United States"/>
    <x v="163"/>
    <x v="1"/>
    <x v="1"/>
    <x v="1"/>
    <x v="8"/>
    <x v="593"/>
    <n v="34.58"/>
    <n v="1"/>
    <n v="0"/>
    <n v="10.0282"/>
    <n v="24.5518"/>
  </r>
  <r>
    <x v="548"/>
    <d v="2017-03-19T00:00:00"/>
    <x v="1"/>
    <s v="Karen Ferguson"/>
    <s v="Home Office"/>
    <s v="United States"/>
    <x v="228"/>
    <x v="1"/>
    <x v="1"/>
    <x v="1"/>
    <x v="4"/>
    <x v="594"/>
    <n v="314.55"/>
    <n v="3"/>
    <n v="0"/>
    <n v="150.98400000000001"/>
    <n v="163.566"/>
  </r>
  <r>
    <x v="549"/>
    <d v="2017-01-30T00:00:00"/>
    <x v="0"/>
    <s v="John Huston"/>
    <s v="Consumer"/>
    <s v="United States"/>
    <x v="229"/>
    <x v="24"/>
    <x v="3"/>
    <x v="1"/>
    <x v="8"/>
    <x v="230"/>
    <n v="14.016"/>
    <n v="3"/>
    <n v="0.2"/>
    <n v="1.752"/>
    <n v="12.263999999999999"/>
  </r>
  <r>
    <x v="550"/>
    <d v="2014-08-03T00:00:00"/>
    <x v="2"/>
    <s v="Ivan Liston"/>
    <s v="Consumer"/>
    <s v="United States"/>
    <x v="8"/>
    <x v="1"/>
    <x v="1"/>
    <x v="1"/>
    <x v="5"/>
    <x v="595"/>
    <n v="19.751999999999999"/>
    <n v="3"/>
    <n v="0.2"/>
    <n v="6.9131999999999998"/>
    <n v="12.838799999999999"/>
  </r>
  <r>
    <x v="551"/>
    <d v="2016-08-04T00:00:00"/>
    <x v="1"/>
    <s v="Lindsay Shagiari"/>
    <s v="Home Office"/>
    <s v="United States"/>
    <x v="12"/>
    <x v="5"/>
    <x v="2"/>
    <x v="1"/>
    <x v="5"/>
    <x v="596"/>
    <n v="9.2639999999999993"/>
    <n v="3"/>
    <n v="0.8"/>
    <n v="-13.896000000000001"/>
    <n v="23.16"/>
  </r>
  <r>
    <x v="108"/>
    <d v="2015-08-03T00:00:00"/>
    <x v="0"/>
    <s v="Corey Catlett"/>
    <s v="Corporate"/>
    <s v="United States"/>
    <x v="12"/>
    <x v="5"/>
    <x v="2"/>
    <x v="1"/>
    <x v="7"/>
    <x v="597"/>
    <n v="61.792000000000002"/>
    <n v="4"/>
    <n v="0.2"/>
    <n v="6.1791999999999998"/>
    <n v="55.6128"/>
  </r>
  <r>
    <x v="552"/>
    <d v="2016-05-11T00:00:00"/>
    <x v="1"/>
    <s v="Caroline Jumper"/>
    <s v="Consumer"/>
    <s v="United States"/>
    <x v="19"/>
    <x v="15"/>
    <x v="3"/>
    <x v="1"/>
    <x v="5"/>
    <x v="598"/>
    <n v="85.231999999999999"/>
    <n v="7"/>
    <n v="0.2"/>
    <n v="30.896599999999999"/>
    <n v="54.3354"/>
  </r>
  <r>
    <x v="553"/>
    <d v="2017-08-15T00:00:00"/>
    <x v="1"/>
    <s v="Ivan Liston"/>
    <s v="Consumer"/>
    <s v="United States"/>
    <x v="37"/>
    <x v="14"/>
    <x v="2"/>
    <x v="1"/>
    <x v="10"/>
    <x v="70"/>
    <n v="70.08"/>
    <n v="6"/>
    <n v="0"/>
    <n v="35.04"/>
    <n v="35.04"/>
  </r>
  <r>
    <x v="554"/>
    <d v="2016-09-12T00:00:00"/>
    <x v="0"/>
    <s v="Catherine Glotzbach"/>
    <s v="Home Office"/>
    <s v="United States"/>
    <x v="38"/>
    <x v="18"/>
    <x v="0"/>
    <x v="1"/>
    <x v="8"/>
    <x v="599"/>
    <n v="67.56"/>
    <n v="3"/>
    <n v="0.2"/>
    <n v="8.4450000000000003"/>
    <n v="59.115000000000002"/>
  </r>
  <r>
    <x v="555"/>
    <d v="2014-07-20T00:00:00"/>
    <x v="1"/>
    <s v="Arthur Wiediger"/>
    <s v="Home Office"/>
    <s v="United States"/>
    <x v="33"/>
    <x v="10"/>
    <x v="2"/>
    <x v="1"/>
    <x v="5"/>
    <x v="288"/>
    <n v="29.931999999999999"/>
    <n v="7"/>
    <n v="0.8"/>
    <n v="-46.394599999999997"/>
    <n v="76.326599999999999"/>
  </r>
  <r>
    <x v="371"/>
    <d v="2015-08-26T00:00:00"/>
    <x v="1"/>
    <s v="Roger Barcio"/>
    <s v="Home Office"/>
    <s v="United States"/>
    <x v="19"/>
    <x v="15"/>
    <x v="3"/>
    <x v="1"/>
    <x v="8"/>
    <x v="600"/>
    <n v="16.52"/>
    <n v="4"/>
    <n v="0"/>
    <n v="7.5991999999999997"/>
    <n v="8.9207999999999998"/>
  </r>
  <r>
    <x v="556"/>
    <d v="2014-11-16T00:00:00"/>
    <x v="0"/>
    <s v="Maris LaWare"/>
    <s v="Consumer"/>
    <s v="United States"/>
    <x v="51"/>
    <x v="29"/>
    <x v="3"/>
    <x v="2"/>
    <x v="11"/>
    <x v="601"/>
    <n v="832.93"/>
    <n v="7"/>
    <n v="0"/>
    <n v="233.22040000000001"/>
    <n v="599.70959999999991"/>
  </r>
  <r>
    <x v="557"/>
    <d v="2016-11-30T00:00:00"/>
    <x v="2"/>
    <s v="Victoria Brennan"/>
    <s v="Corporate"/>
    <s v="United States"/>
    <x v="230"/>
    <x v="12"/>
    <x v="2"/>
    <x v="1"/>
    <x v="6"/>
    <x v="602"/>
    <n v="167.292"/>
    <n v="6"/>
    <n v="0.1"/>
    <n v="29.7408"/>
    <n v="137.55119999999999"/>
  </r>
  <r>
    <x v="160"/>
    <d v="2017-10-02T00:00:00"/>
    <x v="2"/>
    <s v="Neola Schneider"/>
    <s v="Consumer"/>
    <s v="United States"/>
    <x v="46"/>
    <x v="1"/>
    <x v="1"/>
    <x v="1"/>
    <x v="5"/>
    <x v="350"/>
    <n v="1.44"/>
    <n v="1"/>
    <n v="0.2"/>
    <n v="0.504"/>
    <n v="0.93599999999999994"/>
  </r>
  <r>
    <x v="354"/>
    <d v="2015-12-06T00:00:00"/>
    <x v="3"/>
    <s v="Dennis Kane"/>
    <s v="Consumer"/>
    <s v="United States"/>
    <x v="231"/>
    <x v="24"/>
    <x v="3"/>
    <x v="2"/>
    <x v="11"/>
    <x v="603"/>
    <n v="485.94"/>
    <n v="2"/>
    <n v="0.4"/>
    <n v="-89.088999999999999"/>
    <n v="575.029"/>
  </r>
  <r>
    <x v="558"/>
    <d v="2017-08-05T00:00:00"/>
    <x v="1"/>
    <s v="Erin Ashbrook"/>
    <s v="Corporate"/>
    <s v="United States"/>
    <x v="10"/>
    <x v="9"/>
    <x v="3"/>
    <x v="1"/>
    <x v="4"/>
    <x v="604"/>
    <n v="54.816000000000003"/>
    <n v="3"/>
    <n v="0.2"/>
    <n v="17.815200000000001"/>
    <n v="37.000799999999998"/>
  </r>
  <r>
    <x v="559"/>
    <d v="2016-10-05T00:00:00"/>
    <x v="1"/>
    <s v="Greg Matthias"/>
    <s v="Consumer"/>
    <s v="United States"/>
    <x v="19"/>
    <x v="15"/>
    <x v="3"/>
    <x v="0"/>
    <x v="2"/>
    <x v="605"/>
    <n v="330.58800000000002"/>
    <n v="1"/>
    <n v="0.4"/>
    <n v="-115.7058"/>
    <n v="446.29380000000003"/>
  </r>
  <r>
    <x v="560"/>
    <d v="2014-04-05T00:00:00"/>
    <x v="1"/>
    <s v="Alex Avila"/>
    <s v="Consumer"/>
    <s v="United States"/>
    <x v="8"/>
    <x v="1"/>
    <x v="1"/>
    <x v="1"/>
    <x v="5"/>
    <x v="606"/>
    <n v="673.56799999999998"/>
    <n v="2"/>
    <n v="0.2"/>
    <n v="252.58799999999999"/>
    <n v="420.98"/>
  </r>
  <r>
    <x v="322"/>
    <d v="2017-07-14T00:00:00"/>
    <x v="1"/>
    <s v="John Huston"/>
    <s v="Consumer"/>
    <s v="United States"/>
    <x v="21"/>
    <x v="10"/>
    <x v="2"/>
    <x v="1"/>
    <x v="7"/>
    <x v="607"/>
    <n v="228.92"/>
    <n v="5"/>
    <n v="0.2"/>
    <n v="14.307499999999999"/>
    <n v="214.61249999999998"/>
  </r>
  <r>
    <x v="374"/>
    <d v="2015-09-17T00:00:00"/>
    <x v="0"/>
    <s v="Carol Triggs"/>
    <s v="Consumer"/>
    <s v="United States"/>
    <x v="232"/>
    <x v="14"/>
    <x v="2"/>
    <x v="1"/>
    <x v="7"/>
    <x v="608"/>
    <n v="190.86"/>
    <n v="2"/>
    <n v="0"/>
    <n v="11.451599999999999"/>
    <n v="179.40840000000003"/>
  </r>
  <r>
    <x v="561"/>
    <d v="2017-04-26T00:00:00"/>
    <x v="1"/>
    <s v="Sanjit Jacobs"/>
    <s v="Home Office"/>
    <s v="United States"/>
    <x v="21"/>
    <x v="10"/>
    <x v="2"/>
    <x v="0"/>
    <x v="3"/>
    <x v="609"/>
    <n v="44.4"/>
    <n v="2"/>
    <n v="0.6"/>
    <n v="-52.17"/>
    <n v="96.57"/>
  </r>
  <r>
    <x v="487"/>
    <d v="2015-02-18T00:00:00"/>
    <x v="0"/>
    <s v="Justin MacKendrick"/>
    <s v="Consumer"/>
    <s v="United States"/>
    <x v="1"/>
    <x v="1"/>
    <x v="1"/>
    <x v="1"/>
    <x v="4"/>
    <x v="610"/>
    <n v="13.36"/>
    <n v="2"/>
    <n v="0"/>
    <n v="6.4127999999999998"/>
    <n v="6.9471999999999996"/>
  </r>
  <r>
    <x v="562"/>
    <d v="2015-10-01T00:00:00"/>
    <x v="2"/>
    <s v="Henry Goldwyn"/>
    <s v="Corporate"/>
    <s v="United States"/>
    <x v="8"/>
    <x v="1"/>
    <x v="1"/>
    <x v="1"/>
    <x v="6"/>
    <x v="611"/>
    <n v="43.26"/>
    <n v="3"/>
    <n v="0"/>
    <n v="14.2758"/>
    <n v="28.984199999999998"/>
  </r>
  <r>
    <x v="201"/>
    <d v="2015-12-18T00:00:00"/>
    <x v="3"/>
    <s v="Mitch Webber"/>
    <s v="Consumer"/>
    <s v="United States"/>
    <x v="19"/>
    <x v="15"/>
    <x v="3"/>
    <x v="2"/>
    <x v="12"/>
    <x v="261"/>
    <n v="166.24"/>
    <n v="1"/>
    <n v="0"/>
    <n v="24.936"/>
    <n v="141.304"/>
  </r>
  <r>
    <x v="563"/>
    <d v="2017-02-09T00:00:00"/>
    <x v="2"/>
    <s v="Mark Van Huff"/>
    <s v="Consumer"/>
    <s v="United States"/>
    <x v="72"/>
    <x v="17"/>
    <x v="0"/>
    <x v="0"/>
    <x v="0"/>
    <x v="612"/>
    <n v="359.97"/>
    <n v="3"/>
    <n v="0"/>
    <n v="79.193399999999997"/>
    <n v="280.77660000000003"/>
  </r>
  <r>
    <x v="341"/>
    <d v="2017-10-12T00:00:00"/>
    <x v="3"/>
    <s v="Sean Miller"/>
    <s v="Home Office"/>
    <s v="United States"/>
    <x v="50"/>
    <x v="3"/>
    <x v="0"/>
    <x v="1"/>
    <x v="4"/>
    <x v="613"/>
    <n v="7.968"/>
    <n v="2"/>
    <n v="0.2"/>
    <n v="2.6892"/>
    <n v="5.2788000000000004"/>
  </r>
  <r>
    <x v="564"/>
    <d v="2017-12-26T00:00:00"/>
    <x v="1"/>
    <s v="Dean Katz"/>
    <s v="Corporate"/>
    <s v="United States"/>
    <x v="29"/>
    <x v="15"/>
    <x v="3"/>
    <x v="1"/>
    <x v="4"/>
    <x v="614"/>
    <n v="6.48"/>
    <n v="1"/>
    <n v="0"/>
    <n v="3.1103999999999998"/>
    <n v="3.3696000000000006"/>
  </r>
  <r>
    <x v="565"/>
    <d v="2015-03-11T00:00:00"/>
    <x v="1"/>
    <s v="John Lucas"/>
    <s v="Consumer"/>
    <s v="United States"/>
    <x v="8"/>
    <x v="1"/>
    <x v="1"/>
    <x v="0"/>
    <x v="3"/>
    <x v="615"/>
    <n v="435.26"/>
    <n v="7"/>
    <n v="0"/>
    <n v="95.757199999999997"/>
    <n v="339.50279999999998"/>
  </r>
  <r>
    <x v="566"/>
    <d v="2014-07-01T00:00:00"/>
    <x v="1"/>
    <s v="Liz MacKendrick"/>
    <s v="Consumer"/>
    <s v="United States"/>
    <x v="233"/>
    <x v="35"/>
    <x v="0"/>
    <x v="1"/>
    <x v="7"/>
    <x v="399"/>
    <n v="306.2"/>
    <n v="5"/>
    <n v="0"/>
    <n v="0"/>
    <n v="306.2"/>
  </r>
  <r>
    <x v="510"/>
    <d v="2015-03-09T00:00:00"/>
    <x v="1"/>
    <s v="Sarah Foster"/>
    <s v="Consumer"/>
    <s v="United States"/>
    <x v="234"/>
    <x v="14"/>
    <x v="2"/>
    <x v="2"/>
    <x v="11"/>
    <x v="311"/>
    <n v="23.92"/>
    <n v="2"/>
    <n v="0"/>
    <n v="6.6976000000000004"/>
    <n v="17.2224"/>
  </r>
  <r>
    <x v="567"/>
    <d v="2017-06-05T00:00:00"/>
    <x v="0"/>
    <s v="Barry Blumstein"/>
    <s v="Corporate"/>
    <s v="United States"/>
    <x v="160"/>
    <x v="24"/>
    <x v="3"/>
    <x v="1"/>
    <x v="6"/>
    <x v="616"/>
    <n v="17.48"/>
    <n v="5"/>
    <n v="0.2"/>
    <n v="1.3109999999999999"/>
    <n v="16.169"/>
  </r>
  <r>
    <x v="568"/>
    <d v="2017-01-11T00:00:00"/>
    <x v="2"/>
    <s v="Ricardo Sperren"/>
    <s v="Corporate"/>
    <s v="United States"/>
    <x v="4"/>
    <x v="4"/>
    <x v="1"/>
    <x v="0"/>
    <x v="2"/>
    <x v="617"/>
    <n v="892.98"/>
    <n v="2"/>
    <n v="0"/>
    <n v="80.368200000000002"/>
    <n v="812.61180000000002"/>
  </r>
  <r>
    <x v="569"/>
    <d v="2015-04-25T00:00:00"/>
    <x v="1"/>
    <s v="Theresa Swint"/>
    <s v="Corporate"/>
    <s v="United States"/>
    <x v="37"/>
    <x v="32"/>
    <x v="0"/>
    <x v="2"/>
    <x v="11"/>
    <x v="618"/>
    <n v="287.97000000000003"/>
    <n v="3"/>
    <n v="0"/>
    <n v="77.751900000000006"/>
    <n v="210.21810000000002"/>
  </r>
  <r>
    <x v="570"/>
    <d v="2015-11-05T00:00:00"/>
    <x v="1"/>
    <s v="Valerie Dominguez"/>
    <s v="Consumer"/>
    <s v="United States"/>
    <x v="19"/>
    <x v="15"/>
    <x v="3"/>
    <x v="1"/>
    <x v="4"/>
    <x v="439"/>
    <n v="13.52"/>
    <n v="4"/>
    <n v="0"/>
    <n v="6.2191999999999998"/>
    <n v="7.3007999999999997"/>
  </r>
  <r>
    <x v="391"/>
    <d v="2016-12-24T00:00:00"/>
    <x v="2"/>
    <s v="Ben Peterman"/>
    <s v="Corporate"/>
    <s v="United States"/>
    <x v="21"/>
    <x v="10"/>
    <x v="2"/>
    <x v="0"/>
    <x v="0"/>
    <x v="333"/>
    <n v="141.37200000000001"/>
    <n v="2"/>
    <n v="0.3"/>
    <n v="-14.1372"/>
    <n v="155.50920000000002"/>
  </r>
  <r>
    <x v="571"/>
    <d v="2015-08-08T00:00:00"/>
    <x v="2"/>
    <s v="Michael Stewart"/>
    <s v="Corporate"/>
    <s v="United States"/>
    <x v="12"/>
    <x v="5"/>
    <x v="2"/>
    <x v="1"/>
    <x v="4"/>
    <x v="442"/>
    <n v="27.216000000000001"/>
    <n v="3"/>
    <n v="0.2"/>
    <n v="9.8658000000000001"/>
    <n v="17.350200000000001"/>
  </r>
  <r>
    <x v="314"/>
    <d v="2017-11-09T00:00:00"/>
    <x v="1"/>
    <s v="Susan Vittorini"/>
    <s v="Consumer"/>
    <s v="United States"/>
    <x v="19"/>
    <x v="15"/>
    <x v="3"/>
    <x v="2"/>
    <x v="12"/>
    <x v="210"/>
    <n v="390.75"/>
    <n v="5"/>
    <n v="0"/>
    <n v="171.93"/>
    <n v="218.82"/>
  </r>
  <r>
    <x v="513"/>
    <d v="2016-01-03T00:00:00"/>
    <x v="0"/>
    <s v="Karen Carlisle"/>
    <s v="Corporate"/>
    <s v="United States"/>
    <x v="0"/>
    <x v="0"/>
    <x v="0"/>
    <x v="1"/>
    <x v="5"/>
    <x v="152"/>
    <n v="94.74"/>
    <n v="3"/>
    <n v="0"/>
    <n v="44.527799999999999"/>
    <n v="50.212199999999996"/>
  </r>
  <r>
    <x v="572"/>
    <d v="2016-09-26T00:00:00"/>
    <x v="0"/>
    <s v="Laura Armstrong"/>
    <s v="Corporate"/>
    <s v="United States"/>
    <x v="1"/>
    <x v="1"/>
    <x v="1"/>
    <x v="1"/>
    <x v="7"/>
    <x v="91"/>
    <n v="41.96"/>
    <n v="2"/>
    <n v="0"/>
    <n v="2.9371999999999998"/>
    <n v="39.022800000000004"/>
  </r>
  <r>
    <x v="573"/>
    <d v="2014-08-24T00:00:00"/>
    <x v="1"/>
    <s v="Jim Karlsson"/>
    <s v="Consumer"/>
    <s v="United States"/>
    <x v="37"/>
    <x v="24"/>
    <x v="3"/>
    <x v="1"/>
    <x v="8"/>
    <x v="41"/>
    <n v="10.72"/>
    <n v="2"/>
    <n v="0.2"/>
    <n v="1.742"/>
    <n v="8.9780000000000015"/>
  </r>
  <r>
    <x v="574"/>
    <d v="2015-01-03T00:00:00"/>
    <x v="2"/>
    <s v="Gary Mitchum"/>
    <s v="Home Office"/>
    <s v="United States"/>
    <x v="44"/>
    <x v="31"/>
    <x v="3"/>
    <x v="0"/>
    <x v="3"/>
    <x v="619"/>
    <n v="63.2"/>
    <n v="5"/>
    <n v="0"/>
    <n v="23.384"/>
    <n v="39.816000000000003"/>
  </r>
  <r>
    <x v="575"/>
    <d v="2014-07-30T00:00:00"/>
    <x v="0"/>
    <s v="Carl Ludwig"/>
    <s v="Consumer"/>
    <s v="United States"/>
    <x v="21"/>
    <x v="10"/>
    <x v="2"/>
    <x v="1"/>
    <x v="7"/>
    <x v="465"/>
    <n v="123.55200000000001"/>
    <n v="3"/>
    <n v="0.2"/>
    <n v="-29.343599999999999"/>
    <n v="152.8956"/>
  </r>
  <r>
    <x v="576"/>
    <d v="2016-02-28T00:00:00"/>
    <x v="1"/>
    <s v="Paul Van Hugh"/>
    <s v="Home Office"/>
    <s v="United States"/>
    <x v="143"/>
    <x v="6"/>
    <x v="2"/>
    <x v="1"/>
    <x v="6"/>
    <x v="620"/>
    <n v="490.32"/>
    <n v="9"/>
    <n v="0"/>
    <n v="137.28960000000001"/>
    <n v="353.03039999999999"/>
  </r>
  <r>
    <x v="65"/>
    <d v="2016-03-18T00:00:00"/>
    <x v="1"/>
    <s v="Liz Thompson"/>
    <s v="Consumer"/>
    <s v="United States"/>
    <x v="49"/>
    <x v="5"/>
    <x v="2"/>
    <x v="1"/>
    <x v="4"/>
    <x v="621"/>
    <n v="70.08"/>
    <n v="5"/>
    <n v="0.2"/>
    <n v="24.527999999999999"/>
    <n v="45.552"/>
  </r>
  <r>
    <x v="259"/>
    <d v="2015-09-02T00:00:00"/>
    <x v="2"/>
    <s v="Scott Cohen"/>
    <s v="Corporate"/>
    <s v="United States"/>
    <x v="8"/>
    <x v="1"/>
    <x v="1"/>
    <x v="0"/>
    <x v="0"/>
    <x v="622"/>
    <n v="1552.8309999999999"/>
    <n v="7"/>
    <n v="0.15"/>
    <n v="200.9546"/>
    <n v="1351.8763999999999"/>
  </r>
  <r>
    <x v="405"/>
    <d v="2014-03-21T00:00:00"/>
    <x v="1"/>
    <s v="Christine Phan"/>
    <s v="Corporate"/>
    <s v="United States"/>
    <x v="19"/>
    <x v="15"/>
    <x v="3"/>
    <x v="0"/>
    <x v="2"/>
    <x v="623"/>
    <n v="1579.7460000000001"/>
    <n v="7"/>
    <n v="0.4"/>
    <n v="-447.59469999999999"/>
    <n v="2027.3407000000002"/>
  </r>
  <r>
    <x v="577"/>
    <d v="2017-02-13T00:00:00"/>
    <x v="2"/>
    <s v="Michael Nguyen"/>
    <s v="Consumer"/>
    <s v="United States"/>
    <x v="187"/>
    <x v="40"/>
    <x v="3"/>
    <x v="1"/>
    <x v="4"/>
    <x v="624"/>
    <n v="23.12"/>
    <n v="4"/>
    <n v="0"/>
    <n v="11.328799999999999"/>
    <n v="11.791200000000002"/>
  </r>
  <r>
    <x v="578"/>
    <d v="2016-09-27T00:00:00"/>
    <x v="1"/>
    <s v="Kelly Lampkin"/>
    <s v="Corporate"/>
    <s v="United States"/>
    <x v="51"/>
    <x v="24"/>
    <x v="3"/>
    <x v="0"/>
    <x v="3"/>
    <x v="625"/>
    <n v="532.70399999999995"/>
    <n v="6"/>
    <n v="0.2"/>
    <n v="-26.635200000000001"/>
    <n v="559.33920000000001"/>
  </r>
  <r>
    <x v="573"/>
    <d v="2014-08-21T00:00:00"/>
    <x v="0"/>
    <s v="Maxwell Schwartz"/>
    <s v="Consumer"/>
    <s v="United States"/>
    <x v="37"/>
    <x v="24"/>
    <x v="3"/>
    <x v="1"/>
    <x v="5"/>
    <x v="626"/>
    <n v="76.775999999999996"/>
    <n v="4"/>
    <n v="0.7"/>
    <n v="-58.861600000000003"/>
    <n v="135.63759999999999"/>
  </r>
  <r>
    <x v="579"/>
    <d v="2016-05-10T00:00:00"/>
    <x v="1"/>
    <s v="Brad Eason"/>
    <s v="Home Office"/>
    <s v="United States"/>
    <x v="145"/>
    <x v="24"/>
    <x v="3"/>
    <x v="1"/>
    <x v="13"/>
    <x v="627"/>
    <n v="7.2160000000000002"/>
    <n v="2"/>
    <n v="0.2"/>
    <n v="1.7138"/>
    <n v="5.5022000000000002"/>
  </r>
  <r>
    <x v="509"/>
    <d v="2017-03-26T00:00:00"/>
    <x v="2"/>
    <s v="Christina VanderZanden"/>
    <s v="Consumer"/>
    <s v="United States"/>
    <x v="177"/>
    <x v="1"/>
    <x v="1"/>
    <x v="1"/>
    <x v="6"/>
    <x v="628"/>
    <n v="176.04"/>
    <n v="4"/>
    <n v="0"/>
    <n v="45.770400000000002"/>
    <n v="130.2696"/>
  </r>
  <r>
    <x v="354"/>
    <d v="2015-12-10T00:00:00"/>
    <x v="1"/>
    <s v="Speros Goranitis"/>
    <s v="Consumer"/>
    <s v="United States"/>
    <x v="19"/>
    <x v="15"/>
    <x v="3"/>
    <x v="1"/>
    <x v="4"/>
    <x v="629"/>
    <n v="6.48"/>
    <n v="1"/>
    <n v="0"/>
    <n v="3.1103999999999998"/>
    <n v="3.3696000000000006"/>
  </r>
  <r>
    <x v="580"/>
    <d v="2016-03-23T00:00:00"/>
    <x v="1"/>
    <s v="Christine Sundaresam"/>
    <s v="Consumer"/>
    <s v="United States"/>
    <x v="235"/>
    <x v="31"/>
    <x v="3"/>
    <x v="1"/>
    <x v="8"/>
    <x v="177"/>
    <n v="39.68"/>
    <n v="2"/>
    <n v="0"/>
    <n v="10.316800000000001"/>
    <n v="29.363199999999999"/>
  </r>
  <r>
    <x v="581"/>
    <d v="2015-11-19T00:00:00"/>
    <x v="1"/>
    <s v="Patrick Jones"/>
    <s v="Corporate"/>
    <s v="United States"/>
    <x v="19"/>
    <x v="15"/>
    <x v="3"/>
    <x v="2"/>
    <x v="12"/>
    <x v="630"/>
    <n v="37.6"/>
    <n v="2"/>
    <n v="0"/>
    <n v="2.2559999999999998"/>
    <n v="35.344000000000001"/>
  </r>
  <r>
    <x v="582"/>
    <d v="2017-08-16T00:00:00"/>
    <x v="0"/>
    <s v="Nora Preis"/>
    <s v="Consumer"/>
    <s v="United States"/>
    <x v="8"/>
    <x v="1"/>
    <x v="1"/>
    <x v="1"/>
    <x v="1"/>
    <x v="631"/>
    <n v="5.76"/>
    <n v="2"/>
    <n v="0"/>
    <n v="2.8224"/>
    <n v="2.9375999999999998"/>
  </r>
  <r>
    <x v="583"/>
    <d v="2016-10-03T00:00:00"/>
    <x v="1"/>
    <s v="Harry Marie"/>
    <s v="Corporate"/>
    <s v="United States"/>
    <x v="103"/>
    <x v="5"/>
    <x v="2"/>
    <x v="0"/>
    <x v="0"/>
    <x v="632"/>
    <n v="956.66480000000001"/>
    <n v="7"/>
    <n v="0.32"/>
    <n v="-225.0976"/>
    <n v="1181.7624000000001"/>
  </r>
  <r>
    <x v="472"/>
    <d v="2017-10-11T00:00:00"/>
    <x v="1"/>
    <s v="Mike Gockenbach"/>
    <s v="Consumer"/>
    <s v="United States"/>
    <x v="1"/>
    <x v="1"/>
    <x v="1"/>
    <x v="2"/>
    <x v="12"/>
    <x v="633"/>
    <n v="1115.9100000000001"/>
    <n v="9"/>
    <n v="0"/>
    <n v="200.8638"/>
    <n v="915.04620000000011"/>
  </r>
  <r>
    <x v="550"/>
    <d v="2014-08-06T00:00:00"/>
    <x v="1"/>
    <s v="Ann Steele"/>
    <s v="Home Office"/>
    <s v="United States"/>
    <x v="10"/>
    <x v="9"/>
    <x v="3"/>
    <x v="1"/>
    <x v="13"/>
    <x v="634"/>
    <n v="5.68"/>
    <n v="2"/>
    <n v="0.2"/>
    <n v="1.917"/>
    <n v="3.7629999999999999"/>
  </r>
  <r>
    <x v="584"/>
    <d v="2015-06-09T00:00:00"/>
    <x v="0"/>
    <s v="Eleni McCrary"/>
    <s v="Corporate"/>
    <s v="United States"/>
    <x v="1"/>
    <x v="1"/>
    <x v="1"/>
    <x v="1"/>
    <x v="5"/>
    <x v="635"/>
    <n v="7.52"/>
    <n v="5"/>
    <n v="0.2"/>
    <n v="2.6320000000000001"/>
    <n v="4.8879999999999999"/>
  </r>
  <r>
    <x v="585"/>
    <d v="2017-01-02T00:00:00"/>
    <x v="1"/>
    <s v="Troy Blackwell"/>
    <s v="Consumer"/>
    <s v="United States"/>
    <x v="143"/>
    <x v="6"/>
    <x v="2"/>
    <x v="0"/>
    <x v="9"/>
    <x v="636"/>
    <n v="754.45"/>
    <n v="5"/>
    <n v="0"/>
    <n v="60.356000000000002"/>
    <n v="694.09400000000005"/>
  </r>
  <r>
    <x v="333"/>
    <d v="2015-07-11T00:00:00"/>
    <x v="1"/>
    <s v="Paul Prost"/>
    <s v="Home Office"/>
    <s v="United States"/>
    <x v="236"/>
    <x v="31"/>
    <x v="3"/>
    <x v="0"/>
    <x v="0"/>
    <x v="182"/>
    <n v="301.95999999999998"/>
    <n v="2"/>
    <n v="0"/>
    <n v="60.392000000000003"/>
    <n v="241.56799999999998"/>
  </r>
  <r>
    <x v="44"/>
    <d v="2017-11-14T00:00:00"/>
    <x v="1"/>
    <s v="Matt Collister"/>
    <s v="Corporate"/>
    <s v="United States"/>
    <x v="237"/>
    <x v="1"/>
    <x v="1"/>
    <x v="1"/>
    <x v="7"/>
    <x v="637"/>
    <n v="63.56"/>
    <n v="2"/>
    <n v="0"/>
    <n v="3.1779999999999999"/>
    <n v="60.382000000000005"/>
  </r>
  <r>
    <x v="586"/>
    <d v="2016-04-23T00:00:00"/>
    <x v="1"/>
    <s v="Clay Rozendal"/>
    <s v="Home Office"/>
    <s v="United States"/>
    <x v="238"/>
    <x v="10"/>
    <x v="2"/>
    <x v="1"/>
    <x v="7"/>
    <x v="37"/>
    <n v="230.376"/>
    <n v="3"/>
    <n v="0.2"/>
    <n v="-48.954900000000002"/>
    <n v="279.33089999999999"/>
  </r>
  <r>
    <x v="587"/>
    <d v="2017-05-20T00:00:00"/>
    <x v="1"/>
    <s v="Ross Baird"/>
    <s v="Home Office"/>
    <s v="United States"/>
    <x v="8"/>
    <x v="1"/>
    <x v="1"/>
    <x v="1"/>
    <x v="1"/>
    <x v="1"/>
    <n v="58.48"/>
    <n v="8"/>
    <n v="0"/>
    <n v="27.485600000000002"/>
    <n v="30.994399999999995"/>
  </r>
  <r>
    <x v="588"/>
    <d v="2014-04-01T00:00:00"/>
    <x v="1"/>
    <s v="Annie Zypern"/>
    <s v="Consumer"/>
    <s v="United States"/>
    <x v="19"/>
    <x v="15"/>
    <x v="3"/>
    <x v="0"/>
    <x v="9"/>
    <x v="638"/>
    <n v="366.786"/>
    <n v="7"/>
    <n v="0.1"/>
    <n v="65.206400000000002"/>
    <n v="301.57960000000003"/>
  </r>
  <r>
    <x v="38"/>
    <d v="2017-06-01T00:00:00"/>
    <x v="1"/>
    <s v="Jonathan Howell"/>
    <s v="Consumer"/>
    <s v="United States"/>
    <x v="12"/>
    <x v="5"/>
    <x v="2"/>
    <x v="2"/>
    <x v="11"/>
    <x v="591"/>
    <n v="54.368000000000002"/>
    <n v="4"/>
    <n v="0.2"/>
    <n v="4.0776000000000003"/>
    <n v="50.290400000000005"/>
  </r>
  <r>
    <x v="393"/>
    <d v="2017-07-10T00:00:00"/>
    <x v="1"/>
    <s v="Christina Anderson"/>
    <s v="Consumer"/>
    <s v="United States"/>
    <x v="150"/>
    <x v="27"/>
    <x v="1"/>
    <x v="0"/>
    <x v="3"/>
    <x v="639"/>
    <n v="545.85"/>
    <n v="9"/>
    <n v="0"/>
    <n v="114.6285"/>
    <n v="431.22149999999999"/>
  </r>
  <r>
    <x v="589"/>
    <d v="2014-11-20T00:00:00"/>
    <x v="0"/>
    <s v="Pierre Wener"/>
    <s v="Consumer"/>
    <s v="United States"/>
    <x v="95"/>
    <x v="22"/>
    <x v="1"/>
    <x v="0"/>
    <x v="2"/>
    <x v="640"/>
    <n v="145.97999999999999"/>
    <n v="2"/>
    <n v="0.5"/>
    <n v="-99.266400000000004"/>
    <n v="245.24639999999999"/>
  </r>
  <r>
    <x v="590"/>
    <d v="2017-07-22T00:00:00"/>
    <x v="1"/>
    <s v="Shaun Weien"/>
    <s v="Consumer"/>
    <s v="United States"/>
    <x v="63"/>
    <x v="2"/>
    <x v="0"/>
    <x v="0"/>
    <x v="3"/>
    <x v="641"/>
    <n v="7.9039999999999999"/>
    <n v="2"/>
    <n v="0.2"/>
    <n v="2.1736"/>
    <n v="5.7303999999999995"/>
  </r>
  <r>
    <x v="591"/>
    <d v="2016-11-06T00:00:00"/>
    <x v="1"/>
    <s v="Bill Donatelli"/>
    <s v="Consumer"/>
    <s v="United States"/>
    <x v="10"/>
    <x v="9"/>
    <x v="3"/>
    <x v="0"/>
    <x v="9"/>
    <x v="541"/>
    <n v="492.83499999999998"/>
    <n v="5"/>
    <n v="0.3"/>
    <n v="-14.081"/>
    <n v="506.916"/>
  </r>
  <r>
    <x v="266"/>
    <d v="2017-03-22T00:00:00"/>
    <x v="0"/>
    <s v="Denny Blanton"/>
    <s v="Consumer"/>
    <s v="United States"/>
    <x v="19"/>
    <x v="15"/>
    <x v="3"/>
    <x v="1"/>
    <x v="1"/>
    <x v="642"/>
    <n v="18.75"/>
    <n v="5"/>
    <n v="0"/>
    <n v="9"/>
    <n v="9.75"/>
  </r>
  <r>
    <x v="592"/>
    <d v="2017-08-21T00:00:00"/>
    <x v="1"/>
    <s v="James Galang"/>
    <s v="Consumer"/>
    <s v="United States"/>
    <x v="124"/>
    <x v="30"/>
    <x v="3"/>
    <x v="1"/>
    <x v="6"/>
    <x v="643"/>
    <n v="97.84"/>
    <n v="2"/>
    <n v="0"/>
    <n v="25.438400000000001"/>
    <n v="72.401600000000002"/>
  </r>
  <r>
    <x v="593"/>
    <d v="2017-12-09T00:00:00"/>
    <x v="1"/>
    <s v="Chuck Sachs"/>
    <s v="Consumer"/>
    <s v="United States"/>
    <x v="19"/>
    <x v="15"/>
    <x v="3"/>
    <x v="1"/>
    <x v="5"/>
    <x v="377"/>
    <n v="83.92"/>
    <n v="5"/>
    <n v="0.2"/>
    <n v="29.372"/>
    <n v="54.548000000000002"/>
  </r>
  <r>
    <x v="408"/>
    <d v="2017-05-08T00:00:00"/>
    <x v="1"/>
    <s v="Mike Kennedy"/>
    <s v="Consumer"/>
    <s v="United States"/>
    <x v="239"/>
    <x v="17"/>
    <x v="0"/>
    <x v="1"/>
    <x v="4"/>
    <x v="644"/>
    <n v="9.11"/>
    <n v="1"/>
    <n v="0"/>
    <n v="4.0994999999999999"/>
    <n v="5.0104999999999995"/>
  </r>
  <r>
    <x v="153"/>
    <d v="2017-12-31T00:00:00"/>
    <x v="1"/>
    <s v="Alan Hwang"/>
    <s v="Consumer"/>
    <s v="United States"/>
    <x v="4"/>
    <x v="4"/>
    <x v="1"/>
    <x v="1"/>
    <x v="7"/>
    <x v="645"/>
    <n v="1003.62"/>
    <n v="6"/>
    <n v="0"/>
    <n v="0"/>
    <n v="1003.62"/>
  </r>
  <r>
    <x v="594"/>
    <d v="2017-09-03T00:00:00"/>
    <x v="1"/>
    <s v="Kristina Nunn"/>
    <s v="Home Office"/>
    <s v="United States"/>
    <x v="4"/>
    <x v="4"/>
    <x v="1"/>
    <x v="2"/>
    <x v="11"/>
    <x v="646"/>
    <n v="35.167999999999999"/>
    <n v="4"/>
    <n v="0.2"/>
    <n v="11.429600000000001"/>
    <n v="23.738399999999999"/>
  </r>
  <r>
    <x v="78"/>
    <d v="2014-11-23T00:00:00"/>
    <x v="1"/>
    <s v="John Murray"/>
    <s v="Consumer"/>
    <s v="United States"/>
    <x v="240"/>
    <x v="15"/>
    <x v="3"/>
    <x v="2"/>
    <x v="11"/>
    <x v="538"/>
    <n v="4548.8100000000004"/>
    <n v="7"/>
    <n v="0"/>
    <n v="1228.1786999999999"/>
    <n v="3320.6313000000005"/>
  </r>
  <r>
    <x v="595"/>
    <d v="2014-06-22T00:00:00"/>
    <x v="1"/>
    <s v="Sonia Cooley"/>
    <s v="Consumer"/>
    <s v="United States"/>
    <x v="241"/>
    <x v="14"/>
    <x v="2"/>
    <x v="0"/>
    <x v="9"/>
    <x v="179"/>
    <n v="647.84"/>
    <n v="8"/>
    <n v="0"/>
    <n v="32.392000000000003"/>
    <n v="615.44799999999998"/>
  </r>
  <r>
    <x v="596"/>
    <d v="2015-07-02T00:00:00"/>
    <x v="3"/>
    <s v="Richard Bierner"/>
    <s v="Consumer"/>
    <s v="United States"/>
    <x v="12"/>
    <x v="5"/>
    <x v="2"/>
    <x v="1"/>
    <x v="6"/>
    <x v="647"/>
    <n v="32.783999999999999"/>
    <n v="4"/>
    <n v="0.8"/>
    <n v="-85.238399999999999"/>
    <n v="118.0224"/>
  </r>
  <r>
    <x v="597"/>
    <d v="2016-11-23T00:00:00"/>
    <x v="1"/>
    <s v="Arthur Wiediger"/>
    <s v="Home Office"/>
    <s v="United States"/>
    <x v="242"/>
    <x v="26"/>
    <x v="2"/>
    <x v="1"/>
    <x v="7"/>
    <x v="648"/>
    <n v="1117.92"/>
    <n v="4"/>
    <n v="0"/>
    <n v="55.896000000000001"/>
    <n v="1062.0240000000001"/>
  </r>
  <r>
    <x v="598"/>
    <d v="2017-12-06T00:00:00"/>
    <x v="1"/>
    <s v="Daniel Byrd"/>
    <s v="Home Office"/>
    <s v="United States"/>
    <x v="63"/>
    <x v="2"/>
    <x v="0"/>
    <x v="1"/>
    <x v="5"/>
    <x v="207"/>
    <n v="45.66"/>
    <n v="5"/>
    <n v="0.7"/>
    <n v="-33.484000000000002"/>
    <n v="79.144000000000005"/>
  </r>
  <r>
    <x v="599"/>
    <d v="2014-09-10T00:00:00"/>
    <x v="1"/>
    <s v="Nora Preis"/>
    <s v="Consumer"/>
    <s v="United States"/>
    <x v="213"/>
    <x v="24"/>
    <x v="3"/>
    <x v="1"/>
    <x v="7"/>
    <x v="245"/>
    <n v="264.32"/>
    <n v="2"/>
    <n v="0.2"/>
    <n v="19.824000000000002"/>
    <n v="244.49599999999998"/>
  </r>
  <r>
    <x v="529"/>
    <d v="2014-11-22T00:00:00"/>
    <x v="1"/>
    <s v="Peter Bühler"/>
    <s v="Consumer"/>
    <s v="United States"/>
    <x v="12"/>
    <x v="5"/>
    <x v="2"/>
    <x v="1"/>
    <x v="10"/>
    <x v="649"/>
    <n v="604.65599999999995"/>
    <n v="9"/>
    <n v="0.2"/>
    <n v="204.07140000000001"/>
    <n v="400.58459999999991"/>
  </r>
  <r>
    <x v="600"/>
    <d v="2017-05-07T00:00:00"/>
    <x v="1"/>
    <s v="Dorothy Wardle"/>
    <s v="Corporate"/>
    <s v="United States"/>
    <x v="54"/>
    <x v="30"/>
    <x v="3"/>
    <x v="0"/>
    <x v="3"/>
    <x v="366"/>
    <n v="129.93"/>
    <n v="3"/>
    <n v="0"/>
    <n v="12.993"/>
    <n v="116.93700000000001"/>
  </r>
  <r>
    <x v="601"/>
    <d v="2014-10-29T00:00:00"/>
    <x v="1"/>
    <s v="Daniel Byrd"/>
    <s v="Home Office"/>
    <s v="United States"/>
    <x v="2"/>
    <x v="2"/>
    <x v="0"/>
    <x v="1"/>
    <x v="4"/>
    <x v="650"/>
    <n v="10.368"/>
    <n v="2"/>
    <n v="0.2"/>
    <n v="3.6288"/>
    <n v="6.7392000000000003"/>
  </r>
  <r>
    <x v="592"/>
    <d v="2017-08-18T00:00:00"/>
    <x v="0"/>
    <s v="Dionis Lloyd"/>
    <s v="Corporate"/>
    <s v="United States"/>
    <x v="10"/>
    <x v="9"/>
    <x v="3"/>
    <x v="1"/>
    <x v="7"/>
    <x v="651"/>
    <n v="1801.6320000000001"/>
    <n v="6"/>
    <n v="0.2"/>
    <n v="-337.80599999999998"/>
    <n v="2139.4380000000001"/>
  </r>
  <r>
    <x v="602"/>
    <d v="2015-01-29T00:00:00"/>
    <x v="0"/>
    <s v="Seth Vernon"/>
    <s v="Consumer"/>
    <s v="United States"/>
    <x v="201"/>
    <x v="24"/>
    <x v="3"/>
    <x v="0"/>
    <x v="9"/>
    <x v="31"/>
    <n v="181.98599999999999"/>
    <n v="2"/>
    <n v="0.3"/>
    <n v="-54.595799999999997"/>
    <n v="236.58179999999999"/>
  </r>
  <r>
    <x v="603"/>
    <d v="2015-07-16T00:00:00"/>
    <x v="3"/>
    <s v="Eleni McCrary"/>
    <s v="Corporate"/>
    <s v="United States"/>
    <x v="8"/>
    <x v="1"/>
    <x v="1"/>
    <x v="0"/>
    <x v="9"/>
    <x v="652"/>
    <n v="1348.704"/>
    <n v="6"/>
    <n v="0.2"/>
    <n v="-219.1644"/>
    <n v="1567.8683999999998"/>
  </r>
  <r>
    <x v="604"/>
    <d v="2015-08-22T00:00:00"/>
    <x v="1"/>
    <s v="John Murray"/>
    <s v="Consumer"/>
    <s v="United States"/>
    <x v="153"/>
    <x v="16"/>
    <x v="1"/>
    <x v="1"/>
    <x v="8"/>
    <x v="653"/>
    <n v="2.3039999999999998"/>
    <n v="1"/>
    <n v="0.2"/>
    <n v="0.25919999999999999"/>
    <n v="2.0448"/>
  </r>
  <r>
    <x v="605"/>
    <d v="2016-09-18T00:00:00"/>
    <x v="1"/>
    <s v="Parhena Norris"/>
    <s v="Home Office"/>
    <s v="United States"/>
    <x v="28"/>
    <x v="20"/>
    <x v="0"/>
    <x v="1"/>
    <x v="4"/>
    <x v="383"/>
    <n v="25.92"/>
    <n v="4"/>
    <n v="0"/>
    <n v="12.441599999999999"/>
    <n v="13.478400000000002"/>
  </r>
  <r>
    <x v="606"/>
    <d v="2016-10-14T00:00:00"/>
    <x v="1"/>
    <s v="Bart Watters"/>
    <s v="Corporate"/>
    <s v="United States"/>
    <x v="12"/>
    <x v="5"/>
    <x v="2"/>
    <x v="0"/>
    <x v="3"/>
    <x v="654"/>
    <n v="51.712000000000003"/>
    <n v="8"/>
    <n v="0.6"/>
    <n v="-32.32"/>
    <n v="84.032000000000011"/>
  </r>
  <r>
    <x v="459"/>
    <d v="2015-03-30T00:00:00"/>
    <x v="1"/>
    <s v="Ben Peterman"/>
    <s v="Corporate"/>
    <s v="United States"/>
    <x v="174"/>
    <x v="2"/>
    <x v="0"/>
    <x v="1"/>
    <x v="6"/>
    <x v="616"/>
    <n v="6.992"/>
    <n v="2"/>
    <n v="0.2"/>
    <n v="0.52439999999999998"/>
    <n v="6.4676"/>
  </r>
  <r>
    <x v="11"/>
    <d v="2017-07-21T00:00:00"/>
    <x v="1"/>
    <s v="Valerie Mitchum"/>
    <s v="Home Office"/>
    <s v="United States"/>
    <x v="243"/>
    <x v="10"/>
    <x v="2"/>
    <x v="1"/>
    <x v="8"/>
    <x v="655"/>
    <n v="2.9119999999999999"/>
    <n v="2"/>
    <n v="0.2"/>
    <n v="0.91"/>
    <n v="2.0019999999999998"/>
  </r>
  <r>
    <x v="353"/>
    <d v="2016-08-15T00:00:00"/>
    <x v="0"/>
    <s v="Chris McAfee"/>
    <s v="Consumer"/>
    <s v="United States"/>
    <x v="220"/>
    <x v="5"/>
    <x v="2"/>
    <x v="2"/>
    <x v="12"/>
    <x v="656"/>
    <n v="1399.944"/>
    <n v="7"/>
    <n v="0.2"/>
    <n v="52.497900000000001"/>
    <n v="1347.4460999999999"/>
  </r>
  <r>
    <x v="607"/>
    <d v="2014-01-31T00:00:00"/>
    <x v="1"/>
    <s v="Shirley Daniels"/>
    <s v="Home Office"/>
    <s v="United States"/>
    <x v="149"/>
    <x v="17"/>
    <x v="0"/>
    <x v="0"/>
    <x v="3"/>
    <x v="657"/>
    <n v="62.82"/>
    <n v="3"/>
    <n v="0"/>
    <n v="30.7818"/>
    <n v="32.038200000000003"/>
  </r>
  <r>
    <x v="608"/>
    <d v="2016-05-09T00:00:00"/>
    <x v="1"/>
    <s v="Barry Franz"/>
    <s v="Home Office"/>
    <s v="United States"/>
    <x v="1"/>
    <x v="1"/>
    <x v="1"/>
    <x v="1"/>
    <x v="7"/>
    <x v="658"/>
    <n v="5.98"/>
    <n v="1"/>
    <n v="0"/>
    <n v="1.0165999999999999"/>
    <n v="4.9634"/>
  </r>
  <r>
    <x v="587"/>
    <d v="2017-05-17T00:00:00"/>
    <x v="1"/>
    <s v="Brian Moss"/>
    <s v="Corporate"/>
    <s v="United States"/>
    <x v="37"/>
    <x v="14"/>
    <x v="2"/>
    <x v="1"/>
    <x v="10"/>
    <x v="659"/>
    <n v="180.96"/>
    <n v="2"/>
    <n v="0"/>
    <n v="81.432000000000002"/>
    <n v="99.528000000000006"/>
  </r>
  <r>
    <x v="609"/>
    <d v="2017-04-29T00:00:00"/>
    <x v="1"/>
    <s v="Sally Knutson"/>
    <s v="Consumer"/>
    <s v="United States"/>
    <x v="19"/>
    <x v="15"/>
    <x v="3"/>
    <x v="1"/>
    <x v="6"/>
    <x v="660"/>
    <n v="121.94"/>
    <n v="2"/>
    <n v="0"/>
    <n v="35.3626"/>
    <n v="86.577399999999997"/>
  </r>
  <r>
    <x v="610"/>
    <d v="2016-03-10T00:00:00"/>
    <x v="1"/>
    <s v="Michael Granlund"/>
    <s v="Home Office"/>
    <s v="United States"/>
    <x v="65"/>
    <x v="1"/>
    <x v="1"/>
    <x v="1"/>
    <x v="8"/>
    <x v="661"/>
    <n v="16.989999999999998"/>
    <n v="1"/>
    <n v="0"/>
    <n v="4.9271000000000003"/>
    <n v="12.062899999999999"/>
  </r>
  <r>
    <x v="611"/>
    <d v="2015-08-19T00:00:00"/>
    <x v="1"/>
    <s v="Tim Taslimi"/>
    <s v="Corporate"/>
    <s v="United States"/>
    <x v="1"/>
    <x v="1"/>
    <x v="1"/>
    <x v="1"/>
    <x v="7"/>
    <x v="358"/>
    <n v="323.10000000000002"/>
    <n v="2"/>
    <n v="0"/>
    <n v="61.389000000000003"/>
    <n v="261.71100000000001"/>
  </r>
  <r>
    <x v="612"/>
    <d v="2017-06-18T00:00:00"/>
    <x v="1"/>
    <s v="Sarah Bern"/>
    <s v="Consumer"/>
    <s v="United States"/>
    <x v="19"/>
    <x v="15"/>
    <x v="3"/>
    <x v="1"/>
    <x v="4"/>
    <x v="662"/>
    <n v="19.04"/>
    <n v="4"/>
    <n v="0"/>
    <n v="9.3295999999999992"/>
    <n v="9.7103999999999999"/>
  </r>
  <r>
    <x v="613"/>
    <d v="2015-02-25T00:00:00"/>
    <x v="1"/>
    <s v="Liz MacKendrick"/>
    <s v="Consumer"/>
    <s v="United States"/>
    <x v="244"/>
    <x v="38"/>
    <x v="0"/>
    <x v="2"/>
    <x v="12"/>
    <x v="329"/>
    <n v="29.99"/>
    <n v="1"/>
    <n v="0"/>
    <n v="2.9990000000000001"/>
    <n v="26.991"/>
  </r>
  <r>
    <x v="614"/>
    <d v="2017-09-21T00:00:00"/>
    <x v="0"/>
    <s v="Alan Schoenberger"/>
    <s v="Corporate"/>
    <s v="United States"/>
    <x v="245"/>
    <x v="7"/>
    <x v="1"/>
    <x v="1"/>
    <x v="5"/>
    <x v="389"/>
    <n v="10.776"/>
    <n v="3"/>
    <n v="0.2"/>
    <n v="3.5022000000000002"/>
    <n v="7.2737999999999996"/>
  </r>
  <r>
    <x v="615"/>
    <d v="2015-08-30T00:00:00"/>
    <x v="1"/>
    <s v="Nancy Lomonaco"/>
    <s v="Home Office"/>
    <s v="United States"/>
    <x v="1"/>
    <x v="1"/>
    <x v="1"/>
    <x v="0"/>
    <x v="9"/>
    <x v="11"/>
    <n v="40.783999999999999"/>
    <n v="1"/>
    <n v="0.2"/>
    <n v="4.5881999999999996"/>
    <n v="36.195799999999998"/>
  </r>
  <r>
    <x v="482"/>
    <d v="2016-08-05T00:00:00"/>
    <x v="2"/>
    <s v="Ralph Arnett"/>
    <s v="Consumer"/>
    <s v="United States"/>
    <x v="88"/>
    <x v="10"/>
    <x v="2"/>
    <x v="1"/>
    <x v="5"/>
    <x v="663"/>
    <n v="3.98"/>
    <n v="5"/>
    <n v="0.8"/>
    <n v="-6.5670000000000002"/>
    <n v="10.547000000000001"/>
  </r>
  <r>
    <x v="476"/>
    <d v="2016-02-09T00:00:00"/>
    <x v="2"/>
    <s v="Bobby Elias"/>
    <s v="Consumer"/>
    <s v="United States"/>
    <x v="139"/>
    <x v="24"/>
    <x v="3"/>
    <x v="1"/>
    <x v="4"/>
    <x v="664"/>
    <n v="30.352"/>
    <n v="2"/>
    <n v="0.2"/>
    <n v="10.623200000000001"/>
    <n v="19.7288"/>
  </r>
  <r>
    <x v="616"/>
    <d v="2014-03-23T00:00:00"/>
    <x v="1"/>
    <s v="Sean Miller"/>
    <s v="Home Office"/>
    <s v="United States"/>
    <x v="99"/>
    <x v="2"/>
    <x v="0"/>
    <x v="2"/>
    <x v="14"/>
    <x v="665"/>
    <n v="821.3"/>
    <n v="4"/>
    <n v="0.5"/>
    <n v="-16.425999999999998"/>
    <n v="837.726"/>
  </r>
  <r>
    <x v="471"/>
    <d v="2015-02-06T00:00:00"/>
    <x v="1"/>
    <s v="Charles Crestani"/>
    <s v="Consumer"/>
    <s v="United States"/>
    <x v="1"/>
    <x v="1"/>
    <x v="1"/>
    <x v="0"/>
    <x v="3"/>
    <x v="666"/>
    <n v="227.36"/>
    <n v="7"/>
    <n v="0"/>
    <n v="81.849599999999995"/>
    <n v="145.5104"/>
  </r>
  <r>
    <x v="617"/>
    <d v="2014-12-08T00:00:00"/>
    <x v="1"/>
    <s v="Cathy Prescott"/>
    <s v="Corporate"/>
    <s v="United States"/>
    <x v="19"/>
    <x v="15"/>
    <x v="3"/>
    <x v="2"/>
    <x v="11"/>
    <x v="667"/>
    <n v="129.97999999999999"/>
    <n v="2"/>
    <n v="0"/>
    <n v="62.3904"/>
    <n v="67.58959999999999"/>
  </r>
  <r>
    <x v="119"/>
    <d v="2014-11-08T00:00:00"/>
    <x v="0"/>
    <s v="Odella Nelson"/>
    <s v="Corporate"/>
    <s v="United States"/>
    <x v="246"/>
    <x v="3"/>
    <x v="0"/>
    <x v="1"/>
    <x v="13"/>
    <x v="95"/>
    <n v="8.3759999999999994"/>
    <n v="3"/>
    <n v="0.2"/>
    <n v="2.7222"/>
    <n v="5.6537999999999995"/>
  </r>
  <r>
    <x v="618"/>
    <d v="2017-02-19T00:00:00"/>
    <x v="1"/>
    <s v="Fred Harton"/>
    <s v="Consumer"/>
    <s v="United States"/>
    <x v="4"/>
    <x v="4"/>
    <x v="1"/>
    <x v="1"/>
    <x v="8"/>
    <x v="67"/>
    <n v="6.63"/>
    <n v="3"/>
    <n v="0"/>
    <n v="1.7901"/>
    <n v="4.8399000000000001"/>
  </r>
  <r>
    <x v="619"/>
    <d v="2015-02-23T00:00:00"/>
    <x v="0"/>
    <s v="Joe Elijah"/>
    <s v="Consumer"/>
    <s v="United States"/>
    <x v="247"/>
    <x v="27"/>
    <x v="1"/>
    <x v="1"/>
    <x v="4"/>
    <x v="14"/>
    <n v="49.12"/>
    <n v="4"/>
    <n v="0"/>
    <n v="23.086400000000001"/>
    <n v="26.033599999999996"/>
  </r>
  <r>
    <x v="620"/>
    <d v="2016-02-27T00:00:00"/>
    <x v="0"/>
    <s v="Bruce Degenhardt"/>
    <s v="Consumer"/>
    <s v="United States"/>
    <x v="43"/>
    <x v="24"/>
    <x v="3"/>
    <x v="1"/>
    <x v="10"/>
    <x v="70"/>
    <n v="46.72"/>
    <n v="5"/>
    <n v="0.2"/>
    <n v="17.52"/>
    <n v="29.2"/>
  </r>
  <r>
    <x v="621"/>
    <d v="2017-08-11T00:00:00"/>
    <x v="0"/>
    <s v="Fred McMath"/>
    <s v="Consumer"/>
    <s v="United States"/>
    <x v="99"/>
    <x v="3"/>
    <x v="0"/>
    <x v="2"/>
    <x v="12"/>
    <x v="668"/>
    <n v="79.992000000000004"/>
    <n v="1"/>
    <n v="0.2"/>
    <n v="21.997800000000002"/>
    <n v="57.994200000000006"/>
  </r>
  <r>
    <x v="213"/>
    <d v="2014-08-11T00:00:00"/>
    <x v="0"/>
    <s v="Tamara Manning"/>
    <s v="Consumer"/>
    <s v="United States"/>
    <x v="248"/>
    <x v="1"/>
    <x v="1"/>
    <x v="1"/>
    <x v="7"/>
    <x v="669"/>
    <n v="423.28"/>
    <n v="11"/>
    <n v="0"/>
    <n v="110.0528"/>
    <n v="313.22719999999998"/>
  </r>
  <r>
    <x v="622"/>
    <d v="2017-01-18T00:00:00"/>
    <x v="2"/>
    <s v="Robert Waldorf"/>
    <s v="Consumer"/>
    <s v="United States"/>
    <x v="10"/>
    <x v="9"/>
    <x v="3"/>
    <x v="1"/>
    <x v="6"/>
    <x v="670"/>
    <n v="34.384"/>
    <n v="1"/>
    <n v="0.2"/>
    <n v="3.8681999999999999"/>
    <n v="30.515799999999999"/>
  </r>
  <r>
    <x v="623"/>
    <d v="2015-04-07T00:00:00"/>
    <x v="1"/>
    <s v="Michael Oakman"/>
    <s v="Consumer"/>
    <s v="United States"/>
    <x v="57"/>
    <x v="5"/>
    <x v="2"/>
    <x v="1"/>
    <x v="6"/>
    <x v="671"/>
    <n v="32.192"/>
    <n v="2"/>
    <n v="0.8"/>
    <n v="-80.48"/>
    <n v="112.672"/>
  </r>
  <r>
    <x v="136"/>
    <d v="2016-10-25T00:00:00"/>
    <x v="1"/>
    <s v="Joel Eaton"/>
    <s v="Consumer"/>
    <s v="United States"/>
    <x v="65"/>
    <x v="1"/>
    <x v="1"/>
    <x v="1"/>
    <x v="7"/>
    <x v="465"/>
    <n v="154.44"/>
    <n v="3"/>
    <n v="0"/>
    <n v="1.5444"/>
    <n v="152.8956"/>
  </r>
  <r>
    <x v="624"/>
    <d v="2015-07-19T00:00:00"/>
    <x v="0"/>
    <s v="Jessica Myrick"/>
    <s v="Consumer"/>
    <s v="United States"/>
    <x v="249"/>
    <x v="1"/>
    <x v="1"/>
    <x v="0"/>
    <x v="0"/>
    <x v="672"/>
    <n v="195.46600000000001"/>
    <n v="2"/>
    <n v="0.15"/>
    <n v="-13.797599999999999"/>
    <n v="209.2636"/>
  </r>
  <r>
    <x v="625"/>
    <d v="2016-10-15T00:00:00"/>
    <x v="1"/>
    <s v="Michael Paige"/>
    <s v="Corporate"/>
    <s v="United States"/>
    <x v="20"/>
    <x v="24"/>
    <x v="3"/>
    <x v="2"/>
    <x v="11"/>
    <x v="531"/>
    <n v="23.975999999999999"/>
    <n v="4"/>
    <n v="0.4"/>
    <n v="-15.5844"/>
    <n v="39.560400000000001"/>
  </r>
  <r>
    <x v="626"/>
    <d v="2015-09-23T00:00:00"/>
    <x v="2"/>
    <s v="Cynthia Delaney"/>
    <s v="Home Office"/>
    <s v="United States"/>
    <x v="1"/>
    <x v="1"/>
    <x v="1"/>
    <x v="0"/>
    <x v="9"/>
    <x v="673"/>
    <n v="601.53599999999994"/>
    <n v="4"/>
    <n v="0.2"/>
    <n v="0"/>
    <n v="601.53599999999994"/>
  </r>
  <r>
    <x v="146"/>
    <d v="2014-09-22T00:00:00"/>
    <x v="2"/>
    <s v="Brian Moss"/>
    <s v="Corporate"/>
    <s v="United States"/>
    <x v="250"/>
    <x v="8"/>
    <x v="2"/>
    <x v="1"/>
    <x v="6"/>
    <x v="46"/>
    <n v="25.96"/>
    <n v="2"/>
    <n v="0"/>
    <n v="7.5284000000000004"/>
    <n v="18.4316"/>
  </r>
  <r>
    <x v="121"/>
    <d v="2017-11-08T00:00:00"/>
    <x v="1"/>
    <s v="Denise Leinenbach"/>
    <s v="Consumer"/>
    <s v="United States"/>
    <x v="247"/>
    <x v="27"/>
    <x v="1"/>
    <x v="0"/>
    <x v="3"/>
    <x v="44"/>
    <n v="41.37"/>
    <n v="3"/>
    <n v="0"/>
    <n v="17.375399999999999"/>
    <n v="23.994599999999998"/>
  </r>
  <r>
    <x v="63"/>
    <d v="2015-09-11T00:00:00"/>
    <x v="1"/>
    <s v="Charles Crestani"/>
    <s v="Consumer"/>
    <s v="United States"/>
    <x v="198"/>
    <x v="5"/>
    <x v="2"/>
    <x v="0"/>
    <x v="9"/>
    <x v="674"/>
    <n v="47.515999999999998"/>
    <n v="2"/>
    <n v="0.3"/>
    <n v="-2.0364"/>
    <n v="49.552399999999999"/>
  </r>
  <r>
    <x v="349"/>
    <d v="2015-07-27T00:00:00"/>
    <x v="0"/>
    <s v="Michelle Huthwaite"/>
    <s v="Consumer"/>
    <s v="United States"/>
    <x v="4"/>
    <x v="4"/>
    <x v="1"/>
    <x v="1"/>
    <x v="13"/>
    <x v="675"/>
    <n v="9.42"/>
    <n v="2"/>
    <n v="0"/>
    <n v="0.47099999999999997"/>
    <n v="8.9489999999999998"/>
  </r>
  <r>
    <x v="463"/>
    <d v="2015-11-18T00:00:00"/>
    <x v="0"/>
    <s v="Mike Pelletier"/>
    <s v="Home Office"/>
    <s v="United States"/>
    <x v="143"/>
    <x v="6"/>
    <x v="2"/>
    <x v="1"/>
    <x v="4"/>
    <x v="160"/>
    <n v="179.82"/>
    <n v="9"/>
    <n v="0"/>
    <n v="84.5154"/>
    <n v="95.304599999999994"/>
  </r>
  <r>
    <x v="627"/>
    <d v="2017-01-05T00:00:00"/>
    <x v="1"/>
    <s v="Brian DeCherney"/>
    <s v="Consumer"/>
    <s v="United States"/>
    <x v="114"/>
    <x v="1"/>
    <x v="1"/>
    <x v="2"/>
    <x v="11"/>
    <x v="676"/>
    <n v="302.37599999999998"/>
    <n v="3"/>
    <n v="0.2"/>
    <n v="22.6782"/>
    <n v="279.69779999999997"/>
  </r>
  <r>
    <x v="628"/>
    <d v="2014-09-30T00:00:00"/>
    <x v="1"/>
    <s v="Michelle Tran"/>
    <s v="Home Office"/>
    <s v="United States"/>
    <x v="12"/>
    <x v="5"/>
    <x v="2"/>
    <x v="1"/>
    <x v="4"/>
    <x v="677"/>
    <n v="33.792000000000002"/>
    <n v="8"/>
    <n v="0.2"/>
    <n v="10.56"/>
    <n v="23.231999999999999"/>
  </r>
  <r>
    <x v="272"/>
    <d v="2014-11-05T00:00:00"/>
    <x v="1"/>
    <s v="Natalie DeCherney"/>
    <s v="Consumer"/>
    <s v="United States"/>
    <x v="31"/>
    <x v="21"/>
    <x v="1"/>
    <x v="1"/>
    <x v="7"/>
    <x v="678"/>
    <n v="443.92"/>
    <n v="5"/>
    <n v="0.2"/>
    <n v="-94.332999999999998"/>
    <n v="538.25300000000004"/>
  </r>
  <r>
    <x v="629"/>
    <d v="2016-06-12T00:00:00"/>
    <x v="2"/>
    <s v="Toby Carlisle"/>
    <s v="Consumer"/>
    <s v="United States"/>
    <x v="251"/>
    <x v="2"/>
    <x v="0"/>
    <x v="2"/>
    <x v="14"/>
    <x v="448"/>
    <n v="695.7"/>
    <n v="2"/>
    <n v="0.5"/>
    <n v="-27.827999999999999"/>
    <n v="723.52800000000002"/>
  </r>
  <r>
    <x v="443"/>
    <d v="2017-09-04T00:00:00"/>
    <x v="0"/>
    <s v="Rob Lucas"/>
    <s v="Consumer"/>
    <s v="United States"/>
    <x v="154"/>
    <x v="3"/>
    <x v="0"/>
    <x v="1"/>
    <x v="4"/>
    <x v="679"/>
    <n v="229.54400000000001"/>
    <n v="7"/>
    <n v="0.2"/>
    <n v="83.209699999999998"/>
    <n v="146.33430000000001"/>
  </r>
  <r>
    <x v="630"/>
    <d v="2017-05-22T00:00:00"/>
    <x v="1"/>
    <s v="Brosina Hoffman"/>
    <s v="Consumer"/>
    <s v="United States"/>
    <x v="10"/>
    <x v="9"/>
    <x v="3"/>
    <x v="2"/>
    <x v="12"/>
    <x v="680"/>
    <n v="36.048000000000002"/>
    <n v="3"/>
    <n v="0.2"/>
    <n v="-0.9012"/>
    <n v="36.949200000000005"/>
  </r>
  <r>
    <x v="631"/>
    <d v="2016-12-31T00:00:00"/>
    <x v="1"/>
    <s v="Brooke Gillingham"/>
    <s v="Corporate"/>
    <s v="United States"/>
    <x v="243"/>
    <x v="10"/>
    <x v="2"/>
    <x v="0"/>
    <x v="9"/>
    <x v="238"/>
    <n v="845.48800000000006"/>
    <n v="8"/>
    <n v="0.3"/>
    <n v="-12.0784"/>
    <n v="857.56640000000004"/>
  </r>
  <r>
    <x v="79"/>
    <d v="2016-12-03T00:00:00"/>
    <x v="1"/>
    <s v="Anthony Jacobs"/>
    <s v="Corporate"/>
    <s v="United States"/>
    <x v="131"/>
    <x v="2"/>
    <x v="0"/>
    <x v="1"/>
    <x v="5"/>
    <x v="405"/>
    <n v="7.4340000000000002"/>
    <n v="6"/>
    <n v="0.7"/>
    <n v="-5.6993999999999998"/>
    <n v="13.1334"/>
  </r>
  <r>
    <x v="632"/>
    <d v="2016-06-05T00:00:00"/>
    <x v="2"/>
    <s v="Karen Carlisle"/>
    <s v="Corporate"/>
    <s v="United States"/>
    <x v="10"/>
    <x v="9"/>
    <x v="3"/>
    <x v="1"/>
    <x v="7"/>
    <x v="681"/>
    <n v="64.784000000000006"/>
    <n v="1"/>
    <n v="0.2"/>
    <n v="-12.956799999999999"/>
    <n v="77.740800000000007"/>
  </r>
  <r>
    <x v="87"/>
    <d v="2017-12-22T00:00:00"/>
    <x v="1"/>
    <s v="Vicky Freymann"/>
    <s v="Home Office"/>
    <s v="United States"/>
    <x v="37"/>
    <x v="14"/>
    <x v="2"/>
    <x v="1"/>
    <x v="4"/>
    <x v="339"/>
    <n v="28.16"/>
    <n v="4"/>
    <n v="0"/>
    <n v="13.235200000000001"/>
    <n v="14.924799999999999"/>
  </r>
  <r>
    <x v="633"/>
    <d v="2017-08-20T00:00:00"/>
    <x v="3"/>
    <s v="Eleni McCrary"/>
    <s v="Corporate"/>
    <s v="United States"/>
    <x v="44"/>
    <x v="31"/>
    <x v="3"/>
    <x v="1"/>
    <x v="7"/>
    <x v="486"/>
    <n v="40.29"/>
    <n v="3"/>
    <n v="0"/>
    <n v="10.4754"/>
    <n v="29.814599999999999"/>
  </r>
  <r>
    <x v="634"/>
    <d v="2017-07-31T00:00:00"/>
    <x v="1"/>
    <s v="Raymond Buch"/>
    <s v="Consumer"/>
    <s v="United States"/>
    <x v="252"/>
    <x v="41"/>
    <x v="2"/>
    <x v="1"/>
    <x v="1"/>
    <x v="682"/>
    <n v="20.23"/>
    <n v="7"/>
    <n v="0"/>
    <n v="9.5081000000000007"/>
    <n v="10.7219"/>
  </r>
  <r>
    <x v="635"/>
    <d v="2017-08-17T00:00:00"/>
    <x v="1"/>
    <s v="Rick Hansen"/>
    <s v="Consumer"/>
    <s v="United States"/>
    <x v="253"/>
    <x v="2"/>
    <x v="0"/>
    <x v="1"/>
    <x v="4"/>
    <x v="683"/>
    <n v="20.736000000000001"/>
    <n v="4"/>
    <n v="0.2"/>
    <n v="7.2576000000000001"/>
    <n v="13.478400000000001"/>
  </r>
  <r>
    <x v="636"/>
    <d v="2017-08-13T00:00:00"/>
    <x v="3"/>
    <s v="Jay Kimmel"/>
    <s v="Consumer"/>
    <s v="United States"/>
    <x v="8"/>
    <x v="1"/>
    <x v="1"/>
    <x v="1"/>
    <x v="7"/>
    <x v="206"/>
    <n v="31.44"/>
    <n v="3"/>
    <n v="0"/>
    <n v="8.4887999999999995"/>
    <n v="22.9512"/>
  </r>
  <r>
    <x v="637"/>
    <d v="2016-01-23T00:00:00"/>
    <x v="0"/>
    <s v="Tamara Dahlen"/>
    <s v="Consumer"/>
    <s v="United States"/>
    <x v="65"/>
    <x v="1"/>
    <x v="1"/>
    <x v="0"/>
    <x v="9"/>
    <x v="684"/>
    <n v="153.56800000000001"/>
    <n v="2"/>
    <n v="0.2"/>
    <n v="-5.7587999999999999"/>
    <n v="159.32680000000002"/>
  </r>
  <r>
    <x v="638"/>
    <d v="2016-01-19T00:00:00"/>
    <x v="1"/>
    <s v="Dean percer"/>
    <s v="Home Office"/>
    <s v="United States"/>
    <x v="54"/>
    <x v="30"/>
    <x v="3"/>
    <x v="1"/>
    <x v="10"/>
    <x v="685"/>
    <n v="52.34"/>
    <n v="2"/>
    <n v="0"/>
    <n v="24.599799999999998"/>
    <n v="27.740200000000005"/>
  </r>
  <r>
    <x v="639"/>
    <d v="2014-02-25T00:00:00"/>
    <x v="1"/>
    <s v="Tamara Manning"/>
    <s v="Consumer"/>
    <s v="United States"/>
    <x v="243"/>
    <x v="10"/>
    <x v="2"/>
    <x v="1"/>
    <x v="5"/>
    <x v="582"/>
    <n v="8.85"/>
    <n v="5"/>
    <n v="0.8"/>
    <n v="-13.717499999999999"/>
    <n v="22.567499999999999"/>
  </r>
  <r>
    <x v="640"/>
    <d v="2016-02-03T00:00:00"/>
    <x v="1"/>
    <s v="Jeremy Farry"/>
    <s v="Consumer"/>
    <s v="United States"/>
    <x v="8"/>
    <x v="1"/>
    <x v="1"/>
    <x v="1"/>
    <x v="5"/>
    <x v="290"/>
    <n v="17.456"/>
    <n v="2"/>
    <n v="0.2"/>
    <n v="5.8914"/>
    <n v="11.564599999999999"/>
  </r>
  <r>
    <x v="641"/>
    <d v="2016-10-22T00:00:00"/>
    <x v="1"/>
    <s v="Emily Phan"/>
    <s v="Consumer"/>
    <s v="United States"/>
    <x v="196"/>
    <x v="16"/>
    <x v="1"/>
    <x v="0"/>
    <x v="9"/>
    <x v="175"/>
    <n v="307.92"/>
    <n v="5"/>
    <n v="0.2"/>
    <n v="-34.640999999999998"/>
    <n v="342.56100000000004"/>
  </r>
  <r>
    <x v="379"/>
    <d v="2017-12-19T00:00:00"/>
    <x v="2"/>
    <s v="Emily Phan"/>
    <s v="Consumer"/>
    <s v="United States"/>
    <x v="1"/>
    <x v="1"/>
    <x v="1"/>
    <x v="1"/>
    <x v="8"/>
    <x v="197"/>
    <n v="6.63"/>
    <n v="3"/>
    <n v="0"/>
    <n v="1.7901"/>
    <n v="4.8399000000000001"/>
  </r>
  <r>
    <x v="299"/>
    <d v="2014-05-01T00:00:00"/>
    <x v="0"/>
    <s v="Harry Greene"/>
    <s v="Consumer"/>
    <s v="United States"/>
    <x v="254"/>
    <x v="28"/>
    <x v="0"/>
    <x v="0"/>
    <x v="9"/>
    <x v="370"/>
    <n v="51.96"/>
    <n v="2"/>
    <n v="0"/>
    <n v="12.99"/>
    <n v="38.97"/>
  </r>
  <r>
    <x v="382"/>
    <d v="2017-10-29T00:00:00"/>
    <x v="1"/>
    <s v="Julie Creighton"/>
    <s v="Corporate"/>
    <s v="United States"/>
    <x v="29"/>
    <x v="15"/>
    <x v="3"/>
    <x v="1"/>
    <x v="4"/>
    <x v="686"/>
    <n v="11.56"/>
    <n v="2"/>
    <n v="0"/>
    <n v="5.6643999999999997"/>
    <n v="5.8956000000000008"/>
  </r>
  <r>
    <x v="642"/>
    <d v="2014-04-03T00:00:00"/>
    <x v="1"/>
    <s v="Kunst Miller"/>
    <s v="Consumer"/>
    <s v="United States"/>
    <x v="76"/>
    <x v="15"/>
    <x v="3"/>
    <x v="1"/>
    <x v="8"/>
    <x v="687"/>
    <n v="49.65"/>
    <n v="5"/>
    <n v="0"/>
    <n v="20.853000000000002"/>
    <n v="28.796999999999997"/>
  </r>
  <r>
    <x v="643"/>
    <d v="2016-01-09T00:00:00"/>
    <x v="1"/>
    <s v="Erica Bern"/>
    <s v="Corporate"/>
    <s v="United States"/>
    <x v="34"/>
    <x v="3"/>
    <x v="0"/>
    <x v="2"/>
    <x v="16"/>
    <x v="688"/>
    <n v="959.96799999999996"/>
    <n v="4"/>
    <n v="0.2"/>
    <n v="119.996"/>
    <n v="839.97199999999998"/>
  </r>
  <r>
    <x v="32"/>
    <d v="2015-04-30T00:00:00"/>
    <x v="1"/>
    <s v="Pierre Wener"/>
    <s v="Consumer"/>
    <s v="United States"/>
    <x v="12"/>
    <x v="5"/>
    <x v="2"/>
    <x v="0"/>
    <x v="9"/>
    <x v="354"/>
    <n v="408.42200000000003"/>
    <n v="2"/>
    <n v="0.3"/>
    <n v="-5.8346"/>
    <n v="414.25660000000005"/>
  </r>
  <r>
    <x v="644"/>
    <d v="2016-07-01T00:00:00"/>
    <x v="1"/>
    <s v="Katharine Harms"/>
    <s v="Corporate"/>
    <s v="United States"/>
    <x v="255"/>
    <x v="10"/>
    <x v="2"/>
    <x v="1"/>
    <x v="4"/>
    <x v="689"/>
    <n v="37.463999999999999"/>
    <n v="7"/>
    <n v="0.2"/>
    <n v="12.175800000000001"/>
    <n v="25.288199999999996"/>
  </r>
  <r>
    <x v="276"/>
    <d v="2014-07-04T00:00:00"/>
    <x v="1"/>
    <s v="Rob Williams"/>
    <s v="Corporate"/>
    <s v="United States"/>
    <x v="62"/>
    <x v="12"/>
    <x v="2"/>
    <x v="1"/>
    <x v="13"/>
    <x v="200"/>
    <n v="6.08"/>
    <n v="1"/>
    <n v="0"/>
    <n v="3.04"/>
    <n v="3.04"/>
  </r>
  <r>
    <x v="645"/>
    <d v="2017-11-24T00:00:00"/>
    <x v="1"/>
    <s v="Maria Etezadi"/>
    <s v="Home Office"/>
    <s v="United States"/>
    <x v="59"/>
    <x v="12"/>
    <x v="2"/>
    <x v="0"/>
    <x v="3"/>
    <x v="641"/>
    <n v="19.760000000000002"/>
    <n v="4"/>
    <n v="0"/>
    <n v="8.2992000000000008"/>
    <n v="11.460800000000001"/>
  </r>
  <r>
    <x v="509"/>
    <d v="2017-03-31T00:00:00"/>
    <x v="1"/>
    <s v="Justin Deggeller"/>
    <s v="Corporate"/>
    <s v="United States"/>
    <x v="143"/>
    <x v="6"/>
    <x v="2"/>
    <x v="0"/>
    <x v="9"/>
    <x v="690"/>
    <n v="90.99"/>
    <n v="1"/>
    <n v="0"/>
    <n v="14.558400000000001"/>
    <n v="76.431599999999989"/>
  </r>
  <r>
    <x v="646"/>
    <d v="2017-12-18T00:00:00"/>
    <x v="1"/>
    <s v="Mike Pelletier"/>
    <s v="Home Office"/>
    <s v="United States"/>
    <x v="65"/>
    <x v="1"/>
    <x v="1"/>
    <x v="0"/>
    <x v="3"/>
    <x v="691"/>
    <n v="26.25"/>
    <n v="3"/>
    <n v="0"/>
    <n v="11.025"/>
    <n v="15.225"/>
  </r>
  <r>
    <x v="269"/>
    <d v="2016-08-24T00:00:00"/>
    <x v="1"/>
    <s v="Greg Guthrie"/>
    <s v="Corporate"/>
    <s v="United States"/>
    <x v="19"/>
    <x v="15"/>
    <x v="3"/>
    <x v="2"/>
    <x v="11"/>
    <x v="692"/>
    <n v="39.99"/>
    <n v="1"/>
    <n v="0"/>
    <n v="11.597099999999999"/>
    <n v="28.392900000000004"/>
  </r>
  <r>
    <x v="647"/>
    <d v="2017-05-01T00:00:00"/>
    <x v="1"/>
    <s v="Philisse Overcash"/>
    <s v="Home Office"/>
    <s v="United States"/>
    <x v="4"/>
    <x v="4"/>
    <x v="1"/>
    <x v="1"/>
    <x v="4"/>
    <x v="461"/>
    <n v="20.34"/>
    <n v="3"/>
    <n v="0"/>
    <n v="9.3564000000000007"/>
    <n v="10.983599999999999"/>
  </r>
  <r>
    <x v="260"/>
    <d v="2014-01-16T00:00:00"/>
    <x v="0"/>
    <s v="Natalie DeCherney"/>
    <s v="Consumer"/>
    <s v="United States"/>
    <x v="256"/>
    <x v="20"/>
    <x v="0"/>
    <x v="0"/>
    <x v="9"/>
    <x v="690"/>
    <n v="545.94000000000005"/>
    <n v="6"/>
    <n v="0"/>
    <n v="87.350399999999993"/>
    <n v="458.58960000000008"/>
  </r>
  <r>
    <x v="648"/>
    <d v="2015-06-17T00:00:00"/>
    <x v="1"/>
    <s v="Giulietta Baptist"/>
    <s v="Consumer"/>
    <s v="United States"/>
    <x v="10"/>
    <x v="9"/>
    <x v="3"/>
    <x v="1"/>
    <x v="4"/>
    <x v="693"/>
    <n v="20.736000000000001"/>
    <n v="4"/>
    <n v="0.2"/>
    <n v="7.2576000000000001"/>
    <n v="13.478400000000001"/>
  </r>
  <r>
    <x v="649"/>
    <d v="2014-12-11T00:00:00"/>
    <x v="0"/>
    <s v="Ryan Crowe"/>
    <s v="Consumer"/>
    <s v="United States"/>
    <x v="23"/>
    <x v="21"/>
    <x v="1"/>
    <x v="1"/>
    <x v="7"/>
    <x v="330"/>
    <n v="53.423999999999999"/>
    <n v="3"/>
    <n v="0.2"/>
    <n v="4.6745999999999999"/>
    <n v="48.749400000000001"/>
  </r>
  <r>
    <x v="650"/>
    <d v="2016-05-30T00:00:00"/>
    <x v="1"/>
    <s v="Julia Barnett"/>
    <s v="Home Office"/>
    <s v="United States"/>
    <x v="37"/>
    <x v="32"/>
    <x v="0"/>
    <x v="0"/>
    <x v="3"/>
    <x v="694"/>
    <n v="24.96"/>
    <n v="4"/>
    <n v="0"/>
    <n v="6.24"/>
    <n v="18.72"/>
  </r>
  <r>
    <x v="651"/>
    <d v="2016-02-26T00:00:00"/>
    <x v="0"/>
    <s v="Matthew Clasen"/>
    <s v="Corporate"/>
    <s v="United States"/>
    <x v="1"/>
    <x v="1"/>
    <x v="1"/>
    <x v="2"/>
    <x v="12"/>
    <x v="695"/>
    <n v="12.99"/>
    <n v="1"/>
    <n v="0"/>
    <n v="0.77939999999999998"/>
    <n v="12.210599999999999"/>
  </r>
  <r>
    <x v="652"/>
    <d v="2017-03-17T00:00:00"/>
    <x v="1"/>
    <s v="Max Jones"/>
    <s v="Consumer"/>
    <s v="United States"/>
    <x v="62"/>
    <x v="12"/>
    <x v="2"/>
    <x v="1"/>
    <x v="5"/>
    <x v="558"/>
    <n v="895.92"/>
    <n v="4"/>
    <n v="0"/>
    <n v="421.08240000000001"/>
    <n v="474.83759999999995"/>
  </r>
  <r>
    <x v="555"/>
    <d v="2014-07-21T00:00:00"/>
    <x v="1"/>
    <s v="Philip Brown"/>
    <s v="Consumer"/>
    <s v="United States"/>
    <x v="153"/>
    <x v="16"/>
    <x v="1"/>
    <x v="1"/>
    <x v="7"/>
    <x v="696"/>
    <n v="55.92"/>
    <n v="5"/>
    <n v="0.2"/>
    <n v="6.2910000000000004"/>
    <n v="49.629000000000005"/>
  </r>
  <r>
    <x v="653"/>
    <d v="2014-05-21T00:00:00"/>
    <x v="1"/>
    <s v="Pete Armstrong"/>
    <s v="Home Office"/>
    <s v="United States"/>
    <x v="257"/>
    <x v="6"/>
    <x v="2"/>
    <x v="1"/>
    <x v="5"/>
    <x v="697"/>
    <n v="91.68"/>
    <n v="3"/>
    <n v="0"/>
    <n v="45.84"/>
    <n v="45.84"/>
  </r>
  <r>
    <x v="109"/>
    <d v="2017-10-15T00:00:00"/>
    <x v="2"/>
    <s v="Craig Reiter"/>
    <s v="Consumer"/>
    <s v="United States"/>
    <x v="19"/>
    <x v="15"/>
    <x v="3"/>
    <x v="1"/>
    <x v="6"/>
    <x v="517"/>
    <n v="904.9"/>
    <n v="5"/>
    <n v="0"/>
    <n v="253.37200000000001"/>
    <n v="651.52800000000002"/>
  </r>
  <r>
    <x v="180"/>
    <d v="2016-07-29T00:00:00"/>
    <x v="1"/>
    <s v="Rick Reed"/>
    <s v="Corporate"/>
    <s v="United States"/>
    <x v="160"/>
    <x v="24"/>
    <x v="3"/>
    <x v="1"/>
    <x v="6"/>
    <x v="660"/>
    <n v="243.88"/>
    <n v="5"/>
    <n v="0.2"/>
    <n v="27.436499999999999"/>
    <n v="216.4435"/>
  </r>
  <r>
    <x v="654"/>
    <d v="2017-04-23T00:00:00"/>
    <x v="1"/>
    <s v="Sharelle Roach"/>
    <s v="Home Office"/>
    <s v="United States"/>
    <x v="95"/>
    <x v="22"/>
    <x v="1"/>
    <x v="1"/>
    <x v="5"/>
    <x v="172"/>
    <n v="12.03"/>
    <n v="5"/>
    <n v="0.7"/>
    <n v="-9.2230000000000008"/>
    <n v="21.253"/>
  </r>
  <r>
    <x v="655"/>
    <d v="2016-08-30T00:00:00"/>
    <x v="1"/>
    <s v="Mick Hernandez"/>
    <s v="Home Office"/>
    <s v="United States"/>
    <x v="258"/>
    <x v="5"/>
    <x v="2"/>
    <x v="1"/>
    <x v="7"/>
    <x v="183"/>
    <n v="727.29600000000005"/>
    <n v="8"/>
    <n v="0.2"/>
    <n v="-172.7328"/>
    <n v="900.02880000000005"/>
  </r>
  <r>
    <x v="656"/>
    <d v="2016-03-28T00:00:00"/>
    <x v="1"/>
    <s v="Dan Reichenbach"/>
    <s v="Corporate"/>
    <s v="United States"/>
    <x v="259"/>
    <x v="21"/>
    <x v="1"/>
    <x v="2"/>
    <x v="11"/>
    <x v="698"/>
    <n v="403.16800000000001"/>
    <n v="4"/>
    <n v="0.2"/>
    <n v="25.198"/>
    <n v="377.97"/>
  </r>
  <r>
    <x v="657"/>
    <d v="2015-06-16T00:00:00"/>
    <x v="1"/>
    <s v="Brian Dahlen"/>
    <s v="Consumer"/>
    <s v="United States"/>
    <x v="50"/>
    <x v="28"/>
    <x v="0"/>
    <x v="2"/>
    <x v="12"/>
    <x v="699"/>
    <n v="53.7"/>
    <n v="6"/>
    <n v="0"/>
    <n v="10.202999999999999"/>
    <n v="43.497"/>
  </r>
  <r>
    <x v="395"/>
    <d v="2017-03-07T00:00:00"/>
    <x v="1"/>
    <s v="Richard Eichhorn"/>
    <s v="Consumer"/>
    <s v="United States"/>
    <x v="57"/>
    <x v="5"/>
    <x v="2"/>
    <x v="1"/>
    <x v="4"/>
    <x v="700"/>
    <n v="26.88"/>
    <n v="8"/>
    <n v="0.2"/>
    <n v="9.7439999999999998"/>
    <n v="17.135999999999999"/>
  </r>
  <r>
    <x v="658"/>
    <d v="2014-07-24T00:00:00"/>
    <x v="1"/>
    <s v="Katherine Murray"/>
    <s v="Home Office"/>
    <s v="United States"/>
    <x v="57"/>
    <x v="5"/>
    <x v="2"/>
    <x v="1"/>
    <x v="7"/>
    <x v="171"/>
    <n v="342.86399999999998"/>
    <n v="3"/>
    <n v="0.2"/>
    <n v="38.572200000000002"/>
    <n v="304.29179999999997"/>
  </r>
  <r>
    <x v="659"/>
    <d v="2017-06-02T00:00:00"/>
    <x v="1"/>
    <s v="Dianna Wilson"/>
    <s v="Home Office"/>
    <s v="United States"/>
    <x v="95"/>
    <x v="0"/>
    <x v="0"/>
    <x v="1"/>
    <x v="5"/>
    <x v="701"/>
    <n v="58.34"/>
    <n v="2"/>
    <n v="0"/>
    <n v="28.0032"/>
    <n v="30.336800000000004"/>
  </r>
  <r>
    <x v="660"/>
    <d v="2017-04-19T00:00:00"/>
    <x v="1"/>
    <s v="Christine Sundaresam"/>
    <s v="Consumer"/>
    <s v="United States"/>
    <x v="19"/>
    <x v="15"/>
    <x v="3"/>
    <x v="1"/>
    <x v="5"/>
    <x v="389"/>
    <n v="10.776"/>
    <n v="3"/>
    <n v="0.2"/>
    <n v="3.5022000000000002"/>
    <n v="7.2737999999999996"/>
  </r>
  <r>
    <x v="657"/>
    <d v="2015-06-12T00:00:00"/>
    <x v="2"/>
    <s v="Jim Epp"/>
    <s v="Corporate"/>
    <s v="United States"/>
    <x v="110"/>
    <x v="2"/>
    <x v="0"/>
    <x v="0"/>
    <x v="9"/>
    <x v="652"/>
    <n v="1123.92"/>
    <n v="5"/>
    <n v="0.2"/>
    <n v="-182.637"/>
    <n v="1306.557"/>
  </r>
  <r>
    <x v="661"/>
    <d v="2014-08-26T00:00:00"/>
    <x v="2"/>
    <s v="Jennifer Patt"/>
    <s v="Corporate"/>
    <s v="United States"/>
    <x v="134"/>
    <x v="15"/>
    <x v="3"/>
    <x v="0"/>
    <x v="3"/>
    <x v="702"/>
    <n v="13.28"/>
    <n v="2"/>
    <n v="0"/>
    <n v="6.3743999999999996"/>
    <n v="6.9055999999999997"/>
  </r>
  <r>
    <x v="662"/>
    <d v="2014-07-03T00:00:00"/>
    <x v="0"/>
    <s v="Anthony Rawles"/>
    <s v="Corporate"/>
    <s v="United States"/>
    <x v="1"/>
    <x v="1"/>
    <x v="1"/>
    <x v="1"/>
    <x v="8"/>
    <x v="703"/>
    <n v="32.4"/>
    <n v="5"/>
    <n v="0"/>
    <n v="10.368"/>
    <n v="22.031999999999996"/>
  </r>
  <r>
    <x v="663"/>
    <d v="2016-06-10T00:00:00"/>
    <x v="2"/>
    <s v="Ross DeVincentis"/>
    <s v="Home Office"/>
    <s v="United States"/>
    <x v="19"/>
    <x v="15"/>
    <x v="3"/>
    <x v="1"/>
    <x v="4"/>
    <x v="284"/>
    <n v="32.4"/>
    <n v="5"/>
    <n v="0"/>
    <n v="15.552"/>
    <n v="16.847999999999999"/>
  </r>
  <r>
    <x v="208"/>
    <d v="2017-07-24T00:00:00"/>
    <x v="1"/>
    <s v="Suzanne McNair"/>
    <s v="Corporate"/>
    <s v="United States"/>
    <x v="260"/>
    <x v="11"/>
    <x v="2"/>
    <x v="1"/>
    <x v="5"/>
    <x v="704"/>
    <n v="735.98"/>
    <n v="2"/>
    <n v="0"/>
    <n v="331.19099999999997"/>
    <n v="404.78900000000004"/>
  </r>
  <r>
    <x v="232"/>
    <d v="2016-03-27T00:00:00"/>
    <x v="2"/>
    <s v="Dean Braden"/>
    <s v="Consumer"/>
    <s v="United States"/>
    <x v="99"/>
    <x v="3"/>
    <x v="0"/>
    <x v="1"/>
    <x v="7"/>
    <x v="705"/>
    <n v="67.64"/>
    <n v="5"/>
    <n v="0.2"/>
    <n v="5.9184999999999999"/>
    <n v="61.721499999999999"/>
  </r>
  <r>
    <x v="664"/>
    <d v="2016-10-31T00:00:00"/>
    <x v="2"/>
    <s v="Katrina Willman"/>
    <s v="Consumer"/>
    <s v="United States"/>
    <x v="168"/>
    <x v="12"/>
    <x v="2"/>
    <x v="0"/>
    <x v="3"/>
    <x v="118"/>
    <n v="67"/>
    <n v="5"/>
    <n v="0"/>
    <n v="32.159999999999997"/>
    <n v="34.840000000000003"/>
  </r>
  <r>
    <x v="665"/>
    <d v="2016-06-03T00:00:00"/>
    <x v="1"/>
    <s v="Kimberly Carter"/>
    <s v="Corporate"/>
    <s v="United States"/>
    <x v="251"/>
    <x v="2"/>
    <x v="0"/>
    <x v="0"/>
    <x v="9"/>
    <x v="706"/>
    <n v="390.27199999999999"/>
    <n v="8"/>
    <n v="0.2"/>
    <n v="-24.391999999999999"/>
    <n v="414.66399999999999"/>
  </r>
  <r>
    <x v="16"/>
    <d v="2016-01-01T00:00:00"/>
    <x v="1"/>
    <s v="Daniel Raglin"/>
    <s v="Home Office"/>
    <s v="United States"/>
    <x v="21"/>
    <x v="10"/>
    <x v="2"/>
    <x v="1"/>
    <x v="7"/>
    <x v="707"/>
    <n v="12.672000000000001"/>
    <n v="3"/>
    <n v="0.2"/>
    <n v="-3.1680000000000001"/>
    <n v="15.84"/>
  </r>
  <r>
    <x v="365"/>
    <d v="2014-09-04T00:00:00"/>
    <x v="2"/>
    <s v="Jack Lebron"/>
    <s v="Consumer"/>
    <s v="United States"/>
    <x v="12"/>
    <x v="5"/>
    <x v="2"/>
    <x v="1"/>
    <x v="5"/>
    <x v="708"/>
    <n v="3.6480000000000001"/>
    <n v="3"/>
    <n v="0.8"/>
    <n v="-6.0191999999999997"/>
    <n v="9.6671999999999993"/>
  </r>
  <r>
    <x v="490"/>
    <d v="2016-08-13T00:00:00"/>
    <x v="1"/>
    <s v="Corinna Mitchell"/>
    <s v="Home Office"/>
    <s v="United States"/>
    <x v="24"/>
    <x v="35"/>
    <x v="0"/>
    <x v="1"/>
    <x v="13"/>
    <x v="709"/>
    <n v="23.34"/>
    <n v="3"/>
    <n v="0"/>
    <n v="0.2334"/>
    <n v="23.1066"/>
  </r>
  <r>
    <x v="537"/>
    <d v="2014-12-07T00:00:00"/>
    <x v="1"/>
    <s v="Toby Braunhardt"/>
    <s v="Consumer"/>
    <s v="United States"/>
    <x v="99"/>
    <x v="3"/>
    <x v="0"/>
    <x v="2"/>
    <x v="11"/>
    <x v="710"/>
    <n v="95.968000000000004"/>
    <n v="4"/>
    <n v="0.2"/>
    <n v="9.5968"/>
    <n v="86.371200000000002"/>
  </r>
  <r>
    <x v="666"/>
    <d v="2016-01-15T00:00:00"/>
    <x v="1"/>
    <s v="Laura Armstrong"/>
    <s v="Corporate"/>
    <s v="United States"/>
    <x v="177"/>
    <x v="1"/>
    <x v="1"/>
    <x v="2"/>
    <x v="12"/>
    <x v="711"/>
    <n v="349.95"/>
    <n v="5"/>
    <n v="0"/>
    <n v="118.983"/>
    <n v="230.96699999999998"/>
  </r>
  <r>
    <x v="442"/>
    <d v="2017-04-22T00:00:00"/>
    <x v="1"/>
    <s v="Natalie DeCherney"/>
    <s v="Consumer"/>
    <s v="United States"/>
    <x v="12"/>
    <x v="5"/>
    <x v="2"/>
    <x v="1"/>
    <x v="5"/>
    <x v="712"/>
    <n v="26.045999999999999"/>
    <n v="3"/>
    <n v="0.8"/>
    <n v="-44.278199999999998"/>
    <n v="70.32419999999999"/>
  </r>
  <r>
    <x v="69"/>
    <d v="2016-11-27T00:00:00"/>
    <x v="1"/>
    <s v="David Wiener"/>
    <s v="Corporate"/>
    <s v="United States"/>
    <x v="12"/>
    <x v="5"/>
    <x v="2"/>
    <x v="0"/>
    <x v="9"/>
    <x v="713"/>
    <n v="318.43"/>
    <n v="5"/>
    <n v="0.3"/>
    <n v="-77.332999999999998"/>
    <n v="395.76300000000003"/>
  </r>
  <r>
    <x v="391"/>
    <d v="2016-12-29T00:00:00"/>
    <x v="1"/>
    <s v="Matt Collister"/>
    <s v="Corporate"/>
    <s v="United States"/>
    <x v="261"/>
    <x v="12"/>
    <x v="2"/>
    <x v="1"/>
    <x v="13"/>
    <x v="634"/>
    <n v="24.85"/>
    <n v="7"/>
    <n v="0"/>
    <n v="11.679500000000001"/>
    <n v="13.170500000000001"/>
  </r>
  <r>
    <x v="667"/>
    <d v="2017-10-30T00:00:00"/>
    <x v="0"/>
    <s v="Matt Abelman"/>
    <s v="Home Office"/>
    <s v="United States"/>
    <x v="21"/>
    <x v="10"/>
    <x v="2"/>
    <x v="1"/>
    <x v="8"/>
    <x v="185"/>
    <n v="7.056"/>
    <n v="3"/>
    <n v="0.2"/>
    <n v="2.2050000000000001"/>
    <n v="4.851"/>
  </r>
  <r>
    <x v="94"/>
    <d v="2015-08-14T00:00:00"/>
    <x v="1"/>
    <s v="Ruben Ausman"/>
    <s v="Corporate"/>
    <s v="United States"/>
    <x v="99"/>
    <x v="2"/>
    <x v="0"/>
    <x v="1"/>
    <x v="1"/>
    <x v="631"/>
    <n v="4.6079999999999997"/>
    <n v="2"/>
    <n v="0.2"/>
    <n v="1.6704000000000001"/>
    <n v="2.9375999999999998"/>
  </r>
  <r>
    <x v="10"/>
    <d v="2016-12-14T00:00:00"/>
    <x v="0"/>
    <s v="Damala Kotsonis"/>
    <s v="Corporate"/>
    <s v="United States"/>
    <x v="44"/>
    <x v="18"/>
    <x v="0"/>
    <x v="0"/>
    <x v="2"/>
    <x v="714"/>
    <n v="79.974000000000004"/>
    <n v="3"/>
    <n v="0.4"/>
    <n v="-29.323799999999999"/>
    <n v="109.2978"/>
  </r>
  <r>
    <x v="556"/>
    <d v="2014-11-15T00:00:00"/>
    <x v="2"/>
    <s v="Candace McMahon"/>
    <s v="Corporate"/>
    <s v="United States"/>
    <x v="42"/>
    <x v="5"/>
    <x v="2"/>
    <x v="1"/>
    <x v="4"/>
    <x v="715"/>
    <n v="20.736000000000001"/>
    <n v="4"/>
    <n v="0.2"/>
    <n v="7.2576000000000001"/>
    <n v="13.478400000000001"/>
  </r>
  <r>
    <x v="668"/>
    <d v="2014-11-19T00:00:00"/>
    <x v="2"/>
    <s v="Thomas Seio"/>
    <s v="Corporate"/>
    <s v="United States"/>
    <x v="8"/>
    <x v="1"/>
    <x v="1"/>
    <x v="2"/>
    <x v="12"/>
    <x v="716"/>
    <n v="99.98"/>
    <n v="2"/>
    <n v="0"/>
    <n v="7.9984000000000002"/>
    <n v="91.9816"/>
  </r>
  <r>
    <x v="669"/>
    <d v="2014-07-19T00:00:00"/>
    <x v="1"/>
    <s v="Victoria Wilson"/>
    <s v="Corporate"/>
    <s v="United States"/>
    <x v="252"/>
    <x v="41"/>
    <x v="2"/>
    <x v="2"/>
    <x v="12"/>
    <x v="717"/>
    <n v="2.97"/>
    <n v="3"/>
    <n v="0"/>
    <n v="1.3068"/>
    <n v="1.6632000000000002"/>
  </r>
  <r>
    <x v="90"/>
    <d v="2015-02-16T00:00:00"/>
    <x v="1"/>
    <s v="Sarah Jordon"/>
    <s v="Consumer"/>
    <s v="United States"/>
    <x v="1"/>
    <x v="1"/>
    <x v="1"/>
    <x v="0"/>
    <x v="9"/>
    <x v="11"/>
    <n v="203.92"/>
    <n v="5"/>
    <n v="0.2"/>
    <n v="22.940999999999999"/>
    <n v="180.97899999999998"/>
  </r>
  <r>
    <x v="488"/>
    <d v="2014-10-06T00:00:00"/>
    <x v="1"/>
    <s v="Maya Herman"/>
    <s v="Corporate"/>
    <s v="United States"/>
    <x v="19"/>
    <x v="15"/>
    <x v="3"/>
    <x v="0"/>
    <x v="3"/>
    <x v="718"/>
    <n v="15.24"/>
    <n v="3"/>
    <n v="0"/>
    <n v="5.1816000000000004"/>
    <n v="10.058399999999999"/>
  </r>
  <r>
    <x v="268"/>
    <d v="2017-02-25T00:00:00"/>
    <x v="1"/>
    <s v="Julie Prescott"/>
    <s v="Home Office"/>
    <s v="United States"/>
    <x v="262"/>
    <x v="26"/>
    <x v="2"/>
    <x v="1"/>
    <x v="8"/>
    <x v="719"/>
    <n v="6.56"/>
    <n v="2"/>
    <n v="0"/>
    <n v="1.9024000000000001"/>
    <n v="4.6575999999999995"/>
  </r>
  <r>
    <x v="670"/>
    <d v="2014-08-18T00:00:00"/>
    <x v="2"/>
    <s v="Keith Herrera"/>
    <s v="Consumer"/>
    <s v="United States"/>
    <x v="57"/>
    <x v="5"/>
    <x v="2"/>
    <x v="1"/>
    <x v="5"/>
    <x v="279"/>
    <n v="30.96"/>
    <n v="8"/>
    <n v="0.8"/>
    <n v="-52.631999999999998"/>
    <n v="83.591999999999999"/>
  </r>
  <r>
    <x v="160"/>
    <d v="2017-10-03T00:00:00"/>
    <x v="2"/>
    <s v="Corinna Mitchell"/>
    <s v="Home Office"/>
    <s v="United States"/>
    <x v="19"/>
    <x v="15"/>
    <x v="3"/>
    <x v="2"/>
    <x v="14"/>
    <x v="720"/>
    <n v="1704.89"/>
    <n v="11"/>
    <n v="0"/>
    <n v="767.20050000000003"/>
    <n v="937.68950000000007"/>
  </r>
  <r>
    <x v="265"/>
    <d v="2015-05-30T00:00:00"/>
    <x v="1"/>
    <s v="Emily Burns"/>
    <s v="Consumer"/>
    <s v="United States"/>
    <x v="153"/>
    <x v="16"/>
    <x v="1"/>
    <x v="1"/>
    <x v="5"/>
    <x v="721"/>
    <n v="19.193999999999999"/>
    <n v="7"/>
    <n v="0.7"/>
    <n v="-12.795999999999999"/>
    <n v="31.99"/>
  </r>
  <r>
    <x v="114"/>
    <d v="2015-01-01T00:00:00"/>
    <x v="0"/>
    <s v="Stefania Perrino"/>
    <s v="Corporate"/>
    <s v="United States"/>
    <x v="117"/>
    <x v="5"/>
    <x v="2"/>
    <x v="1"/>
    <x v="10"/>
    <x v="416"/>
    <n v="12.984"/>
    <n v="3"/>
    <n v="0.2"/>
    <n v="4.7066999999999997"/>
    <n v="8.2773000000000003"/>
  </r>
  <r>
    <x v="671"/>
    <d v="2015-11-11T00:00:00"/>
    <x v="1"/>
    <s v="Grant Thornton"/>
    <s v="Corporate"/>
    <s v="United States"/>
    <x v="19"/>
    <x v="15"/>
    <x v="3"/>
    <x v="1"/>
    <x v="5"/>
    <x v="722"/>
    <n v="25.344000000000001"/>
    <n v="6"/>
    <n v="0.2"/>
    <n v="8.8704000000000001"/>
    <n v="16.473600000000001"/>
  </r>
  <r>
    <x v="672"/>
    <d v="2015-08-20T00:00:00"/>
    <x v="1"/>
    <s v="Odella Nelson"/>
    <s v="Corporate"/>
    <s v="United States"/>
    <x v="263"/>
    <x v="1"/>
    <x v="1"/>
    <x v="1"/>
    <x v="8"/>
    <x v="393"/>
    <n v="50.8"/>
    <n v="5"/>
    <n v="0"/>
    <n v="13.208"/>
    <n v="37.591999999999999"/>
  </r>
  <r>
    <x v="673"/>
    <d v="2014-09-28T00:00:00"/>
    <x v="1"/>
    <s v="Brian Moss"/>
    <s v="Corporate"/>
    <s v="United States"/>
    <x v="65"/>
    <x v="1"/>
    <x v="1"/>
    <x v="0"/>
    <x v="0"/>
    <x v="723"/>
    <n v="435.99900000000002"/>
    <n v="3"/>
    <n v="0.15"/>
    <n v="20.517600000000002"/>
    <n v="415.48140000000001"/>
  </r>
  <r>
    <x v="493"/>
    <d v="2015-06-08T00:00:00"/>
    <x v="0"/>
    <s v="Tracy Collins"/>
    <s v="Home Office"/>
    <s v="United States"/>
    <x v="19"/>
    <x v="15"/>
    <x v="3"/>
    <x v="1"/>
    <x v="4"/>
    <x v="102"/>
    <n v="30.44"/>
    <n v="4"/>
    <n v="0"/>
    <n v="14.306800000000001"/>
    <n v="16.133200000000002"/>
  </r>
  <r>
    <x v="674"/>
    <d v="2014-02-02T00:00:00"/>
    <x v="2"/>
    <s v="Liz Carlisle"/>
    <s v="Consumer"/>
    <s v="United States"/>
    <x v="122"/>
    <x v="1"/>
    <x v="1"/>
    <x v="0"/>
    <x v="0"/>
    <x v="724"/>
    <n v="290.666"/>
    <n v="2"/>
    <n v="0.15"/>
    <n v="3.4196"/>
    <n v="287.24639999999999"/>
  </r>
  <r>
    <x v="509"/>
    <d v="2017-03-30T00:00:00"/>
    <x v="0"/>
    <s v="Duane Benoit"/>
    <s v="Consumer"/>
    <s v="United States"/>
    <x v="57"/>
    <x v="5"/>
    <x v="2"/>
    <x v="1"/>
    <x v="4"/>
    <x v="725"/>
    <n v="6.8479999999999999"/>
    <n v="2"/>
    <n v="0.2"/>
    <n v="2.14"/>
    <n v="4.7080000000000002"/>
  </r>
  <r>
    <x v="117"/>
    <d v="2014-08-13T00:00:00"/>
    <x v="1"/>
    <s v="Matthew Grinstein"/>
    <s v="Home Office"/>
    <s v="United States"/>
    <x v="4"/>
    <x v="4"/>
    <x v="1"/>
    <x v="2"/>
    <x v="11"/>
    <x v="293"/>
    <n v="1091.1679999999999"/>
    <n v="4"/>
    <n v="0.2"/>
    <n v="68.197999999999993"/>
    <n v="1022.9699999999999"/>
  </r>
  <r>
    <x v="675"/>
    <d v="2017-07-08T00:00:00"/>
    <x v="1"/>
    <s v="Karen Ferguson"/>
    <s v="Home Office"/>
    <s v="United States"/>
    <x v="232"/>
    <x v="14"/>
    <x v="2"/>
    <x v="1"/>
    <x v="7"/>
    <x v="678"/>
    <n v="443.92"/>
    <n v="4"/>
    <n v="0"/>
    <n v="13.317600000000001"/>
    <n v="430.60239999999999"/>
  </r>
  <r>
    <x v="420"/>
    <d v="2014-04-27T00:00:00"/>
    <x v="1"/>
    <s v="Laurel Beltran"/>
    <s v="Home Office"/>
    <s v="United States"/>
    <x v="37"/>
    <x v="24"/>
    <x v="3"/>
    <x v="0"/>
    <x v="9"/>
    <x v="101"/>
    <n v="281.37200000000001"/>
    <n v="2"/>
    <n v="0.3"/>
    <n v="-12.0588"/>
    <n v="293.43080000000003"/>
  </r>
  <r>
    <x v="676"/>
    <d v="2016-09-24T00:00:00"/>
    <x v="1"/>
    <s v="Greg Maxwell"/>
    <s v="Corporate"/>
    <s v="United States"/>
    <x v="8"/>
    <x v="1"/>
    <x v="1"/>
    <x v="1"/>
    <x v="4"/>
    <x v="726"/>
    <n v="65.790000000000006"/>
    <n v="9"/>
    <n v="0"/>
    <n v="30.263400000000001"/>
    <n v="35.526600000000002"/>
  </r>
  <r>
    <x v="677"/>
    <d v="2015-09-13T00:00:00"/>
    <x v="1"/>
    <s v="Chuck Clark"/>
    <s v="Home Office"/>
    <s v="United States"/>
    <x v="19"/>
    <x v="15"/>
    <x v="3"/>
    <x v="0"/>
    <x v="9"/>
    <x v="306"/>
    <n v="271.76400000000001"/>
    <n v="2"/>
    <n v="0.1"/>
    <n v="60.392000000000003"/>
    <n v="211.37200000000001"/>
  </r>
  <r>
    <x v="678"/>
    <d v="2016-08-02T00:00:00"/>
    <x v="1"/>
    <s v="Jack O'Briant"/>
    <s v="Corporate"/>
    <s v="United States"/>
    <x v="10"/>
    <x v="9"/>
    <x v="3"/>
    <x v="1"/>
    <x v="7"/>
    <x v="20"/>
    <n v="84.784000000000006"/>
    <n v="2"/>
    <n v="0.2"/>
    <n v="-16.956800000000001"/>
    <n v="101.74080000000001"/>
  </r>
  <r>
    <x v="679"/>
    <d v="2016-08-07T00:00:00"/>
    <x v="2"/>
    <s v="Anna Häberlin"/>
    <s v="Corporate"/>
    <s v="United States"/>
    <x v="19"/>
    <x v="15"/>
    <x v="3"/>
    <x v="1"/>
    <x v="4"/>
    <x v="14"/>
    <n v="70.88"/>
    <n v="2"/>
    <n v="0"/>
    <n v="33.313600000000001"/>
    <n v="37.566399999999994"/>
  </r>
  <r>
    <x v="680"/>
    <d v="2016-10-13T00:00:00"/>
    <x v="1"/>
    <s v="Tim Brockman"/>
    <s v="Consumer"/>
    <s v="United States"/>
    <x v="1"/>
    <x v="1"/>
    <x v="1"/>
    <x v="1"/>
    <x v="5"/>
    <x v="727"/>
    <n v="27.263999999999999"/>
    <n v="2"/>
    <n v="0.2"/>
    <n v="8.8607999999999993"/>
    <n v="18.403199999999998"/>
  </r>
  <r>
    <x v="72"/>
    <d v="2014-09-14T00:00:00"/>
    <x v="1"/>
    <s v="Dennis Pardue"/>
    <s v="Home Office"/>
    <s v="United States"/>
    <x v="8"/>
    <x v="1"/>
    <x v="1"/>
    <x v="1"/>
    <x v="6"/>
    <x v="728"/>
    <n v="56.65"/>
    <n v="5"/>
    <n v="0"/>
    <n v="24.359500000000001"/>
    <n v="32.290499999999994"/>
  </r>
  <r>
    <x v="681"/>
    <d v="2015-03-02T00:00:00"/>
    <x v="0"/>
    <s v="Shui Tom"/>
    <s v="Consumer"/>
    <s v="United States"/>
    <x v="178"/>
    <x v="32"/>
    <x v="0"/>
    <x v="1"/>
    <x v="5"/>
    <x v="729"/>
    <n v="58.72"/>
    <n v="4"/>
    <n v="0"/>
    <n v="27.011199999999999"/>
    <n v="31.7088"/>
  </r>
  <r>
    <x v="486"/>
    <d v="2015-07-14T00:00:00"/>
    <x v="1"/>
    <s v="Emily Burns"/>
    <s v="Consumer"/>
    <s v="United States"/>
    <x v="264"/>
    <x v="18"/>
    <x v="0"/>
    <x v="1"/>
    <x v="8"/>
    <x v="730"/>
    <n v="5.16"/>
    <n v="3"/>
    <n v="0.2"/>
    <n v="0.83850000000000002"/>
    <n v="4.3215000000000003"/>
  </r>
  <r>
    <x v="251"/>
    <d v="2017-09-18T00:00:00"/>
    <x v="2"/>
    <s v="Adam Shillingsburg"/>
    <s v="Consumer"/>
    <s v="United States"/>
    <x v="10"/>
    <x v="9"/>
    <x v="3"/>
    <x v="2"/>
    <x v="12"/>
    <x v="564"/>
    <n v="71.975999999999999"/>
    <n v="3"/>
    <n v="0.2"/>
    <n v="19.793399999999998"/>
    <n v="52.182600000000001"/>
  </r>
  <r>
    <x v="395"/>
    <d v="2017-03-10T00:00:00"/>
    <x v="1"/>
    <s v="Emily Phan"/>
    <s v="Consumer"/>
    <s v="United States"/>
    <x v="265"/>
    <x v="12"/>
    <x v="2"/>
    <x v="0"/>
    <x v="9"/>
    <x v="731"/>
    <n v="180.98"/>
    <n v="1"/>
    <n v="0"/>
    <n v="47.0548"/>
    <n v="133.92519999999999"/>
  </r>
  <r>
    <x v="136"/>
    <d v="2016-10-26T00:00:00"/>
    <x v="1"/>
    <s v="Muhammed Yedwab"/>
    <s v="Corporate"/>
    <s v="United States"/>
    <x v="43"/>
    <x v="13"/>
    <x v="3"/>
    <x v="1"/>
    <x v="5"/>
    <x v="732"/>
    <n v="7.92"/>
    <n v="4"/>
    <n v="0"/>
    <n v="3.5640000000000001"/>
    <n v="4.3559999999999999"/>
  </r>
  <r>
    <x v="596"/>
    <d v="2015-07-06T00:00:00"/>
    <x v="1"/>
    <s v="Rob Haberlin"/>
    <s v="Consumer"/>
    <s v="United States"/>
    <x v="266"/>
    <x v="10"/>
    <x v="2"/>
    <x v="0"/>
    <x v="9"/>
    <x v="354"/>
    <n v="408.42200000000003"/>
    <n v="2"/>
    <n v="0.3"/>
    <n v="-5.8346"/>
    <n v="414.25660000000005"/>
  </r>
  <r>
    <x v="221"/>
    <d v="2017-09-28T00:00:00"/>
    <x v="1"/>
    <s v="Karen Bern"/>
    <s v="Corporate"/>
    <s v="United States"/>
    <x v="267"/>
    <x v="11"/>
    <x v="2"/>
    <x v="2"/>
    <x v="12"/>
    <x v="733"/>
    <n v="72"/>
    <n v="4"/>
    <n v="0"/>
    <n v="12.96"/>
    <n v="59.04"/>
  </r>
  <r>
    <x v="287"/>
    <d v="2017-04-10T00:00:00"/>
    <x v="3"/>
    <s v="Russell D'Ascenzo"/>
    <s v="Consumer"/>
    <s v="United States"/>
    <x v="80"/>
    <x v="5"/>
    <x v="2"/>
    <x v="1"/>
    <x v="4"/>
    <x v="734"/>
    <n v="10.368"/>
    <n v="2"/>
    <n v="0.2"/>
    <n v="3.6288"/>
    <n v="6.7392000000000003"/>
  </r>
  <r>
    <x v="345"/>
    <d v="2016-11-28T00:00:00"/>
    <x v="1"/>
    <s v="George Ashbrook"/>
    <s v="Consumer"/>
    <s v="United States"/>
    <x v="57"/>
    <x v="5"/>
    <x v="2"/>
    <x v="2"/>
    <x v="11"/>
    <x v="735"/>
    <n v="657.55200000000002"/>
    <n v="6"/>
    <n v="0.2"/>
    <n v="49.316400000000002"/>
    <n v="608.23559999999998"/>
  </r>
  <r>
    <x v="682"/>
    <d v="2014-04-23T00:00:00"/>
    <x v="1"/>
    <s v="John Lee"/>
    <s v="Consumer"/>
    <s v="United States"/>
    <x v="1"/>
    <x v="1"/>
    <x v="1"/>
    <x v="2"/>
    <x v="14"/>
    <x v="736"/>
    <n v="287.96800000000002"/>
    <n v="4"/>
    <n v="0.2"/>
    <n v="97.1892"/>
    <n v="190.77880000000002"/>
  </r>
  <r>
    <x v="683"/>
    <d v="2014-05-09T00:00:00"/>
    <x v="3"/>
    <s v="Sean Braxton"/>
    <s v="Corporate"/>
    <s v="United States"/>
    <x v="0"/>
    <x v="0"/>
    <x v="0"/>
    <x v="1"/>
    <x v="7"/>
    <x v="8"/>
    <n v="83.25"/>
    <n v="3"/>
    <n v="0"/>
    <n v="14.984999999999999"/>
    <n v="68.265000000000001"/>
  </r>
  <r>
    <x v="435"/>
    <d v="2017-11-01T00:00:00"/>
    <x v="2"/>
    <s v="Ross DeVincentis"/>
    <s v="Home Office"/>
    <s v="United States"/>
    <x v="94"/>
    <x v="0"/>
    <x v="0"/>
    <x v="1"/>
    <x v="7"/>
    <x v="202"/>
    <n v="105.98"/>
    <n v="7"/>
    <n v="0"/>
    <n v="4.2392000000000003"/>
    <n v="101.74080000000001"/>
  </r>
  <r>
    <x v="684"/>
    <d v="2016-04-02T00:00:00"/>
    <x v="0"/>
    <s v="Maria Etezadi"/>
    <s v="Home Office"/>
    <s v="United States"/>
    <x v="21"/>
    <x v="10"/>
    <x v="2"/>
    <x v="1"/>
    <x v="4"/>
    <x v="579"/>
    <n v="45.527999999999999"/>
    <n v="3"/>
    <n v="0.2"/>
    <n v="15.934799999999999"/>
    <n v="29.5932"/>
  </r>
  <r>
    <x v="685"/>
    <d v="2017-09-09T00:00:00"/>
    <x v="0"/>
    <s v="Maribeth Dona"/>
    <s v="Consumer"/>
    <s v="United States"/>
    <x v="55"/>
    <x v="24"/>
    <x v="3"/>
    <x v="1"/>
    <x v="8"/>
    <x v="737"/>
    <n v="8.2560000000000002"/>
    <n v="4"/>
    <n v="0.2"/>
    <n v="0.61919999999999997"/>
    <n v="7.6368"/>
  </r>
  <r>
    <x v="686"/>
    <d v="2016-07-06T00:00:00"/>
    <x v="2"/>
    <s v="Guy Thornton"/>
    <s v="Consumer"/>
    <s v="United States"/>
    <x v="1"/>
    <x v="1"/>
    <x v="1"/>
    <x v="1"/>
    <x v="4"/>
    <x v="738"/>
    <n v="12.96"/>
    <n v="2"/>
    <n v="0"/>
    <n v="6.2207999999999997"/>
    <n v="6.7392000000000012"/>
  </r>
  <r>
    <x v="194"/>
    <d v="2017-09-14T00:00:00"/>
    <x v="1"/>
    <s v="Robert Dilbeck"/>
    <s v="Home Office"/>
    <s v="United States"/>
    <x v="41"/>
    <x v="25"/>
    <x v="2"/>
    <x v="1"/>
    <x v="5"/>
    <x v="56"/>
    <n v="1577.94"/>
    <n v="3"/>
    <n v="0"/>
    <n v="757.41120000000001"/>
    <n v="820.52880000000005"/>
  </r>
  <r>
    <x v="621"/>
    <d v="2017-08-12T00:00:00"/>
    <x v="1"/>
    <s v="Joni Wasserman"/>
    <s v="Consumer"/>
    <s v="United States"/>
    <x v="76"/>
    <x v="15"/>
    <x v="3"/>
    <x v="1"/>
    <x v="8"/>
    <x v="739"/>
    <n v="11.68"/>
    <n v="2"/>
    <n v="0"/>
    <n v="5.4896000000000003"/>
    <n v="6.1903999999999995"/>
  </r>
  <r>
    <x v="451"/>
    <d v="2015-03-24T00:00:00"/>
    <x v="1"/>
    <s v="Dan Campbell"/>
    <s v="Consumer"/>
    <s v="United States"/>
    <x v="268"/>
    <x v="2"/>
    <x v="0"/>
    <x v="1"/>
    <x v="4"/>
    <x v="740"/>
    <n v="14.496"/>
    <n v="3"/>
    <n v="0.2"/>
    <n v="4.8924000000000003"/>
    <n v="9.6036000000000001"/>
  </r>
  <r>
    <x v="663"/>
    <d v="2016-06-11T00:00:00"/>
    <x v="1"/>
    <s v="Frank Merwin"/>
    <s v="Home Office"/>
    <s v="United States"/>
    <x v="249"/>
    <x v="1"/>
    <x v="1"/>
    <x v="1"/>
    <x v="5"/>
    <x v="741"/>
    <n v="4.7839999999999998"/>
    <n v="1"/>
    <n v="0.2"/>
    <n v="1.5548"/>
    <n v="3.2291999999999996"/>
  </r>
  <r>
    <x v="160"/>
    <d v="2017-10-07T00:00:00"/>
    <x v="1"/>
    <s v="Dave Kipp"/>
    <s v="Consumer"/>
    <s v="United States"/>
    <x v="9"/>
    <x v="8"/>
    <x v="2"/>
    <x v="1"/>
    <x v="4"/>
    <x v="489"/>
    <n v="104.85"/>
    <n v="1"/>
    <n v="0"/>
    <n v="50.328000000000003"/>
    <n v="54.521999999999991"/>
  </r>
  <r>
    <x v="158"/>
    <d v="2017-08-27T00:00:00"/>
    <x v="1"/>
    <s v="Tracy Hopkins"/>
    <s v="Home Office"/>
    <s v="United States"/>
    <x v="28"/>
    <x v="40"/>
    <x v="3"/>
    <x v="1"/>
    <x v="4"/>
    <x v="586"/>
    <n v="277.39999999999998"/>
    <n v="5"/>
    <n v="0"/>
    <n v="133.15199999999999"/>
    <n v="144.24799999999999"/>
  </r>
  <r>
    <x v="687"/>
    <d v="2016-09-29T00:00:00"/>
    <x v="1"/>
    <s v="Sally Hughsby"/>
    <s v="Corporate"/>
    <s v="United States"/>
    <x v="188"/>
    <x v="18"/>
    <x v="0"/>
    <x v="1"/>
    <x v="8"/>
    <x v="661"/>
    <n v="40.776000000000003"/>
    <n v="3"/>
    <n v="0.2"/>
    <n v="4.5872999999999999"/>
    <n v="36.188700000000004"/>
  </r>
  <r>
    <x v="303"/>
    <d v="2016-11-14T00:00:00"/>
    <x v="1"/>
    <s v="Paul Prost"/>
    <s v="Home Office"/>
    <s v="United States"/>
    <x v="23"/>
    <x v="24"/>
    <x v="3"/>
    <x v="1"/>
    <x v="1"/>
    <x v="631"/>
    <n v="9.2159999999999993"/>
    <n v="4"/>
    <n v="0.2"/>
    <n v="3.3408000000000002"/>
    <n v="5.8751999999999995"/>
  </r>
  <r>
    <x v="363"/>
    <d v="2014-12-23T00:00:00"/>
    <x v="0"/>
    <s v="Michael Chen"/>
    <s v="Consumer"/>
    <s v="United States"/>
    <x v="1"/>
    <x v="1"/>
    <x v="1"/>
    <x v="1"/>
    <x v="5"/>
    <x v="553"/>
    <n v="487.98399999999998"/>
    <n v="2"/>
    <n v="0.2"/>
    <n v="152.495"/>
    <n v="335.48899999999998"/>
  </r>
  <r>
    <x v="688"/>
    <d v="2017-04-30T00:00:00"/>
    <x v="1"/>
    <s v="Christine Phan"/>
    <s v="Corporate"/>
    <s v="United States"/>
    <x v="99"/>
    <x v="2"/>
    <x v="0"/>
    <x v="1"/>
    <x v="7"/>
    <x v="493"/>
    <n v="113.568"/>
    <n v="2"/>
    <n v="0.2"/>
    <n v="-21.294"/>
    <n v="134.86199999999999"/>
  </r>
  <r>
    <x v="689"/>
    <d v="2015-03-17T00:00:00"/>
    <x v="1"/>
    <s v="Edward Becker"/>
    <s v="Corporate"/>
    <s v="United States"/>
    <x v="269"/>
    <x v="2"/>
    <x v="0"/>
    <x v="1"/>
    <x v="10"/>
    <x v="742"/>
    <n v="8.6880000000000006"/>
    <n v="3"/>
    <n v="0.2"/>
    <n v="2.9321999999999999"/>
    <n v="5.7558000000000007"/>
  </r>
  <r>
    <x v="690"/>
    <d v="2015-11-21T00:00:00"/>
    <x v="0"/>
    <s v="Tony Chapman"/>
    <s v="Home Office"/>
    <s v="United States"/>
    <x v="4"/>
    <x v="4"/>
    <x v="1"/>
    <x v="0"/>
    <x v="3"/>
    <x v="743"/>
    <n v="141.96"/>
    <n v="2"/>
    <n v="0"/>
    <n v="22.7136"/>
    <n v="119.24640000000001"/>
  </r>
  <r>
    <x v="339"/>
    <d v="2015-06-19T00:00:00"/>
    <x v="1"/>
    <s v="Dave Hallsten"/>
    <s v="Corporate"/>
    <s v="United States"/>
    <x v="26"/>
    <x v="19"/>
    <x v="0"/>
    <x v="1"/>
    <x v="8"/>
    <x v="744"/>
    <n v="24.78"/>
    <n v="6"/>
    <n v="0"/>
    <n v="6.9383999999999997"/>
    <n v="17.8416"/>
  </r>
  <r>
    <x v="601"/>
    <d v="2014-10-24T00:00:00"/>
    <x v="3"/>
    <s v="Arthur Prichep"/>
    <s v="Consumer"/>
    <s v="United States"/>
    <x v="270"/>
    <x v="20"/>
    <x v="0"/>
    <x v="1"/>
    <x v="13"/>
    <x v="745"/>
    <n v="11.85"/>
    <n v="3"/>
    <n v="0"/>
    <n v="3.7919999999999998"/>
    <n v="8.0579999999999998"/>
  </r>
  <r>
    <x v="578"/>
    <d v="2016-09-28T00:00:00"/>
    <x v="0"/>
    <s v="Russell Applegate"/>
    <s v="Consumer"/>
    <s v="United States"/>
    <x v="37"/>
    <x v="32"/>
    <x v="0"/>
    <x v="1"/>
    <x v="7"/>
    <x v="746"/>
    <n v="118.25"/>
    <n v="5"/>
    <n v="0"/>
    <n v="34.292499999999997"/>
    <n v="83.95750000000001"/>
  </r>
  <r>
    <x v="691"/>
    <d v="2016-03-06T00:00:00"/>
    <x v="2"/>
    <s v="Jason Gross"/>
    <s v="Corporate"/>
    <s v="United States"/>
    <x v="271"/>
    <x v="5"/>
    <x v="2"/>
    <x v="1"/>
    <x v="4"/>
    <x v="390"/>
    <n v="42.783999999999999"/>
    <n v="7"/>
    <n v="0.2"/>
    <n v="15.5092"/>
    <n v="27.274799999999999"/>
  </r>
  <r>
    <x v="692"/>
    <d v="2016-03-04T00:00:00"/>
    <x v="1"/>
    <s v="Lena Cacioppo"/>
    <s v="Consumer"/>
    <s v="United States"/>
    <x v="43"/>
    <x v="24"/>
    <x v="3"/>
    <x v="1"/>
    <x v="8"/>
    <x v="747"/>
    <n v="111.104"/>
    <n v="7"/>
    <n v="0.2"/>
    <n v="8.3328000000000007"/>
    <n v="102.77119999999999"/>
  </r>
  <r>
    <x v="479"/>
    <d v="2016-08-18T00:00:00"/>
    <x v="0"/>
    <s v="Theresa Swint"/>
    <s v="Corporate"/>
    <s v="United States"/>
    <x v="272"/>
    <x v="6"/>
    <x v="2"/>
    <x v="0"/>
    <x v="0"/>
    <x v="748"/>
    <n v="241.96"/>
    <n v="2"/>
    <n v="0"/>
    <n v="24.196000000000002"/>
    <n v="217.76400000000001"/>
  </r>
  <r>
    <x v="693"/>
    <d v="2017-03-02T00:00:00"/>
    <x v="1"/>
    <s v="Michelle Huthwaite"/>
    <s v="Consumer"/>
    <s v="United States"/>
    <x v="21"/>
    <x v="10"/>
    <x v="2"/>
    <x v="1"/>
    <x v="5"/>
    <x v="749"/>
    <n v="1.788"/>
    <n v="3"/>
    <n v="0.8"/>
    <n v="-3.0396000000000001"/>
    <n v="4.8276000000000003"/>
  </r>
  <r>
    <x v="694"/>
    <d v="2014-12-20T00:00:00"/>
    <x v="0"/>
    <s v="Ken Black"/>
    <s v="Corporate"/>
    <s v="United States"/>
    <x v="133"/>
    <x v="2"/>
    <x v="0"/>
    <x v="0"/>
    <x v="9"/>
    <x v="541"/>
    <n v="1013.832"/>
    <n v="9"/>
    <n v="0.2"/>
    <n v="101.3832"/>
    <n v="912.44880000000001"/>
  </r>
  <r>
    <x v="695"/>
    <d v="2016-12-21T00:00:00"/>
    <x v="1"/>
    <s v="Charles McCrossin"/>
    <s v="Consumer"/>
    <s v="United States"/>
    <x v="8"/>
    <x v="1"/>
    <x v="1"/>
    <x v="0"/>
    <x v="2"/>
    <x v="750"/>
    <n v="2003.52"/>
    <n v="6"/>
    <n v="0.2"/>
    <n v="-325.572"/>
    <n v="2329.0920000000001"/>
  </r>
  <r>
    <x v="456"/>
    <d v="2016-05-17T00:00:00"/>
    <x v="1"/>
    <s v="Filia McAdams"/>
    <s v="Corporate"/>
    <s v="United States"/>
    <x v="10"/>
    <x v="9"/>
    <x v="3"/>
    <x v="1"/>
    <x v="7"/>
    <x v="465"/>
    <n v="82.367999999999995"/>
    <n v="2"/>
    <n v="0.2"/>
    <n v="-19.5624"/>
    <n v="101.93039999999999"/>
  </r>
  <r>
    <x v="696"/>
    <d v="2014-04-13T00:00:00"/>
    <x v="0"/>
    <s v="Jay Kimmel"/>
    <s v="Consumer"/>
    <s v="United States"/>
    <x v="91"/>
    <x v="2"/>
    <x v="0"/>
    <x v="1"/>
    <x v="13"/>
    <x v="751"/>
    <n v="6.9119999999999999"/>
    <n v="3"/>
    <n v="0.2"/>
    <n v="2.3328000000000002"/>
    <n v="4.5792000000000002"/>
  </r>
  <r>
    <x v="697"/>
    <d v="2015-05-08T00:00:00"/>
    <x v="1"/>
    <s v="Julia Barnett"/>
    <s v="Home Office"/>
    <s v="United States"/>
    <x v="273"/>
    <x v="1"/>
    <x v="1"/>
    <x v="0"/>
    <x v="3"/>
    <x v="625"/>
    <n v="665.88"/>
    <n v="6"/>
    <n v="0"/>
    <n v="106.5408"/>
    <n v="559.33920000000001"/>
  </r>
  <r>
    <x v="698"/>
    <d v="2017-02-20T00:00:00"/>
    <x v="1"/>
    <s v="Luke Foster"/>
    <s v="Consumer"/>
    <s v="United States"/>
    <x v="19"/>
    <x v="15"/>
    <x v="3"/>
    <x v="1"/>
    <x v="4"/>
    <x v="664"/>
    <n v="37.94"/>
    <n v="2"/>
    <n v="0"/>
    <n v="18.211200000000002"/>
    <n v="19.728799999999996"/>
  </r>
  <r>
    <x v="237"/>
    <d v="2014-07-11T00:00:00"/>
    <x v="1"/>
    <s v="Dennis Pardue"/>
    <s v="Home Office"/>
    <s v="United States"/>
    <x v="1"/>
    <x v="1"/>
    <x v="1"/>
    <x v="1"/>
    <x v="5"/>
    <x v="193"/>
    <n v="180.96"/>
    <n v="6"/>
    <n v="0.2"/>
    <n v="67.86"/>
    <n v="113.10000000000001"/>
  </r>
  <r>
    <x v="699"/>
    <d v="2015-02-28T00:00:00"/>
    <x v="2"/>
    <s v="Bill Tyler"/>
    <s v="Corporate"/>
    <s v="United States"/>
    <x v="274"/>
    <x v="9"/>
    <x v="3"/>
    <x v="1"/>
    <x v="5"/>
    <x v="85"/>
    <n v="4.4189999999999996"/>
    <n v="3"/>
    <n v="0.7"/>
    <n v="-3.3879000000000001"/>
    <n v="7.8068999999999997"/>
  </r>
  <r>
    <x v="700"/>
    <d v="2017-03-05T00:00:00"/>
    <x v="3"/>
    <s v="Pete Kriz"/>
    <s v="Consumer"/>
    <s v="United States"/>
    <x v="143"/>
    <x v="6"/>
    <x v="2"/>
    <x v="1"/>
    <x v="1"/>
    <x v="752"/>
    <n v="25.06"/>
    <n v="2"/>
    <n v="0"/>
    <n v="11.7782"/>
    <n v="13.281799999999999"/>
  </r>
  <r>
    <x v="519"/>
    <d v="2016-07-08T00:00:00"/>
    <x v="3"/>
    <s v="Zuschuss Donatelli"/>
    <s v="Consumer"/>
    <s v="United States"/>
    <x v="99"/>
    <x v="2"/>
    <x v="0"/>
    <x v="2"/>
    <x v="11"/>
    <x v="753"/>
    <n v="823.96"/>
    <n v="5"/>
    <n v="0.2"/>
    <n v="51.497500000000002"/>
    <n v="772.46250000000009"/>
  </r>
  <r>
    <x v="249"/>
    <d v="2014-10-12T00:00:00"/>
    <x v="1"/>
    <s v="John Grady"/>
    <s v="Corporate"/>
    <s v="United States"/>
    <x v="57"/>
    <x v="5"/>
    <x v="2"/>
    <x v="1"/>
    <x v="7"/>
    <x v="754"/>
    <n v="107.44"/>
    <n v="10"/>
    <n v="0.2"/>
    <n v="10.744"/>
    <n v="96.695999999999998"/>
  </r>
  <r>
    <x v="701"/>
    <d v="2014-04-15T00:00:00"/>
    <x v="1"/>
    <s v="Jim Mitchum"/>
    <s v="Corporate"/>
    <s v="United States"/>
    <x v="192"/>
    <x v="16"/>
    <x v="1"/>
    <x v="1"/>
    <x v="13"/>
    <x v="755"/>
    <n v="2.3679999999999999"/>
    <n v="2"/>
    <n v="0.2"/>
    <n v="0.82879999999999998"/>
    <n v="1.5391999999999999"/>
  </r>
  <r>
    <x v="575"/>
    <d v="2014-08-02T00:00:00"/>
    <x v="1"/>
    <s v="Kunst Miller"/>
    <s v="Consumer"/>
    <s v="United States"/>
    <x v="203"/>
    <x v="33"/>
    <x v="1"/>
    <x v="2"/>
    <x v="11"/>
    <x v="188"/>
    <n v="911.98400000000004"/>
    <n v="2"/>
    <n v="0.2"/>
    <n v="113.998"/>
    <n v="797.98599999999999"/>
  </r>
  <r>
    <x v="702"/>
    <d v="2014-06-12T00:00:00"/>
    <x v="1"/>
    <s v="Katrina Edelman"/>
    <s v="Corporate"/>
    <s v="United States"/>
    <x v="38"/>
    <x v="18"/>
    <x v="0"/>
    <x v="0"/>
    <x v="9"/>
    <x v="756"/>
    <n v="170.352"/>
    <n v="3"/>
    <n v="0.2"/>
    <n v="10.647"/>
    <n v="159.70500000000001"/>
  </r>
  <r>
    <x v="382"/>
    <d v="2017-10-28T00:00:00"/>
    <x v="0"/>
    <s v="Darrin Martin"/>
    <s v="Consumer"/>
    <s v="United States"/>
    <x v="49"/>
    <x v="5"/>
    <x v="2"/>
    <x v="1"/>
    <x v="5"/>
    <x v="131"/>
    <n v="3.5640000000000001"/>
    <n v="3"/>
    <n v="0.8"/>
    <n v="-6.2370000000000001"/>
    <n v="9.8010000000000002"/>
  </r>
  <r>
    <x v="703"/>
    <d v="2017-02-22T00:00:00"/>
    <x v="1"/>
    <s v="Julie Kriz"/>
    <s v="Home Office"/>
    <s v="United States"/>
    <x v="21"/>
    <x v="10"/>
    <x v="2"/>
    <x v="0"/>
    <x v="2"/>
    <x v="757"/>
    <n v="480.96"/>
    <n v="3"/>
    <n v="0.5"/>
    <n v="-269.33760000000001"/>
    <n v="750.29759999999999"/>
  </r>
  <r>
    <x v="704"/>
    <d v="2014-07-29T00:00:00"/>
    <x v="0"/>
    <s v="Giulietta Weimer"/>
    <s v="Consumer"/>
    <s v="United States"/>
    <x v="8"/>
    <x v="1"/>
    <x v="1"/>
    <x v="2"/>
    <x v="12"/>
    <x v="758"/>
    <n v="238"/>
    <n v="2"/>
    <n v="0"/>
    <n v="38.08"/>
    <n v="199.92000000000002"/>
  </r>
  <r>
    <x v="705"/>
    <d v="2015-10-27T00:00:00"/>
    <x v="0"/>
    <s v="Jay Fein"/>
    <s v="Consumer"/>
    <s v="United States"/>
    <x v="65"/>
    <x v="1"/>
    <x v="1"/>
    <x v="2"/>
    <x v="12"/>
    <x v="313"/>
    <n v="148.32"/>
    <n v="9"/>
    <n v="0"/>
    <n v="63.7776"/>
    <n v="84.542399999999986"/>
  </r>
  <r>
    <x v="237"/>
    <d v="2014-07-12T00:00:00"/>
    <x v="1"/>
    <s v="David Wiener"/>
    <s v="Corporate"/>
    <s v="United States"/>
    <x v="275"/>
    <x v="18"/>
    <x v="0"/>
    <x v="1"/>
    <x v="8"/>
    <x v="759"/>
    <n v="4.3680000000000003"/>
    <n v="3"/>
    <n v="0.2"/>
    <n v="0.38219999999999998"/>
    <n v="3.9858000000000002"/>
  </r>
  <r>
    <x v="706"/>
    <d v="2017-02-02T00:00:00"/>
    <x v="1"/>
    <s v="Clytie Kelty"/>
    <s v="Consumer"/>
    <s v="United States"/>
    <x v="21"/>
    <x v="10"/>
    <x v="2"/>
    <x v="1"/>
    <x v="5"/>
    <x v="760"/>
    <n v="12.128"/>
    <n v="4"/>
    <n v="0.8"/>
    <n v="-20.617599999999999"/>
    <n v="32.745599999999996"/>
  </r>
  <r>
    <x v="707"/>
    <d v="2014-11-28T00:00:00"/>
    <x v="1"/>
    <s v="Tony Chapman"/>
    <s v="Home Office"/>
    <s v="United States"/>
    <x v="276"/>
    <x v="10"/>
    <x v="2"/>
    <x v="1"/>
    <x v="5"/>
    <x v="761"/>
    <n v="9.98"/>
    <n v="5"/>
    <n v="0.8"/>
    <n v="-16.466999999999999"/>
    <n v="26.446999999999999"/>
  </r>
  <r>
    <x v="708"/>
    <d v="2015-01-08T00:00:00"/>
    <x v="1"/>
    <s v="Sylvia Foulston"/>
    <s v="Corporate"/>
    <s v="United States"/>
    <x v="277"/>
    <x v="5"/>
    <x v="2"/>
    <x v="1"/>
    <x v="4"/>
    <x v="411"/>
    <n v="10.368"/>
    <n v="2"/>
    <n v="0.2"/>
    <n v="3.6288"/>
    <n v="6.7392000000000003"/>
  </r>
  <r>
    <x v="581"/>
    <d v="2015-11-20T00:00:00"/>
    <x v="1"/>
    <s v="Maureen Gastineau"/>
    <s v="Home Office"/>
    <s v="United States"/>
    <x v="10"/>
    <x v="9"/>
    <x v="3"/>
    <x v="2"/>
    <x v="12"/>
    <x v="762"/>
    <n v="47.984000000000002"/>
    <n v="2"/>
    <n v="0.2"/>
    <n v="-1.1996"/>
    <n v="49.183599999999998"/>
  </r>
  <r>
    <x v="709"/>
    <d v="2017-07-23T00:00:00"/>
    <x v="1"/>
    <s v="Maris LaWare"/>
    <s v="Consumer"/>
    <s v="United States"/>
    <x v="153"/>
    <x v="16"/>
    <x v="1"/>
    <x v="0"/>
    <x v="2"/>
    <x v="757"/>
    <n v="801.6"/>
    <n v="5"/>
    <n v="0.5"/>
    <n v="-448.89600000000002"/>
    <n v="1250.4960000000001"/>
  </r>
  <r>
    <x v="659"/>
    <d v="2017-05-29T00:00:00"/>
    <x v="0"/>
    <s v="Eric Hoffmann"/>
    <s v="Consumer"/>
    <s v="United States"/>
    <x v="25"/>
    <x v="18"/>
    <x v="0"/>
    <x v="1"/>
    <x v="4"/>
    <x v="364"/>
    <n v="25.92"/>
    <n v="5"/>
    <n v="0.2"/>
    <n v="9.0719999999999992"/>
    <n v="16.848000000000003"/>
  </r>
  <r>
    <x v="539"/>
    <d v="2016-06-30T00:00:00"/>
    <x v="1"/>
    <s v="Maureen Gnade"/>
    <s v="Consumer"/>
    <s v="United States"/>
    <x v="278"/>
    <x v="15"/>
    <x v="3"/>
    <x v="1"/>
    <x v="15"/>
    <x v="763"/>
    <n v="835.17"/>
    <n v="7"/>
    <n v="0"/>
    <n v="16.703399999999998"/>
    <n v="818.46659999999997"/>
  </r>
  <r>
    <x v="622"/>
    <d v="2017-01-19T00:00:00"/>
    <x v="1"/>
    <s v="Sanjit Chand"/>
    <s v="Consumer"/>
    <s v="United States"/>
    <x v="85"/>
    <x v="31"/>
    <x v="3"/>
    <x v="1"/>
    <x v="4"/>
    <x v="30"/>
    <n v="12.7"/>
    <n v="2"/>
    <n v="0"/>
    <n v="5.8419999999999996"/>
    <n v="6.8579999999999997"/>
  </r>
  <r>
    <x v="195"/>
    <d v="2016-06-02T00:00:00"/>
    <x v="1"/>
    <s v="Raymond Buch"/>
    <s v="Consumer"/>
    <s v="United States"/>
    <x v="264"/>
    <x v="18"/>
    <x v="0"/>
    <x v="1"/>
    <x v="5"/>
    <x v="764"/>
    <n v="11.276999999999999"/>
    <n v="3"/>
    <n v="0.7"/>
    <n v="-8.6456999999999997"/>
    <n v="19.922699999999999"/>
  </r>
  <r>
    <x v="710"/>
    <d v="2015-10-24T00:00:00"/>
    <x v="1"/>
    <s v="Nicole Hansen"/>
    <s v="Corporate"/>
    <s v="United States"/>
    <x v="62"/>
    <x v="12"/>
    <x v="2"/>
    <x v="1"/>
    <x v="5"/>
    <x v="765"/>
    <n v="38.28"/>
    <n v="6"/>
    <n v="0"/>
    <n v="17.608799999999999"/>
    <n v="20.671200000000002"/>
  </r>
  <r>
    <x v="505"/>
    <d v="2014-11-17T00:00:00"/>
    <x v="0"/>
    <s v="Denise Monton"/>
    <s v="Corporate"/>
    <s v="United States"/>
    <x v="140"/>
    <x v="3"/>
    <x v="0"/>
    <x v="1"/>
    <x v="8"/>
    <x v="119"/>
    <n v="7.8719999999999999"/>
    <n v="3"/>
    <n v="0.2"/>
    <n v="0.88560000000000005"/>
    <n v="6.9863999999999997"/>
  </r>
  <r>
    <x v="166"/>
    <d v="2016-04-06T00:00:00"/>
    <x v="1"/>
    <s v="Don Weiss"/>
    <s v="Consumer"/>
    <s v="United States"/>
    <x v="19"/>
    <x v="15"/>
    <x v="3"/>
    <x v="1"/>
    <x v="8"/>
    <x v="307"/>
    <n v="88.04"/>
    <n v="4"/>
    <n v="0"/>
    <n v="22.8904"/>
    <n v="65.149600000000007"/>
  </r>
  <r>
    <x v="711"/>
    <d v="2015-06-05T00:00:00"/>
    <x v="1"/>
    <s v="Katrina Edelman"/>
    <s v="Corporate"/>
    <s v="United States"/>
    <x v="49"/>
    <x v="5"/>
    <x v="2"/>
    <x v="1"/>
    <x v="5"/>
    <x v="79"/>
    <n v="5.7279999999999998"/>
    <n v="8"/>
    <n v="0.8"/>
    <n v="-9.1647999999999996"/>
    <n v="14.892799999999999"/>
  </r>
  <r>
    <x v="712"/>
    <d v="2015-02-24T00:00:00"/>
    <x v="0"/>
    <s v="Penelope Sewall"/>
    <s v="Home Office"/>
    <s v="United States"/>
    <x v="279"/>
    <x v="12"/>
    <x v="2"/>
    <x v="1"/>
    <x v="8"/>
    <x v="747"/>
    <n v="79.36"/>
    <n v="4"/>
    <n v="0"/>
    <n v="20.633600000000001"/>
    <n v="58.726399999999998"/>
  </r>
  <r>
    <x v="713"/>
    <d v="2014-12-27T00:00:00"/>
    <x v="1"/>
    <s v="Tiffany House"/>
    <s v="Corporate"/>
    <s v="United States"/>
    <x v="19"/>
    <x v="15"/>
    <x v="3"/>
    <x v="0"/>
    <x v="2"/>
    <x v="714"/>
    <n v="53.316000000000003"/>
    <n v="2"/>
    <n v="0.4"/>
    <n v="-19.549199999999999"/>
    <n v="72.865200000000002"/>
  </r>
  <r>
    <x v="250"/>
    <d v="2016-07-09T00:00:00"/>
    <x v="0"/>
    <s v="Christopher Conant"/>
    <s v="Consumer"/>
    <s v="United States"/>
    <x v="1"/>
    <x v="1"/>
    <x v="1"/>
    <x v="0"/>
    <x v="9"/>
    <x v="766"/>
    <n v="287.96800000000002"/>
    <n v="4"/>
    <n v="0.2"/>
    <n v="-3.5996000000000001"/>
    <n v="291.56760000000003"/>
  </r>
  <r>
    <x v="714"/>
    <d v="2017-04-14T00:00:00"/>
    <x v="1"/>
    <s v="Karen Ferguson"/>
    <s v="Home Office"/>
    <s v="United States"/>
    <x v="124"/>
    <x v="30"/>
    <x v="3"/>
    <x v="1"/>
    <x v="7"/>
    <x v="217"/>
    <n v="2591.56"/>
    <n v="4"/>
    <n v="0"/>
    <n v="621.97439999999995"/>
    <n v="1969.5855999999999"/>
  </r>
  <r>
    <x v="715"/>
    <d v="2016-04-22T00:00:00"/>
    <x v="1"/>
    <s v="Charles Sheldon"/>
    <s v="Corporate"/>
    <s v="United States"/>
    <x v="28"/>
    <x v="18"/>
    <x v="0"/>
    <x v="0"/>
    <x v="3"/>
    <x v="767"/>
    <n v="79.12"/>
    <n v="5"/>
    <n v="0.2"/>
    <n v="13.846"/>
    <n v="65.274000000000001"/>
  </r>
  <r>
    <x v="716"/>
    <d v="2015-03-12T00:00:00"/>
    <x v="1"/>
    <s v="Dana Kaydos"/>
    <s v="Consumer"/>
    <s v="United States"/>
    <x v="208"/>
    <x v="6"/>
    <x v="2"/>
    <x v="0"/>
    <x v="0"/>
    <x v="723"/>
    <n v="512.94000000000005"/>
    <n v="3"/>
    <n v="0"/>
    <n v="97.458600000000004"/>
    <n v="415.48140000000006"/>
  </r>
  <r>
    <x v="157"/>
    <d v="2014-06-27T00:00:00"/>
    <x v="1"/>
    <s v="Anna Andreadi"/>
    <s v="Consumer"/>
    <s v="United States"/>
    <x v="130"/>
    <x v="9"/>
    <x v="3"/>
    <x v="0"/>
    <x v="9"/>
    <x v="75"/>
    <n v="170.05799999999999"/>
    <n v="3"/>
    <n v="0.3"/>
    <n v="-4.8587999999999996"/>
    <n v="174.91679999999999"/>
  </r>
  <r>
    <x v="281"/>
    <d v="2015-11-24T00:00:00"/>
    <x v="1"/>
    <s v="Lena Creighton"/>
    <s v="Consumer"/>
    <s v="United States"/>
    <x v="163"/>
    <x v="1"/>
    <x v="1"/>
    <x v="2"/>
    <x v="11"/>
    <x v="768"/>
    <n v="72.744"/>
    <n v="7"/>
    <n v="0.2"/>
    <n v="-15.4581"/>
    <n v="88.202100000000002"/>
  </r>
  <r>
    <x v="14"/>
    <d v="2015-09-20T00:00:00"/>
    <x v="2"/>
    <s v="Cari Sayre"/>
    <s v="Corporate"/>
    <s v="United States"/>
    <x v="4"/>
    <x v="4"/>
    <x v="1"/>
    <x v="1"/>
    <x v="5"/>
    <x v="524"/>
    <n v="25.032"/>
    <n v="3"/>
    <n v="0.2"/>
    <n v="7.8224999999999998"/>
    <n v="17.209499999999998"/>
  </r>
  <r>
    <x v="717"/>
    <d v="2016-03-14T00:00:00"/>
    <x v="1"/>
    <s v="Bryan Davis"/>
    <s v="Consumer"/>
    <s v="United States"/>
    <x v="10"/>
    <x v="9"/>
    <x v="3"/>
    <x v="2"/>
    <x v="12"/>
    <x v="577"/>
    <n v="39.991999999999997"/>
    <n v="1"/>
    <n v="0.2"/>
    <n v="7.4984999999999999"/>
    <n v="32.493499999999997"/>
  </r>
  <r>
    <x v="718"/>
    <d v="2014-06-26T00:00:00"/>
    <x v="2"/>
    <s v="Denise Leinenbach"/>
    <s v="Consumer"/>
    <s v="United States"/>
    <x v="3"/>
    <x v="3"/>
    <x v="0"/>
    <x v="1"/>
    <x v="8"/>
    <x v="769"/>
    <n v="20.015999999999998"/>
    <n v="9"/>
    <n v="0.2"/>
    <n v="1.7514000000000001"/>
    <n v="18.264599999999998"/>
  </r>
  <r>
    <x v="719"/>
    <d v="2016-08-31T00:00:00"/>
    <x v="2"/>
    <s v="Tom Prescott"/>
    <s v="Consumer"/>
    <s v="United States"/>
    <x v="57"/>
    <x v="5"/>
    <x v="2"/>
    <x v="1"/>
    <x v="5"/>
    <x v="149"/>
    <n v="13.14"/>
    <n v="9"/>
    <n v="0.8"/>
    <n v="-21.681000000000001"/>
    <n v="34.820999999999998"/>
  </r>
  <r>
    <x v="474"/>
    <d v="2015-12-21T00:00:00"/>
    <x v="0"/>
    <s v="Suzanne McNair"/>
    <s v="Corporate"/>
    <s v="United States"/>
    <x v="250"/>
    <x v="8"/>
    <x v="2"/>
    <x v="1"/>
    <x v="5"/>
    <x v="770"/>
    <n v="7.04"/>
    <n v="2"/>
    <n v="0"/>
    <n v="3.3088000000000002"/>
    <n v="3.7311999999999999"/>
  </r>
  <r>
    <x v="482"/>
    <d v="2016-08-06T00:00:00"/>
    <x v="0"/>
    <s v="Linda Cazamias"/>
    <s v="Corporate"/>
    <s v="United States"/>
    <x v="280"/>
    <x v="1"/>
    <x v="1"/>
    <x v="2"/>
    <x v="11"/>
    <x v="771"/>
    <n v="302.38400000000001"/>
    <n v="2"/>
    <n v="0.2"/>
    <n v="30.238399999999999"/>
    <n v="272.1456"/>
  </r>
  <r>
    <x v="166"/>
    <d v="2016-04-05T00:00:00"/>
    <x v="1"/>
    <s v="Thomas Boland"/>
    <s v="Corporate"/>
    <s v="United States"/>
    <x v="19"/>
    <x v="15"/>
    <x v="3"/>
    <x v="1"/>
    <x v="1"/>
    <x v="222"/>
    <n v="20.7"/>
    <n v="2"/>
    <n v="0"/>
    <n v="9.9359999999999999"/>
    <n v="10.763999999999999"/>
  </r>
  <r>
    <x v="229"/>
    <d v="2016-08-26T00:00:00"/>
    <x v="1"/>
    <s v="Dorothy Dickinson"/>
    <s v="Consumer"/>
    <s v="United States"/>
    <x v="12"/>
    <x v="5"/>
    <x v="2"/>
    <x v="1"/>
    <x v="5"/>
    <x v="514"/>
    <n v="4.3120000000000003"/>
    <n v="2"/>
    <n v="0.8"/>
    <n v="-6.8992000000000004"/>
    <n v="11.211200000000002"/>
  </r>
  <r>
    <x v="202"/>
    <d v="2014-05-18T00:00:00"/>
    <x v="1"/>
    <s v="Brooke Gillingham"/>
    <s v="Corporate"/>
    <s v="United States"/>
    <x v="218"/>
    <x v="15"/>
    <x v="3"/>
    <x v="1"/>
    <x v="6"/>
    <x v="158"/>
    <n v="35.909999999999997"/>
    <n v="3"/>
    <n v="0"/>
    <n v="9.6957000000000004"/>
    <n v="26.214299999999994"/>
  </r>
  <r>
    <x v="720"/>
    <d v="2017-01-01T00:00:00"/>
    <x v="2"/>
    <s v="Keith Dawkins"/>
    <s v="Corporate"/>
    <s v="United States"/>
    <x v="281"/>
    <x v="5"/>
    <x v="2"/>
    <x v="1"/>
    <x v="5"/>
    <x v="29"/>
    <n v="6.9240000000000004"/>
    <n v="6"/>
    <n v="0.8"/>
    <n v="-10.385999999999999"/>
    <n v="17.309999999999999"/>
  </r>
  <r>
    <x v="721"/>
    <d v="2014-05-23T00:00:00"/>
    <x v="1"/>
    <s v="John Huston"/>
    <s v="Consumer"/>
    <s v="United States"/>
    <x v="282"/>
    <x v="12"/>
    <x v="2"/>
    <x v="1"/>
    <x v="5"/>
    <x v="765"/>
    <n v="57.42"/>
    <n v="9"/>
    <n v="0"/>
    <n v="26.4132"/>
    <n v="31.006800000000002"/>
  </r>
  <r>
    <x v="722"/>
    <d v="2017-02-06T00:00:00"/>
    <x v="1"/>
    <s v="Eugene Hildebrand"/>
    <s v="Home Office"/>
    <s v="United States"/>
    <x v="8"/>
    <x v="1"/>
    <x v="1"/>
    <x v="1"/>
    <x v="8"/>
    <x v="655"/>
    <n v="12.74"/>
    <n v="7"/>
    <n v="0"/>
    <n v="5.7329999999999997"/>
    <n v="7.0070000000000006"/>
  </r>
  <r>
    <x v="585"/>
    <d v="2017-01-03T00:00:00"/>
    <x v="1"/>
    <s v="Michael Paige"/>
    <s v="Corporate"/>
    <s v="United States"/>
    <x v="38"/>
    <x v="18"/>
    <x v="0"/>
    <x v="1"/>
    <x v="5"/>
    <x v="772"/>
    <n v="38.088000000000001"/>
    <n v="4"/>
    <n v="0.7"/>
    <n v="-27.9312"/>
    <n v="66.019199999999998"/>
  </r>
  <r>
    <x v="372"/>
    <d v="2017-01-16T00:00:00"/>
    <x v="2"/>
    <s v="Tracy Poddar"/>
    <s v="Corporate"/>
    <s v="United States"/>
    <x v="33"/>
    <x v="22"/>
    <x v="1"/>
    <x v="2"/>
    <x v="12"/>
    <x v="543"/>
    <n v="169.06399999999999"/>
    <n v="7"/>
    <n v="0.2"/>
    <n v="-14.793100000000001"/>
    <n v="183.8571"/>
  </r>
  <r>
    <x v="716"/>
    <d v="2015-03-13T00:00:00"/>
    <x v="1"/>
    <s v="Anthony Rawles"/>
    <s v="Corporate"/>
    <s v="United States"/>
    <x v="76"/>
    <x v="15"/>
    <x v="3"/>
    <x v="1"/>
    <x v="4"/>
    <x v="693"/>
    <n v="19.440000000000001"/>
    <n v="3"/>
    <n v="0"/>
    <n v="9.3312000000000008"/>
    <n v="10.1088"/>
  </r>
  <r>
    <x v="723"/>
    <d v="2014-04-12T00:00:00"/>
    <x v="1"/>
    <s v="Roland Schwarz"/>
    <s v="Corporate"/>
    <s v="United States"/>
    <x v="28"/>
    <x v="20"/>
    <x v="0"/>
    <x v="2"/>
    <x v="11"/>
    <x v="78"/>
    <n v="629.95000000000005"/>
    <n v="5"/>
    <n v="0"/>
    <n v="163.78700000000001"/>
    <n v="466.16300000000001"/>
  </r>
  <r>
    <x v="532"/>
    <d v="2015-06-22T00:00:00"/>
    <x v="1"/>
    <s v="Bruce Geld"/>
    <s v="Consumer"/>
    <s v="United States"/>
    <x v="65"/>
    <x v="1"/>
    <x v="1"/>
    <x v="1"/>
    <x v="8"/>
    <x v="773"/>
    <n v="51.98"/>
    <n v="2"/>
    <n v="0"/>
    <n v="15.074199999999999"/>
    <n v="36.905799999999999"/>
  </r>
  <r>
    <x v="23"/>
    <d v="2015-04-23T00:00:00"/>
    <x v="0"/>
    <s v="Roland Fjeld"/>
    <s v="Consumer"/>
    <s v="United States"/>
    <x v="19"/>
    <x v="15"/>
    <x v="3"/>
    <x v="1"/>
    <x v="1"/>
    <x v="774"/>
    <n v="21.93"/>
    <n v="3"/>
    <n v="0"/>
    <n v="10.3071"/>
    <n v="11.6229"/>
  </r>
  <r>
    <x v="535"/>
    <d v="2014-11-02T00:00:00"/>
    <x v="0"/>
    <s v="Anne McFarland"/>
    <s v="Consumer"/>
    <s v="United States"/>
    <x v="283"/>
    <x v="34"/>
    <x v="3"/>
    <x v="1"/>
    <x v="8"/>
    <x v="775"/>
    <n v="49.25"/>
    <n v="5"/>
    <n v="0"/>
    <n v="18.715"/>
    <n v="30.535"/>
  </r>
  <r>
    <x v="724"/>
    <d v="2015-02-22T00:00:00"/>
    <x v="1"/>
    <s v="Ann Blume"/>
    <s v="Corporate"/>
    <s v="United States"/>
    <x v="1"/>
    <x v="1"/>
    <x v="1"/>
    <x v="1"/>
    <x v="1"/>
    <x v="776"/>
    <n v="9.24"/>
    <n v="3"/>
    <n v="0"/>
    <n v="4.4352"/>
    <n v="4.8048000000000002"/>
  </r>
  <r>
    <x v="725"/>
    <d v="2017-04-03T00:00:00"/>
    <x v="2"/>
    <s v="Nick Crebassa"/>
    <s v="Corporate"/>
    <s v="United States"/>
    <x v="8"/>
    <x v="1"/>
    <x v="1"/>
    <x v="0"/>
    <x v="0"/>
    <x v="777"/>
    <n v="482.66399999999999"/>
    <n v="8"/>
    <n v="0.15"/>
    <n v="85.176000000000002"/>
    <n v="397.488"/>
  </r>
  <r>
    <x v="726"/>
    <d v="2015-01-10T00:00:00"/>
    <x v="1"/>
    <s v="Steven Roelle"/>
    <s v="Home Office"/>
    <s v="United States"/>
    <x v="4"/>
    <x v="4"/>
    <x v="1"/>
    <x v="0"/>
    <x v="9"/>
    <x v="175"/>
    <n v="61.584000000000003"/>
    <n v="1"/>
    <n v="0.2"/>
    <n v="-6.9282000000000004"/>
    <n v="68.512200000000007"/>
  </r>
  <r>
    <x v="656"/>
    <d v="2016-03-26T00:00:00"/>
    <x v="2"/>
    <s v="Vivek Grady"/>
    <s v="Corporate"/>
    <s v="United States"/>
    <x v="94"/>
    <x v="14"/>
    <x v="2"/>
    <x v="1"/>
    <x v="4"/>
    <x v="778"/>
    <n v="22.48"/>
    <n v="1"/>
    <n v="0"/>
    <n v="10.3408"/>
    <n v="12.139200000000001"/>
  </r>
  <r>
    <x v="727"/>
    <d v="2014-03-30T00:00:00"/>
    <x v="1"/>
    <s v="Jonathan Doherty"/>
    <s v="Corporate"/>
    <s v="United States"/>
    <x v="1"/>
    <x v="1"/>
    <x v="1"/>
    <x v="2"/>
    <x v="12"/>
    <x v="80"/>
    <n v="66.3"/>
    <n v="3"/>
    <n v="0"/>
    <n v="8.6189999999999998"/>
    <n v="57.680999999999997"/>
  </r>
  <r>
    <x v="705"/>
    <d v="2015-10-23T00:00:00"/>
    <x v="3"/>
    <s v="Ralph Arnett"/>
    <s v="Consumer"/>
    <s v="United States"/>
    <x v="110"/>
    <x v="2"/>
    <x v="0"/>
    <x v="2"/>
    <x v="11"/>
    <x v="531"/>
    <n v="55.944000000000003"/>
    <n v="7"/>
    <n v="0.2"/>
    <n v="-13.2867"/>
    <n v="69.230699999999999"/>
  </r>
  <r>
    <x v="705"/>
    <d v="2015-10-28T00:00:00"/>
    <x v="1"/>
    <s v="Andrew Gjertsen"/>
    <s v="Corporate"/>
    <s v="United States"/>
    <x v="4"/>
    <x v="4"/>
    <x v="1"/>
    <x v="1"/>
    <x v="5"/>
    <x v="389"/>
    <n v="3.5920000000000001"/>
    <n v="1"/>
    <n v="0.2"/>
    <n v="1.1225000000000001"/>
    <n v="2.4695"/>
  </r>
  <r>
    <x v="728"/>
    <d v="2016-04-20T00:00:00"/>
    <x v="1"/>
    <s v="Bill Shonely"/>
    <s v="Corporate"/>
    <s v="United States"/>
    <x v="284"/>
    <x v="30"/>
    <x v="3"/>
    <x v="2"/>
    <x v="14"/>
    <x v="779"/>
    <n v="9099.93"/>
    <n v="7"/>
    <n v="0"/>
    <n v="2365.9818"/>
    <n v="6733.9482000000007"/>
  </r>
  <r>
    <x v="729"/>
    <d v="2015-05-21T00:00:00"/>
    <x v="1"/>
    <s v="Odella Nelson"/>
    <s v="Corporate"/>
    <s v="United States"/>
    <x v="12"/>
    <x v="5"/>
    <x v="2"/>
    <x v="1"/>
    <x v="5"/>
    <x v="780"/>
    <n v="33.28"/>
    <n v="5"/>
    <n v="0.8"/>
    <n v="-49.92"/>
    <n v="83.2"/>
  </r>
  <r>
    <x v="380"/>
    <d v="2017-03-16T00:00:00"/>
    <x v="1"/>
    <s v="Emily Burns"/>
    <s v="Consumer"/>
    <s v="United States"/>
    <x v="10"/>
    <x v="9"/>
    <x v="3"/>
    <x v="2"/>
    <x v="11"/>
    <x v="384"/>
    <n v="53.981999999999999"/>
    <n v="3"/>
    <n v="0.4"/>
    <n v="-10.7964"/>
    <n v="64.778400000000005"/>
  </r>
  <r>
    <x v="730"/>
    <d v="2017-08-26T00:00:00"/>
    <x v="0"/>
    <s v="Patrick O'Brill"/>
    <s v="Consumer"/>
    <s v="United States"/>
    <x v="251"/>
    <x v="2"/>
    <x v="0"/>
    <x v="2"/>
    <x v="11"/>
    <x v="781"/>
    <n v="4367.8959999999997"/>
    <n v="13"/>
    <n v="0.2"/>
    <n v="327.59219999999999"/>
    <n v="4040.3037999999997"/>
  </r>
  <r>
    <x v="731"/>
    <d v="2014-08-25T00:00:00"/>
    <x v="0"/>
    <s v="Deanra Eno"/>
    <s v="Home Office"/>
    <s v="United States"/>
    <x v="284"/>
    <x v="24"/>
    <x v="3"/>
    <x v="1"/>
    <x v="8"/>
    <x v="120"/>
    <n v="3.9119999999999999"/>
    <n v="1"/>
    <n v="0.2"/>
    <n v="1.0268999999999999"/>
    <n v="2.8851"/>
  </r>
  <r>
    <x v="732"/>
    <d v="2016-10-04T00:00:00"/>
    <x v="3"/>
    <s v="Mary O'Rourke"/>
    <s v="Consumer"/>
    <s v="United States"/>
    <x v="285"/>
    <x v="5"/>
    <x v="2"/>
    <x v="1"/>
    <x v="10"/>
    <x v="357"/>
    <n v="59.752000000000002"/>
    <n v="7"/>
    <n v="0.2"/>
    <n v="19.4194"/>
    <n v="40.332599999999999"/>
  </r>
  <r>
    <x v="733"/>
    <d v="2014-10-30T00:00:00"/>
    <x v="0"/>
    <s v="Angele Hood"/>
    <s v="Consumer"/>
    <s v="United States"/>
    <x v="4"/>
    <x v="4"/>
    <x v="1"/>
    <x v="0"/>
    <x v="3"/>
    <x v="204"/>
    <n v="63.92"/>
    <n v="4"/>
    <n v="0"/>
    <n v="3.1960000000000002"/>
    <n v="60.724000000000004"/>
  </r>
  <r>
    <x v="317"/>
    <d v="2015-08-02T00:00:00"/>
    <x v="1"/>
    <s v="Helen Andreada"/>
    <s v="Consumer"/>
    <s v="United States"/>
    <x v="8"/>
    <x v="1"/>
    <x v="1"/>
    <x v="1"/>
    <x v="10"/>
    <x v="782"/>
    <n v="167.86"/>
    <n v="2"/>
    <n v="0"/>
    <n v="78.894199999999998"/>
    <n v="88.965800000000016"/>
  </r>
  <r>
    <x v="734"/>
    <d v="2016-01-27T00:00:00"/>
    <x v="2"/>
    <s v="Todd Boyes"/>
    <s v="Corporate"/>
    <s v="United States"/>
    <x v="124"/>
    <x v="30"/>
    <x v="3"/>
    <x v="1"/>
    <x v="8"/>
    <x v="783"/>
    <n v="9.2100000000000009"/>
    <n v="3"/>
    <n v="0"/>
    <n v="2.3025000000000002"/>
    <n v="6.9075000000000006"/>
  </r>
  <r>
    <x v="735"/>
    <d v="2017-10-09T00:00:00"/>
    <x v="1"/>
    <s v="Patrick O'Brill"/>
    <s v="Consumer"/>
    <s v="United States"/>
    <x v="133"/>
    <x v="2"/>
    <x v="0"/>
    <x v="1"/>
    <x v="4"/>
    <x v="784"/>
    <n v="15.552"/>
    <n v="3"/>
    <n v="0.2"/>
    <n v="5.4432"/>
    <n v="10.108799999999999"/>
  </r>
  <r>
    <x v="483"/>
    <d v="2014-03-22T00:00:00"/>
    <x v="3"/>
    <s v="Vivian Mathis"/>
    <s v="Consumer"/>
    <s v="United States"/>
    <x v="286"/>
    <x v="14"/>
    <x v="2"/>
    <x v="1"/>
    <x v="8"/>
    <x v="157"/>
    <n v="16.28"/>
    <n v="2"/>
    <n v="0"/>
    <n v="6.5119999999999996"/>
    <n v="9.7680000000000007"/>
  </r>
  <r>
    <x v="30"/>
    <d v="2016-09-25T00:00:00"/>
    <x v="1"/>
    <s v="Magdelene Morse"/>
    <s v="Consumer"/>
    <s v="United States"/>
    <x v="97"/>
    <x v="15"/>
    <x v="3"/>
    <x v="0"/>
    <x v="9"/>
    <x v="785"/>
    <n v="631.78200000000004"/>
    <n v="2"/>
    <n v="0.1"/>
    <n v="140.39599999999999"/>
    <n v="491.38600000000008"/>
  </r>
  <r>
    <x v="480"/>
    <d v="2014-04-30T00:00:00"/>
    <x v="1"/>
    <s v="Beth Thompson"/>
    <s v="Home Office"/>
    <s v="United States"/>
    <x v="287"/>
    <x v="1"/>
    <x v="1"/>
    <x v="0"/>
    <x v="3"/>
    <x v="639"/>
    <n v="303.25"/>
    <n v="5"/>
    <n v="0"/>
    <n v="63.682499999999997"/>
    <n v="239.5675"/>
  </r>
  <r>
    <x v="417"/>
    <d v="2016-12-27T00:00:00"/>
    <x v="2"/>
    <s v="Roy Collins"/>
    <s v="Consumer"/>
    <s v="United States"/>
    <x v="186"/>
    <x v="22"/>
    <x v="1"/>
    <x v="1"/>
    <x v="8"/>
    <x v="786"/>
    <n v="11.327999999999999"/>
    <n v="2"/>
    <n v="0.2"/>
    <n v="2.5488"/>
    <n v="8.7791999999999994"/>
  </r>
  <r>
    <x v="403"/>
    <d v="2014-05-11T00:00:00"/>
    <x v="1"/>
    <s v="Steve Nguyen"/>
    <s v="Home Office"/>
    <s v="United States"/>
    <x v="1"/>
    <x v="1"/>
    <x v="1"/>
    <x v="1"/>
    <x v="1"/>
    <x v="787"/>
    <n v="5.78"/>
    <n v="2"/>
    <n v="0"/>
    <n v="2.7166000000000001"/>
    <n v="3.0634000000000001"/>
  </r>
  <r>
    <x v="436"/>
    <d v="2014-12-24T00:00:00"/>
    <x v="1"/>
    <s v="Erin Creighton"/>
    <s v="Consumer"/>
    <s v="United States"/>
    <x v="37"/>
    <x v="24"/>
    <x v="3"/>
    <x v="1"/>
    <x v="5"/>
    <x v="788"/>
    <n v="5.484"/>
    <n v="4"/>
    <n v="0.7"/>
    <n v="-4.0216000000000003"/>
    <n v="9.5056000000000012"/>
  </r>
  <r>
    <x v="450"/>
    <d v="2014-03-09T00:00:00"/>
    <x v="1"/>
    <s v="Sanjit Chand"/>
    <s v="Consumer"/>
    <s v="United States"/>
    <x v="288"/>
    <x v="2"/>
    <x v="0"/>
    <x v="1"/>
    <x v="8"/>
    <x v="703"/>
    <n v="15.552"/>
    <n v="3"/>
    <n v="0.2"/>
    <n v="2.3328000000000002"/>
    <n v="13.219199999999999"/>
  </r>
  <r>
    <x v="630"/>
    <d v="2017-05-19T00:00:00"/>
    <x v="2"/>
    <s v="Todd Boyes"/>
    <s v="Corporate"/>
    <s v="United States"/>
    <x v="289"/>
    <x v="32"/>
    <x v="0"/>
    <x v="1"/>
    <x v="6"/>
    <x v="789"/>
    <n v="17.239999999999998"/>
    <n v="2"/>
    <n v="0"/>
    <n v="4.4824000000000002"/>
    <n v="12.757599999999998"/>
  </r>
  <r>
    <x v="358"/>
    <d v="2016-07-26T00:00:00"/>
    <x v="1"/>
    <s v="Dennis Kane"/>
    <s v="Consumer"/>
    <s v="United States"/>
    <x v="16"/>
    <x v="12"/>
    <x v="2"/>
    <x v="2"/>
    <x v="12"/>
    <x v="462"/>
    <n v="109.95"/>
    <n v="1"/>
    <n v="0"/>
    <n v="36.283499999999997"/>
    <n v="73.666500000000013"/>
  </r>
  <r>
    <x v="548"/>
    <d v="2017-03-20T00:00:00"/>
    <x v="1"/>
    <s v="Sanjit Engle"/>
    <s v="Consumer"/>
    <s v="United States"/>
    <x v="56"/>
    <x v="22"/>
    <x v="1"/>
    <x v="1"/>
    <x v="15"/>
    <x v="790"/>
    <n v="1332.4960000000001"/>
    <n v="2"/>
    <n v="0.2"/>
    <n v="-299.8116"/>
    <n v="1632.3076000000001"/>
  </r>
  <r>
    <x v="736"/>
    <d v="2015-08-11T00:00:00"/>
    <x v="1"/>
    <s v="Noel Staavos"/>
    <s v="Corporate"/>
    <s v="United States"/>
    <x v="290"/>
    <x v="42"/>
    <x v="1"/>
    <x v="1"/>
    <x v="5"/>
    <x v="791"/>
    <n v="3.3039999999999998"/>
    <n v="1"/>
    <n v="0.2"/>
    <n v="1.1151"/>
    <n v="2.1888999999999998"/>
  </r>
  <r>
    <x v="737"/>
    <d v="2014-03-28T00:00:00"/>
    <x v="1"/>
    <s v="Carlos Daly"/>
    <s v="Consumer"/>
    <s v="United States"/>
    <x v="19"/>
    <x v="15"/>
    <x v="3"/>
    <x v="1"/>
    <x v="4"/>
    <x v="792"/>
    <n v="24.9"/>
    <n v="5"/>
    <n v="0"/>
    <n v="11.702999999999999"/>
    <n v="13.196999999999999"/>
  </r>
  <r>
    <x v="46"/>
    <d v="2016-09-08T00:00:00"/>
    <x v="2"/>
    <s v="Bruce Geld"/>
    <s v="Consumer"/>
    <s v="United States"/>
    <x v="12"/>
    <x v="5"/>
    <x v="2"/>
    <x v="1"/>
    <x v="7"/>
    <x v="432"/>
    <n v="10.784000000000001"/>
    <n v="1"/>
    <n v="0.2"/>
    <n v="0.80879999999999996"/>
    <n v="9.975200000000001"/>
  </r>
  <r>
    <x v="176"/>
    <d v="2017-06-14T00:00:00"/>
    <x v="1"/>
    <s v="Neil Ducich"/>
    <s v="Corporate"/>
    <s v="United States"/>
    <x v="99"/>
    <x v="2"/>
    <x v="0"/>
    <x v="1"/>
    <x v="7"/>
    <x v="793"/>
    <n v="1347.52"/>
    <n v="8"/>
    <n v="0.2"/>
    <n v="84.22"/>
    <n v="1263.3"/>
  </r>
  <r>
    <x v="738"/>
    <d v="2014-02-26T00:00:00"/>
    <x v="1"/>
    <s v="Linda Cazamias"/>
    <s v="Corporate"/>
    <s v="United States"/>
    <x v="94"/>
    <x v="14"/>
    <x v="2"/>
    <x v="2"/>
    <x v="12"/>
    <x v="794"/>
    <n v="62.31"/>
    <n v="3"/>
    <n v="0"/>
    <n v="22.4316"/>
    <n v="39.878399999999999"/>
  </r>
  <r>
    <x v="739"/>
    <d v="2014-11-06T00:00:00"/>
    <x v="1"/>
    <s v="Roger Demir"/>
    <s v="Consumer"/>
    <s v="United States"/>
    <x v="19"/>
    <x v="15"/>
    <x v="3"/>
    <x v="1"/>
    <x v="1"/>
    <x v="294"/>
    <n v="34.86"/>
    <n v="7"/>
    <n v="0"/>
    <n v="16.035599999999999"/>
    <n v="18.824400000000001"/>
  </r>
  <r>
    <x v="740"/>
    <d v="2016-11-18T00:00:00"/>
    <x v="1"/>
    <s v="Kelly Collister"/>
    <s v="Consumer"/>
    <s v="United States"/>
    <x v="12"/>
    <x v="5"/>
    <x v="2"/>
    <x v="1"/>
    <x v="5"/>
    <x v="569"/>
    <n v="2.2959999999999998"/>
    <n v="2"/>
    <n v="0.8"/>
    <n v="-3.9032"/>
    <n v="6.1991999999999994"/>
  </r>
  <r>
    <x v="741"/>
    <d v="2015-07-17T00:00:00"/>
    <x v="0"/>
    <s v="Rob Lucas"/>
    <s v="Consumer"/>
    <s v="United States"/>
    <x v="21"/>
    <x v="10"/>
    <x v="2"/>
    <x v="0"/>
    <x v="9"/>
    <x v="795"/>
    <n v="383.60700000000003"/>
    <n v="9"/>
    <n v="0.3"/>
    <n v="-5.4801000000000002"/>
    <n v="389.08710000000002"/>
  </r>
  <r>
    <x v="434"/>
    <d v="2017-05-02T00:00:00"/>
    <x v="2"/>
    <s v="Neoma Murray"/>
    <s v="Consumer"/>
    <s v="United States"/>
    <x v="82"/>
    <x v="29"/>
    <x v="3"/>
    <x v="1"/>
    <x v="1"/>
    <x v="796"/>
    <n v="5.76"/>
    <n v="2"/>
    <n v="0"/>
    <n v="2.8224"/>
    <n v="2.9375999999999998"/>
  </r>
  <r>
    <x v="574"/>
    <d v="2015-01-05T00:00:00"/>
    <x v="1"/>
    <s v="Candace McMahon"/>
    <s v="Corporate"/>
    <s v="United States"/>
    <x v="198"/>
    <x v="5"/>
    <x v="2"/>
    <x v="1"/>
    <x v="10"/>
    <x v="70"/>
    <n v="49.567999999999998"/>
    <n v="2"/>
    <n v="0.2"/>
    <n v="17.968399999999999"/>
    <n v="31.599599999999999"/>
  </r>
  <r>
    <x v="742"/>
    <d v="2014-04-21T00:00:00"/>
    <x v="0"/>
    <s v="Nicole Fjeld"/>
    <s v="Home Office"/>
    <s v="United States"/>
    <x v="46"/>
    <x v="1"/>
    <x v="1"/>
    <x v="0"/>
    <x v="3"/>
    <x v="797"/>
    <n v="76.14"/>
    <n v="3"/>
    <n v="0"/>
    <n v="26.649000000000001"/>
    <n v="49.491"/>
  </r>
  <r>
    <x v="743"/>
    <d v="2016-12-18T00:00:00"/>
    <x v="1"/>
    <s v="Matthew Grinstein"/>
    <s v="Home Office"/>
    <s v="United States"/>
    <x v="24"/>
    <x v="12"/>
    <x v="2"/>
    <x v="2"/>
    <x v="11"/>
    <x v="565"/>
    <n v="657.93"/>
    <n v="7"/>
    <n v="0"/>
    <n v="184.22040000000001"/>
    <n v="473.70959999999991"/>
  </r>
  <r>
    <x v="696"/>
    <d v="2014-04-16T00:00:00"/>
    <x v="1"/>
    <s v="Sanjit Engle"/>
    <s v="Consumer"/>
    <s v="United States"/>
    <x v="291"/>
    <x v="42"/>
    <x v="1"/>
    <x v="1"/>
    <x v="5"/>
    <x v="575"/>
    <n v="9.5839999999999996"/>
    <n v="1"/>
    <n v="0.2"/>
    <n v="3.3544"/>
    <n v="6.2295999999999996"/>
  </r>
  <r>
    <x v="744"/>
    <d v="2015-06-15T00:00:00"/>
    <x v="1"/>
    <s v="Anthony Garverick"/>
    <s v="Home Office"/>
    <s v="United States"/>
    <x v="292"/>
    <x v="17"/>
    <x v="0"/>
    <x v="1"/>
    <x v="5"/>
    <x v="193"/>
    <n v="113.1"/>
    <n v="3"/>
    <n v="0"/>
    <n v="56.55"/>
    <n v="56.55"/>
  </r>
  <r>
    <x v="745"/>
    <d v="2015-08-06T00:00:00"/>
    <x v="1"/>
    <s v="Allen Rosenblatt"/>
    <s v="Corporate"/>
    <s v="United States"/>
    <x v="293"/>
    <x v="35"/>
    <x v="0"/>
    <x v="2"/>
    <x v="12"/>
    <x v="108"/>
    <n v="239.7"/>
    <n v="6"/>
    <n v="0"/>
    <n v="105.468"/>
    <n v="134.23199999999997"/>
  </r>
  <r>
    <x v="746"/>
    <d v="2016-01-26T00:00:00"/>
    <x v="0"/>
    <s v="Henry Goldwyn"/>
    <s v="Corporate"/>
    <s v="United States"/>
    <x v="176"/>
    <x v="35"/>
    <x v="0"/>
    <x v="1"/>
    <x v="5"/>
    <x v="798"/>
    <n v="31.36"/>
    <n v="4"/>
    <n v="0"/>
    <n v="15.68"/>
    <n v="15.68"/>
  </r>
  <r>
    <x v="626"/>
    <d v="2015-09-26T00:00:00"/>
    <x v="1"/>
    <s v="Tracy Hopkins"/>
    <s v="Home Office"/>
    <s v="United States"/>
    <x v="294"/>
    <x v="31"/>
    <x v="3"/>
    <x v="2"/>
    <x v="11"/>
    <x v="799"/>
    <n v="589.9"/>
    <n v="2"/>
    <n v="0"/>
    <n v="147.47499999999999"/>
    <n v="442.42499999999995"/>
  </r>
  <r>
    <x v="100"/>
    <d v="2016-09-16T00:00:00"/>
    <x v="1"/>
    <s v="Jill Fjeld"/>
    <s v="Consumer"/>
    <s v="United States"/>
    <x v="239"/>
    <x v="17"/>
    <x v="0"/>
    <x v="2"/>
    <x v="16"/>
    <x v="800"/>
    <n v="1599.92"/>
    <n v="8"/>
    <n v="0"/>
    <n v="751.9624"/>
    <n v="847.95760000000007"/>
  </r>
  <r>
    <x v="353"/>
    <d v="2016-08-16T00:00:00"/>
    <x v="1"/>
    <s v="Becky Castell"/>
    <s v="Home Office"/>
    <s v="United States"/>
    <x v="19"/>
    <x v="15"/>
    <x v="3"/>
    <x v="0"/>
    <x v="9"/>
    <x v="179"/>
    <n v="145.76400000000001"/>
    <n v="2"/>
    <n v="0.1"/>
    <n v="-8.0980000000000008"/>
    <n v="153.86200000000002"/>
  </r>
  <r>
    <x v="747"/>
    <d v="2014-06-05T00:00:00"/>
    <x v="1"/>
    <s v="Ellis Ballard"/>
    <s v="Corporate"/>
    <s v="United States"/>
    <x v="94"/>
    <x v="17"/>
    <x v="0"/>
    <x v="1"/>
    <x v="4"/>
    <x v="801"/>
    <n v="13.62"/>
    <n v="3"/>
    <n v="0"/>
    <n v="6.1289999999999996"/>
    <n v="7.4909999999999997"/>
  </r>
  <r>
    <x v="748"/>
    <d v="2016-01-17T00:00:00"/>
    <x v="1"/>
    <s v="Ken Black"/>
    <s v="Corporate"/>
    <s v="United States"/>
    <x v="4"/>
    <x v="4"/>
    <x v="1"/>
    <x v="0"/>
    <x v="3"/>
    <x v="414"/>
    <n v="79.92"/>
    <n v="4"/>
    <n v="0"/>
    <n v="34.365600000000001"/>
    <n v="45.554400000000001"/>
  </r>
  <r>
    <x v="363"/>
    <d v="2014-12-22T00:00:00"/>
    <x v="2"/>
    <s v="Carol Triggs"/>
    <s v="Consumer"/>
    <s v="United States"/>
    <x v="84"/>
    <x v="16"/>
    <x v="1"/>
    <x v="0"/>
    <x v="3"/>
    <x v="666"/>
    <n v="51.968000000000004"/>
    <n v="2"/>
    <n v="0.2"/>
    <n v="10.393599999999999"/>
    <n v="41.574400000000004"/>
  </r>
  <r>
    <x v="514"/>
    <d v="2016-05-18T00:00:00"/>
    <x v="2"/>
    <s v="Arthur Gainer"/>
    <s v="Consumer"/>
    <s v="United States"/>
    <x v="295"/>
    <x v="29"/>
    <x v="3"/>
    <x v="1"/>
    <x v="15"/>
    <x v="802"/>
    <n v="65.17"/>
    <n v="7"/>
    <n v="0"/>
    <n v="18.8993"/>
    <n v="46.270700000000005"/>
  </r>
  <r>
    <x v="560"/>
    <d v="2014-03-31T00:00:00"/>
    <x v="3"/>
    <s v="Jas O'Carroll"/>
    <s v="Consumer"/>
    <s v="United States"/>
    <x v="10"/>
    <x v="9"/>
    <x v="3"/>
    <x v="1"/>
    <x v="5"/>
    <x v="803"/>
    <n v="0.85199999999999998"/>
    <n v="1"/>
    <n v="0.7"/>
    <n v="-0.59640000000000004"/>
    <n v="1.4483999999999999"/>
  </r>
  <r>
    <x v="749"/>
    <d v="2015-10-11T00:00:00"/>
    <x v="2"/>
    <s v="Denny Joy"/>
    <s v="Corporate"/>
    <s v="United States"/>
    <x v="8"/>
    <x v="1"/>
    <x v="1"/>
    <x v="1"/>
    <x v="4"/>
    <x v="734"/>
    <n v="45.36"/>
    <n v="7"/>
    <n v="0"/>
    <n v="21.7728"/>
    <n v="23.587199999999999"/>
  </r>
  <r>
    <x v="23"/>
    <d v="2015-04-20T00:00:00"/>
    <x v="0"/>
    <s v="Deanra Eno"/>
    <s v="Home Office"/>
    <s v="United States"/>
    <x v="1"/>
    <x v="1"/>
    <x v="1"/>
    <x v="1"/>
    <x v="7"/>
    <x v="804"/>
    <n v="947.17"/>
    <n v="7"/>
    <n v="0"/>
    <n v="9.4717000000000002"/>
    <n v="937.6982999999999"/>
  </r>
  <r>
    <x v="750"/>
    <d v="2016-05-22T00:00:00"/>
    <x v="3"/>
    <s v="Jeremy Farry"/>
    <s v="Consumer"/>
    <s v="United States"/>
    <x v="296"/>
    <x v="32"/>
    <x v="0"/>
    <x v="1"/>
    <x v="1"/>
    <x v="805"/>
    <n v="14.73"/>
    <n v="3"/>
    <n v="0"/>
    <n v="7.2176999999999998"/>
    <n v="7.5123000000000006"/>
  </r>
  <r>
    <x v="691"/>
    <d v="2016-03-03T00:00:00"/>
    <x v="3"/>
    <s v="Theresa Swint"/>
    <s v="Corporate"/>
    <s v="United States"/>
    <x v="8"/>
    <x v="1"/>
    <x v="1"/>
    <x v="1"/>
    <x v="15"/>
    <x v="806"/>
    <n v="25.35"/>
    <n v="3"/>
    <n v="0"/>
    <n v="7.6050000000000004"/>
    <n v="17.745000000000001"/>
  </r>
  <r>
    <x v="680"/>
    <d v="2016-10-09T00:00:00"/>
    <x v="2"/>
    <s v="Dionis Lloyd"/>
    <s v="Corporate"/>
    <s v="United States"/>
    <x v="215"/>
    <x v="4"/>
    <x v="1"/>
    <x v="2"/>
    <x v="14"/>
    <x v="807"/>
    <n v="837.6"/>
    <n v="3"/>
    <n v="0.2"/>
    <n v="62.82"/>
    <n v="774.78"/>
  </r>
  <r>
    <x v="401"/>
    <d v="2017-06-03T00:00:00"/>
    <x v="3"/>
    <s v="Cari Schnelling"/>
    <s v="Consumer"/>
    <s v="United States"/>
    <x v="99"/>
    <x v="3"/>
    <x v="0"/>
    <x v="1"/>
    <x v="4"/>
    <x v="808"/>
    <n v="25.344000000000001"/>
    <n v="4"/>
    <n v="0.2"/>
    <n v="9.1872000000000007"/>
    <n v="16.1568"/>
  </r>
  <r>
    <x v="535"/>
    <d v="2014-11-03T00:00:00"/>
    <x v="0"/>
    <s v="Amy Cox"/>
    <s v="Consumer"/>
    <s v="United States"/>
    <x v="297"/>
    <x v="16"/>
    <x v="1"/>
    <x v="2"/>
    <x v="11"/>
    <x v="371"/>
    <n v="742.33600000000001"/>
    <n v="8"/>
    <n v="0.2"/>
    <n v="83.512799999999999"/>
    <n v="658.82320000000004"/>
  </r>
  <r>
    <x v="286"/>
    <d v="2016-02-23T00:00:00"/>
    <x v="0"/>
    <s v="Cyma Kinney"/>
    <s v="Corporate"/>
    <s v="United States"/>
    <x v="76"/>
    <x v="15"/>
    <x v="3"/>
    <x v="1"/>
    <x v="1"/>
    <x v="787"/>
    <n v="8.67"/>
    <n v="3"/>
    <n v="0"/>
    <n v="4.0749000000000004"/>
    <n v="4.5950999999999995"/>
  </r>
  <r>
    <x v="751"/>
    <d v="2014-07-10T00:00:00"/>
    <x v="2"/>
    <s v="Michelle Huthwaite"/>
    <s v="Consumer"/>
    <s v="United States"/>
    <x v="278"/>
    <x v="15"/>
    <x v="3"/>
    <x v="0"/>
    <x v="9"/>
    <x v="756"/>
    <n v="63.881999999999998"/>
    <n v="1"/>
    <n v="0.1"/>
    <n v="10.647"/>
    <n v="53.234999999999999"/>
  </r>
  <r>
    <x v="416"/>
    <d v="2017-02-01T00:00:00"/>
    <x v="1"/>
    <s v="Giulietta Baptist"/>
    <s v="Consumer"/>
    <s v="United States"/>
    <x v="298"/>
    <x v="43"/>
    <x v="2"/>
    <x v="1"/>
    <x v="4"/>
    <x v="490"/>
    <n v="279.89999999999998"/>
    <n v="5"/>
    <n v="0"/>
    <n v="137.15100000000001"/>
    <n v="142.74899999999997"/>
  </r>
  <r>
    <x v="752"/>
    <d v="2015-07-04T00:00:00"/>
    <x v="1"/>
    <s v="Michelle Moray"/>
    <s v="Consumer"/>
    <s v="United States"/>
    <x v="19"/>
    <x v="15"/>
    <x v="3"/>
    <x v="1"/>
    <x v="4"/>
    <x v="422"/>
    <n v="24.96"/>
    <n v="4"/>
    <n v="0"/>
    <n v="11.231999999999999"/>
    <n v="13.728000000000002"/>
  </r>
  <r>
    <x v="672"/>
    <d v="2015-08-17T00:00:00"/>
    <x v="1"/>
    <s v="Clytie Kelty"/>
    <s v="Consumer"/>
    <s v="United States"/>
    <x v="299"/>
    <x v="32"/>
    <x v="0"/>
    <x v="1"/>
    <x v="5"/>
    <x v="635"/>
    <n v="5.64"/>
    <n v="3"/>
    <n v="0"/>
    <n v="2.7071999999999998"/>
    <n v="2.9327999999999999"/>
  </r>
  <r>
    <x v="753"/>
    <d v="2016-05-19T00:00:00"/>
    <x v="1"/>
    <s v="Michael Kennedy"/>
    <s v="Corporate"/>
    <s v="United States"/>
    <x v="99"/>
    <x v="2"/>
    <x v="0"/>
    <x v="1"/>
    <x v="5"/>
    <x v="626"/>
    <n v="57.582000000000001"/>
    <n v="3"/>
    <n v="0.7"/>
    <n v="-44.1462"/>
    <n v="101.7282"/>
  </r>
  <r>
    <x v="754"/>
    <d v="2017-07-17T00:00:00"/>
    <x v="0"/>
    <s v="Mark Hamilton"/>
    <s v="Consumer"/>
    <s v="United States"/>
    <x v="10"/>
    <x v="9"/>
    <x v="3"/>
    <x v="2"/>
    <x v="11"/>
    <x v="809"/>
    <n v="39.594000000000001"/>
    <n v="1"/>
    <n v="0.4"/>
    <n v="-7.2588999999999997"/>
    <n v="46.852899999999998"/>
  </r>
  <r>
    <x v="16"/>
    <d v="2015-12-30T00:00:00"/>
    <x v="2"/>
    <s v="Richard Eichhorn"/>
    <s v="Consumer"/>
    <s v="United States"/>
    <x v="257"/>
    <x v="6"/>
    <x v="2"/>
    <x v="1"/>
    <x v="4"/>
    <x v="810"/>
    <n v="195.64"/>
    <n v="4"/>
    <n v="0"/>
    <n v="91.950800000000001"/>
    <n v="103.68919999999999"/>
  </r>
  <r>
    <x v="755"/>
    <d v="2015-04-11T00:00:00"/>
    <x v="1"/>
    <s v="Peter Fuller"/>
    <s v="Consumer"/>
    <s v="United States"/>
    <x v="49"/>
    <x v="5"/>
    <x v="2"/>
    <x v="1"/>
    <x v="6"/>
    <x v="811"/>
    <n v="463.24799999999999"/>
    <n v="8"/>
    <n v="0.8"/>
    <n v="-1181.2824000000001"/>
    <n v="1644.5304000000001"/>
  </r>
  <r>
    <x v="324"/>
    <d v="2017-10-04T00:00:00"/>
    <x v="1"/>
    <s v="Jas O'Carroll"/>
    <s v="Consumer"/>
    <s v="United States"/>
    <x v="25"/>
    <x v="18"/>
    <x v="0"/>
    <x v="1"/>
    <x v="7"/>
    <x v="812"/>
    <n v="243.92"/>
    <n v="5"/>
    <n v="0.2"/>
    <n v="-54.881999999999998"/>
    <n v="298.80199999999996"/>
  </r>
  <r>
    <x v="756"/>
    <d v="2015-07-26T00:00:00"/>
    <x v="0"/>
    <s v="Melanie Seite"/>
    <s v="Consumer"/>
    <s v="United States"/>
    <x v="29"/>
    <x v="15"/>
    <x v="3"/>
    <x v="1"/>
    <x v="5"/>
    <x v="813"/>
    <n v="10.512"/>
    <n v="3"/>
    <n v="0.2"/>
    <n v="3.6791999999999998"/>
    <n v="6.8328000000000007"/>
  </r>
  <r>
    <x v="757"/>
    <d v="2015-01-17T00:00:00"/>
    <x v="1"/>
    <s v="Philip Brown"/>
    <s v="Consumer"/>
    <s v="United States"/>
    <x v="1"/>
    <x v="1"/>
    <x v="1"/>
    <x v="1"/>
    <x v="5"/>
    <x v="701"/>
    <n v="70.007999999999996"/>
    <n v="3"/>
    <n v="0.2"/>
    <n v="24.502800000000001"/>
    <n v="45.505199999999995"/>
  </r>
  <r>
    <x v="758"/>
    <d v="2017-05-27T00:00:00"/>
    <x v="1"/>
    <s v="Ken Lonsdale"/>
    <s v="Consumer"/>
    <s v="United States"/>
    <x v="12"/>
    <x v="5"/>
    <x v="2"/>
    <x v="1"/>
    <x v="13"/>
    <x v="814"/>
    <n v="1.8240000000000001"/>
    <n v="2"/>
    <n v="0.2"/>
    <n v="0.61560000000000004"/>
    <n v="1.2084000000000001"/>
  </r>
  <r>
    <x v="406"/>
    <d v="2014-10-09T00:00:00"/>
    <x v="1"/>
    <s v="Sara Luxemburg"/>
    <s v="Home Office"/>
    <s v="United States"/>
    <x v="27"/>
    <x v="3"/>
    <x v="0"/>
    <x v="1"/>
    <x v="7"/>
    <x v="669"/>
    <n v="61.567999999999998"/>
    <n v="2"/>
    <n v="0.2"/>
    <n v="4.6176000000000004"/>
    <n v="56.950399999999995"/>
  </r>
  <r>
    <x v="133"/>
    <d v="2017-03-15T00:00:00"/>
    <x v="1"/>
    <s v="Alan Hwang"/>
    <s v="Consumer"/>
    <s v="United States"/>
    <x v="114"/>
    <x v="1"/>
    <x v="1"/>
    <x v="1"/>
    <x v="5"/>
    <x v="815"/>
    <n v="171.2"/>
    <n v="5"/>
    <n v="0.2"/>
    <n v="64.2"/>
    <n v="106.99999999999999"/>
  </r>
  <r>
    <x v="759"/>
    <d v="2014-10-17T00:00:00"/>
    <x v="2"/>
    <s v="Anna Chung"/>
    <s v="Consumer"/>
    <s v="United States"/>
    <x v="300"/>
    <x v="24"/>
    <x v="3"/>
    <x v="0"/>
    <x v="9"/>
    <x v="816"/>
    <n v="183.37200000000001"/>
    <n v="2"/>
    <n v="0.3"/>
    <n v="-7.8587999999999996"/>
    <n v="191.23080000000002"/>
  </r>
  <r>
    <x v="760"/>
    <d v="2014-09-03T00:00:00"/>
    <x v="2"/>
    <s v="Katherine Ducich"/>
    <s v="Consumer"/>
    <s v="United States"/>
    <x v="19"/>
    <x v="15"/>
    <x v="3"/>
    <x v="1"/>
    <x v="8"/>
    <x v="817"/>
    <n v="57.75"/>
    <n v="5"/>
    <n v="0"/>
    <n v="16.170000000000002"/>
    <n v="41.58"/>
  </r>
  <r>
    <x v="562"/>
    <d v="2015-10-04T00:00:00"/>
    <x v="1"/>
    <s v="Zuschuss Carroll"/>
    <s v="Consumer"/>
    <s v="United States"/>
    <x v="33"/>
    <x v="22"/>
    <x v="1"/>
    <x v="1"/>
    <x v="10"/>
    <x v="818"/>
    <n v="12.536"/>
    <n v="1"/>
    <n v="0.2"/>
    <n v="4.2309000000000001"/>
    <n v="8.3050999999999995"/>
  </r>
  <r>
    <x v="761"/>
    <d v="2015-03-21T00:00:00"/>
    <x v="1"/>
    <s v="Karen Seio"/>
    <s v="Corporate"/>
    <s v="United States"/>
    <x v="301"/>
    <x v="7"/>
    <x v="1"/>
    <x v="2"/>
    <x v="11"/>
    <x v="819"/>
    <n v="16.776"/>
    <n v="3"/>
    <n v="0.2"/>
    <n v="1.6776"/>
    <n v="15.0984"/>
  </r>
  <r>
    <x v="744"/>
    <d v="2015-06-13T00:00:00"/>
    <x v="1"/>
    <s v="Nathan Cano"/>
    <s v="Consumer"/>
    <s v="United States"/>
    <x v="172"/>
    <x v="12"/>
    <x v="2"/>
    <x v="1"/>
    <x v="4"/>
    <x v="303"/>
    <n v="12.96"/>
    <n v="2"/>
    <n v="0"/>
    <n v="6.2207999999999997"/>
    <n v="6.7392000000000012"/>
  </r>
  <r>
    <x v="762"/>
    <d v="2015-08-05T00:00:00"/>
    <x v="0"/>
    <s v="Brad Eason"/>
    <s v="Home Office"/>
    <s v="United States"/>
    <x v="180"/>
    <x v="34"/>
    <x v="3"/>
    <x v="2"/>
    <x v="11"/>
    <x v="820"/>
    <n v="128.85"/>
    <n v="3"/>
    <n v="0"/>
    <n v="3.8654999999999999"/>
    <n v="124.9845"/>
  </r>
  <r>
    <x v="677"/>
    <d v="2015-09-10T00:00:00"/>
    <x v="1"/>
    <s v="Cyma Kinney"/>
    <s v="Corporate"/>
    <s v="United States"/>
    <x v="264"/>
    <x v="18"/>
    <x v="0"/>
    <x v="1"/>
    <x v="13"/>
    <x v="821"/>
    <n v="7.24"/>
    <n v="5"/>
    <n v="0.2"/>
    <n v="1.1765000000000001"/>
    <n v="6.0635000000000003"/>
  </r>
  <r>
    <x v="119"/>
    <d v="2014-11-10T00:00:00"/>
    <x v="1"/>
    <s v="Sam Zeldin"/>
    <s v="Home Office"/>
    <s v="United States"/>
    <x v="19"/>
    <x v="15"/>
    <x v="3"/>
    <x v="1"/>
    <x v="5"/>
    <x v="822"/>
    <n v="52.064"/>
    <n v="4"/>
    <n v="0.2"/>
    <n v="18.873200000000001"/>
    <n v="33.190799999999996"/>
  </r>
  <r>
    <x v="763"/>
    <d v="2016-02-04T00:00:00"/>
    <x v="1"/>
    <s v="Sample Company A"/>
    <s v="Home Office"/>
    <s v="United States"/>
    <x v="1"/>
    <x v="1"/>
    <x v="1"/>
    <x v="2"/>
    <x v="11"/>
    <x v="735"/>
    <n v="109.592"/>
    <n v="1"/>
    <n v="0.2"/>
    <n v="8.2194000000000003"/>
    <n v="101.37260000000001"/>
  </r>
  <r>
    <x v="680"/>
    <d v="2016-10-12T00:00:00"/>
    <x v="1"/>
    <s v="Cindy Chapman"/>
    <s v="Consumer"/>
    <s v="United States"/>
    <x v="1"/>
    <x v="1"/>
    <x v="1"/>
    <x v="1"/>
    <x v="4"/>
    <x v="823"/>
    <n v="10.56"/>
    <n v="2"/>
    <n v="0"/>
    <n v="5.0688000000000004"/>
    <n v="5.4912000000000001"/>
  </r>
  <r>
    <x v="764"/>
    <d v="2014-05-02T00:00:00"/>
    <x v="0"/>
    <s v="Tamara Manning"/>
    <s v="Consumer"/>
    <s v="United States"/>
    <x v="24"/>
    <x v="35"/>
    <x v="0"/>
    <x v="2"/>
    <x v="12"/>
    <x v="824"/>
    <n v="47.79"/>
    <n v="3"/>
    <n v="0"/>
    <n v="16.2486"/>
    <n v="31.541399999999999"/>
  </r>
  <r>
    <x v="765"/>
    <d v="2017-05-13T00:00:00"/>
    <x v="2"/>
    <s v="Todd Sumrall"/>
    <s v="Corporate"/>
    <s v="United States"/>
    <x v="153"/>
    <x v="16"/>
    <x v="1"/>
    <x v="0"/>
    <x v="0"/>
    <x v="825"/>
    <n v="209.97900000000001"/>
    <n v="7"/>
    <n v="0.7"/>
    <n v="-356.96429999999998"/>
    <n v="566.94330000000002"/>
  </r>
  <r>
    <x v="760"/>
    <d v="2014-09-07T00:00:00"/>
    <x v="0"/>
    <s v="Christina VanderZanden"/>
    <s v="Consumer"/>
    <s v="United States"/>
    <x v="21"/>
    <x v="10"/>
    <x v="2"/>
    <x v="2"/>
    <x v="12"/>
    <x v="826"/>
    <n v="239.976"/>
    <n v="3"/>
    <n v="0.2"/>
    <n v="53.994599999999998"/>
    <n v="185.98140000000001"/>
  </r>
  <r>
    <x v="94"/>
    <d v="2015-08-13T00:00:00"/>
    <x v="0"/>
    <s v="Hallie Redmond"/>
    <s v="Home Office"/>
    <s v="United States"/>
    <x v="143"/>
    <x v="6"/>
    <x v="2"/>
    <x v="0"/>
    <x v="0"/>
    <x v="827"/>
    <n v="687.4"/>
    <n v="5"/>
    <n v="0"/>
    <n v="48.118000000000002"/>
    <n v="639.28199999999993"/>
  </r>
  <r>
    <x v="766"/>
    <d v="2015-07-12T00:00:00"/>
    <x v="2"/>
    <s v="Todd Sumrall"/>
    <s v="Corporate"/>
    <s v="United States"/>
    <x v="92"/>
    <x v="13"/>
    <x v="3"/>
    <x v="0"/>
    <x v="2"/>
    <x v="335"/>
    <n v="199.83600000000001"/>
    <n v="4"/>
    <n v="0.3"/>
    <n v="-37.112400000000001"/>
    <n v="236.94840000000002"/>
  </r>
  <r>
    <x v="303"/>
    <d v="2016-11-13T00:00:00"/>
    <x v="0"/>
    <s v="Arianne Irving"/>
    <s v="Consumer"/>
    <s v="United States"/>
    <x v="1"/>
    <x v="1"/>
    <x v="1"/>
    <x v="1"/>
    <x v="4"/>
    <x v="828"/>
    <n v="67.709999999999994"/>
    <n v="3"/>
    <n v="0"/>
    <n v="32.500799999999998"/>
    <n v="35.209199999999996"/>
  </r>
  <r>
    <x v="560"/>
    <d v="2014-04-04T00:00:00"/>
    <x v="1"/>
    <s v="Dorothy Dickinson"/>
    <s v="Consumer"/>
    <s v="United States"/>
    <x v="21"/>
    <x v="10"/>
    <x v="2"/>
    <x v="1"/>
    <x v="5"/>
    <x v="327"/>
    <n v="8.1340000000000003"/>
    <n v="7"/>
    <n v="0.8"/>
    <n v="-13.8278"/>
    <n v="21.9618"/>
  </r>
  <r>
    <x v="767"/>
    <d v="2016-04-07T00:00:00"/>
    <x v="1"/>
    <s v="Carlos Soltero"/>
    <s v="Consumer"/>
    <s v="United States"/>
    <x v="10"/>
    <x v="9"/>
    <x v="3"/>
    <x v="1"/>
    <x v="5"/>
    <x v="829"/>
    <n v="99.846000000000004"/>
    <n v="9"/>
    <n v="0.7"/>
    <n v="-83.204999999999998"/>
    <n v="183.05099999999999"/>
  </r>
  <r>
    <x v="213"/>
    <d v="2014-08-12T00:00:00"/>
    <x v="1"/>
    <s v="Matt Abelman"/>
    <s v="Home Office"/>
    <s v="United States"/>
    <x v="136"/>
    <x v="12"/>
    <x v="2"/>
    <x v="2"/>
    <x v="16"/>
    <x v="830"/>
    <n v="549.99"/>
    <n v="1"/>
    <n v="0"/>
    <n v="274.995"/>
    <n v="274.995"/>
  </r>
  <r>
    <x v="768"/>
    <d v="2014-04-22T00:00:00"/>
    <x v="0"/>
    <s v="Seth Vernon"/>
    <s v="Consumer"/>
    <s v="United States"/>
    <x v="12"/>
    <x v="5"/>
    <x v="2"/>
    <x v="0"/>
    <x v="2"/>
    <x v="99"/>
    <n v="744.1"/>
    <n v="5"/>
    <n v="0.3"/>
    <n v="-95.67"/>
    <n v="839.77"/>
  </r>
  <r>
    <x v="763"/>
    <d v="2016-02-02T00:00:00"/>
    <x v="0"/>
    <s v="Aimee Bixby"/>
    <s v="Consumer"/>
    <s v="United States"/>
    <x v="57"/>
    <x v="5"/>
    <x v="2"/>
    <x v="1"/>
    <x v="4"/>
    <x v="831"/>
    <n v="15.552"/>
    <n v="3"/>
    <n v="0.2"/>
    <n v="5.4432"/>
    <n v="10.108799999999999"/>
  </r>
  <r>
    <x v="634"/>
    <d v="2017-07-29T00:00:00"/>
    <x v="1"/>
    <s v="Dorothy Dickinson"/>
    <s v="Consumer"/>
    <s v="United States"/>
    <x v="10"/>
    <x v="9"/>
    <x v="3"/>
    <x v="1"/>
    <x v="1"/>
    <x v="832"/>
    <n v="3.3039999999999998"/>
    <n v="1"/>
    <n v="0.2"/>
    <n v="1.0738000000000001"/>
    <n v="2.2302"/>
  </r>
  <r>
    <x v="110"/>
    <d v="2015-10-03T00:00:00"/>
    <x v="1"/>
    <s v="Gene McClure"/>
    <s v="Consumer"/>
    <s v="United States"/>
    <x v="134"/>
    <x v="15"/>
    <x v="3"/>
    <x v="1"/>
    <x v="13"/>
    <x v="833"/>
    <n v="34.44"/>
    <n v="3"/>
    <n v="0"/>
    <n v="16.186800000000002"/>
    <n v="18.253199999999996"/>
  </r>
  <r>
    <x v="769"/>
    <d v="2015-06-27T00:00:00"/>
    <x v="1"/>
    <s v="Emily Phan"/>
    <s v="Consumer"/>
    <s v="United States"/>
    <x v="182"/>
    <x v="2"/>
    <x v="0"/>
    <x v="2"/>
    <x v="11"/>
    <x v="528"/>
    <n v="107.976"/>
    <n v="3"/>
    <n v="0.2"/>
    <n v="37.791600000000003"/>
    <n v="70.184399999999997"/>
  </r>
  <r>
    <x v="516"/>
    <d v="2015-11-12T00:00:00"/>
    <x v="1"/>
    <s v="Shaun Weien"/>
    <s v="Consumer"/>
    <s v="United States"/>
    <x v="8"/>
    <x v="1"/>
    <x v="1"/>
    <x v="2"/>
    <x v="12"/>
    <x v="834"/>
    <n v="119.9"/>
    <n v="2"/>
    <n v="0"/>
    <n v="43.164000000000001"/>
    <n v="76.736000000000004"/>
  </r>
  <r>
    <x v="59"/>
    <d v="2017-02-07T00:00:00"/>
    <x v="1"/>
    <s v="John Lee"/>
    <s v="Consumer"/>
    <s v="United States"/>
    <x v="1"/>
    <x v="1"/>
    <x v="1"/>
    <x v="0"/>
    <x v="3"/>
    <x v="216"/>
    <n v="86.26"/>
    <n v="2"/>
    <n v="0"/>
    <n v="29.328399999999998"/>
    <n v="56.931600000000003"/>
  </r>
  <r>
    <x v="770"/>
    <d v="2016-05-29T00:00:00"/>
    <x v="0"/>
    <s v="Laura Armstrong"/>
    <s v="Corporate"/>
    <s v="United States"/>
    <x v="62"/>
    <x v="12"/>
    <x v="2"/>
    <x v="0"/>
    <x v="9"/>
    <x v="215"/>
    <n v="3504.9"/>
    <n v="5"/>
    <n v="0"/>
    <n v="700.98"/>
    <n v="2803.92"/>
  </r>
  <r>
    <x v="771"/>
    <d v="2015-01-18T00:00:00"/>
    <x v="1"/>
    <s v="Yana Sorensen"/>
    <s v="Corporate"/>
    <s v="United States"/>
    <x v="43"/>
    <x v="13"/>
    <x v="3"/>
    <x v="1"/>
    <x v="7"/>
    <x v="835"/>
    <n v="465.18"/>
    <n v="3"/>
    <n v="0"/>
    <n v="120.9468"/>
    <n v="344.23320000000001"/>
  </r>
  <r>
    <x v="772"/>
    <d v="2014-06-20T00:00:00"/>
    <x v="1"/>
    <s v="Sharelle Roach"/>
    <s v="Home Office"/>
    <s v="United States"/>
    <x v="62"/>
    <x v="12"/>
    <x v="2"/>
    <x v="0"/>
    <x v="0"/>
    <x v="836"/>
    <n v="212.94"/>
    <n v="3"/>
    <n v="0"/>
    <n v="57.4938"/>
    <n v="155.4462"/>
  </r>
  <r>
    <x v="773"/>
    <d v="2014-03-11T00:00:00"/>
    <x v="0"/>
    <s v="Nora Pelletier"/>
    <s v="Home Office"/>
    <s v="United States"/>
    <x v="87"/>
    <x v="4"/>
    <x v="1"/>
    <x v="1"/>
    <x v="5"/>
    <x v="508"/>
    <n v="107.648"/>
    <n v="2"/>
    <n v="0.2"/>
    <n v="33.64"/>
    <n v="74.007999999999996"/>
  </r>
  <r>
    <x v="490"/>
    <d v="2016-08-14T00:00:00"/>
    <x v="1"/>
    <s v="Charles Crestani"/>
    <s v="Consumer"/>
    <s v="United States"/>
    <x v="242"/>
    <x v="26"/>
    <x v="2"/>
    <x v="1"/>
    <x v="4"/>
    <x v="677"/>
    <n v="10.56"/>
    <n v="2"/>
    <n v="0"/>
    <n v="4.7519999999999998"/>
    <n v="5.8080000000000007"/>
  </r>
  <r>
    <x v="774"/>
    <d v="2017-01-08T00:00:00"/>
    <x v="1"/>
    <s v="Delfina Latchford"/>
    <s v="Consumer"/>
    <s v="United States"/>
    <x v="225"/>
    <x v="1"/>
    <x v="1"/>
    <x v="1"/>
    <x v="4"/>
    <x v="837"/>
    <n v="38.880000000000003"/>
    <n v="6"/>
    <n v="0"/>
    <n v="18.662400000000002"/>
    <n v="20.217600000000001"/>
  </r>
  <r>
    <x v="169"/>
    <d v="2015-01-22T00:00:00"/>
    <x v="1"/>
    <s v="Scott Cohen"/>
    <s v="Corporate"/>
    <s v="United States"/>
    <x v="109"/>
    <x v="31"/>
    <x v="3"/>
    <x v="1"/>
    <x v="8"/>
    <x v="838"/>
    <n v="6.68"/>
    <n v="2"/>
    <n v="0"/>
    <n v="2.004"/>
    <n v="4.6760000000000002"/>
  </r>
  <r>
    <x v="775"/>
    <d v="2015-05-25T00:00:00"/>
    <x v="1"/>
    <s v="Michelle Ellison"/>
    <s v="Corporate"/>
    <s v="United States"/>
    <x v="4"/>
    <x v="4"/>
    <x v="1"/>
    <x v="1"/>
    <x v="5"/>
    <x v="839"/>
    <n v="26.975999999999999"/>
    <n v="4"/>
    <n v="0.2"/>
    <n v="8.7672000000000008"/>
    <n v="18.208799999999997"/>
  </r>
  <r>
    <x v="33"/>
    <d v="2017-12-16T00:00:00"/>
    <x v="1"/>
    <s v="Lena Hernandez"/>
    <s v="Consumer"/>
    <s v="United States"/>
    <x v="101"/>
    <x v="10"/>
    <x v="2"/>
    <x v="1"/>
    <x v="4"/>
    <x v="314"/>
    <n v="143.85599999999999"/>
    <n v="9"/>
    <n v="0.2"/>
    <n v="48.551400000000001"/>
    <n v="95.304599999999994"/>
  </r>
  <r>
    <x v="8"/>
    <d v="2014-05-19T00:00:00"/>
    <x v="1"/>
    <s v="Aaron Hawkins"/>
    <s v="Corporate"/>
    <s v="United States"/>
    <x v="1"/>
    <x v="1"/>
    <x v="1"/>
    <x v="0"/>
    <x v="9"/>
    <x v="638"/>
    <n v="279.45600000000002"/>
    <n v="6"/>
    <n v="0.2"/>
    <n v="20.959199999999999"/>
    <n v="258.49680000000001"/>
  </r>
  <r>
    <x v="776"/>
    <d v="2014-01-21T00:00:00"/>
    <x v="0"/>
    <s v="David Wiener"/>
    <s v="Corporate"/>
    <s v="United States"/>
    <x v="23"/>
    <x v="21"/>
    <x v="1"/>
    <x v="1"/>
    <x v="6"/>
    <x v="840"/>
    <n v="64.864000000000004"/>
    <n v="4"/>
    <n v="0.2"/>
    <n v="6.4863999999999997"/>
    <n v="58.377600000000001"/>
  </r>
  <r>
    <x v="659"/>
    <d v="2017-05-31T00:00:00"/>
    <x v="1"/>
    <s v="Roy Phan"/>
    <s v="Corporate"/>
    <s v="United States"/>
    <x v="4"/>
    <x v="4"/>
    <x v="1"/>
    <x v="2"/>
    <x v="12"/>
    <x v="454"/>
    <n v="98.16"/>
    <n v="6"/>
    <n v="0"/>
    <n v="9.8160000000000007"/>
    <n v="88.343999999999994"/>
  </r>
  <r>
    <x v="777"/>
    <d v="2014-01-20T00:00:00"/>
    <x v="2"/>
    <s v="Toby Swindell"/>
    <s v="Consumer"/>
    <s v="United States"/>
    <x v="45"/>
    <x v="16"/>
    <x v="1"/>
    <x v="1"/>
    <x v="5"/>
    <x v="514"/>
    <n v="32.340000000000003"/>
    <n v="10"/>
    <n v="0.7"/>
    <n v="-23.716000000000001"/>
    <n v="56.056000000000004"/>
  </r>
  <r>
    <x v="778"/>
    <d v="2014-02-19T00:00:00"/>
    <x v="0"/>
    <s v="Shui Tom"/>
    <s v="Consumer"/>
    <s v="United States"/>
    <x v="12"/>
    <x v="5"/>
    <x v="2"/>
    <x v="1"/>
    <x v="4"/>
    <x v="841"/>
    <n v="16.175999999999998"/>
    <n v="3"/>
    <n v="0.2"/>
    <n v="6.0659999999999998"/>
    <n v="10.11"/>
  </r>
  <r>
    <x v="409"/>
    <d v="2014-09-27T00:00:00"/>
    <x v="2"/>
    <s v="Karen Ferguson"/>
    <s v="Home Office"/>
    <s v="United States"/>
    <x v="65"/>
    <x v="1"/>
    <x v="1"/>
    <x v="0"/>
    <x v="9"/>
    <x v="842"/>
    <n v="585.55200000000002"/>
    <n v="3"/>
    <n v="0.2"/>
    <n v="73.194000000000003"/>
    <n v="512.35800000000006"/>
  </r>
  <r>
    <x v="722"/>
    <d v="2017-02-04T00:00:00"/>
    <x v="1"/>
    <s v="Emily Burns"/>
    <s v="Consumer"/>
    <s v="United States"/>
    <x v="91"/>
    <x v="2"/>
    <x v="0"/>
    <x v="0"/>
    <x v="9"/>
    <x v="843"/>
    <n v="419.13600000000002"/>
    <n v="4"/>
    <n v="0.2"/>
    <n v="-68.1096"/>
    <n v="487.24560000000002"/>
  </r>
  <r>
    <x v="779"/>
    <d v="2015-10-29T00:00:00"/>
    <x v="1"/>
    <s v="Michelle Tran"/>
    <s v="Home Office"/>
    <s v="United States"/>
    <x v="49"/>
    <x v="5"/>
    <x v="2"/>
    <x v="1"/>
    <x v="5"/>
    <x v="389"/>
    <n v="3.5920000000000001"/>
    <n v="4"/>
    <n v="0.8"/>
    <n v="-6.2859999999999996"/>
    <n v="9.8780000000000001"/>
  </r>
  <r>
    <x v="780"/>
    <d v="2015-10-12T00:00:00"/>
    <x v="1"/>
    <s v="Maria Bertelson"/>
    <s v="Consumer"/>
    <s v="United States"/>
    <x v="8"/>
    <x v="1"/>
    <x v="1"/>
    <x v="0"/>
    <x v="3"/>
    <x v="122"/>
    <n v="145.9"/>
    <n v="5"/>
    <n v="0"/>
    <n v="62.737000000000002"/>
    <n v="83.163000000000011"/>
  </r>
  <r>
    <x v="781"/>
    <d v="2014-03-02T00:00:00"/>
    <x v="1"/>
    <s v="Jennifer Halladay"/>
    <s v="Consumer"/>
    <s v="United States"/>
    <x v="302"/>
    <x v="21"/>
    <x v="1"/>
    <x v="1"/>
    <x v="4"/>
    <x v="844"/>
    <n v="32.896000000000001"/>
    <n v="4"/>
    <n v="0.2"/>
    <n v="11.102399999999999"/>
    <n v="21.793600000000001"/>
  </r>
  <r>
    <x v="597"/>
    <d v="2016-11-21T00:00:00"/>
    <x v="0"/>
    <s v="Karen Carlisle"/>
    <s v="Corporate"/>
    <s v="United States"/>
    <x v="103"/>
    <x v="19"/>
    <x v="0"/>
    <x v="2"/>
    <x v="12"/>
    <x v="845"/>
    <n v="1319.96"/>
    <n v="4"/>
    <n v="0"/>
    <n v="527.98400000000004"/>
    <n v="791.976"/>
  </r>
  <r>
    <x v="688"/>
    <d v="2017-04-28T00:00:00"/>
    <x v="1"/>
    <s v="Michael Granlund"/>
    <s v="Home Office"/>
    <s v="United States"/>
    <x v="303"/>
    <x v="1"/>
    <x v="1"/>
    <x v="1"/>
    <x v="13"/>
    <x v="846"/>
    <n v="1.81"/>
    <n v="1"/>
    <n v="0"/>
    <n v="0.65159999999999996"/>
    <n v="1.1584000000000001"/>
  </r>
  <r>
    <x v="362"/>
    <d v="2015-05-10T00:00:00"/>
    <x v="2"/>
    <s v="Alejandro Ballentine"/>
    <s v="Home Office"/>
    <s v="United States"/>
    <x v="19"/>
    <x v="15"/>
    <x v="3"/>
    <x v="1"/>
    <x v="4"/>
    <x v="664"/>
    <n v="37.94"/>
    <n v="2"/>
    <n v="0"/>
    <n v="18.211200000000002"/>
    <n v="19.728799999999996"/>
  </r>
  <r>
    <x v="273"/>
    <d v="2014-10-18T00:00:00"/>
    <x v="0"/>
    <s v="Marina Lichtenstein"/>
    <s v="Corporate"/>
    <s v="United States"/>
    <x v="284"/>
    <x v="30"/>
    <x v="3"/>
    <x v="0"/>
    <x v="9"/>
    <x v="450"/>
    <n v="245.98"/>
    <n v="2"/>
    <n v="0"/>
    <n v="27.0578"/>
    <n v="218.92219999999998"/>
  </r>
  <r>
    <x v="782"/>
    <d v="2014-02-15T00:00:00"/>
    <x v="1"/>
    <s v="Natalie Fritzler"/>
    <s v="Consumer"/>
    <s v="United States"/>
    <x v="222"/>
    <x v="17"/>
    <x v="0"/>
    <x v="2"/>
    <x v="12"/>
    <x v="210"/>
    <n v="234.45"/>
    <n v="3"/>
    <n v="0"/>
    <n v="103.158"/>
    <n v="131.29199999999997"/>
  </r>
  <r>
    <x v="783"/>
    <d v="2015-05-20T00:00:00"/>
    <x v="0"/>
    <s v="Anna Häberlin"/>
    <s v="Corporate"/>
    <s v="United States"/>
    <x v="212"/>
    <x v="32"/>
    <x v="0"/>
    <x v="1"/>
    <x v="10"/>
    <x v="847"/>
    <n v="17.940000000000001"/>
    <n v="3"/>
    <n v="0"/>
    <n v="8.7905999999999995"/>
    <n v="9.1494000000000018"/>
  </r>
  <r>
    <x v="744"/>
    <d v="2015-06-11T00:00:00"/>
    <x v="0"/>
    <s v="Trudy Glocke"/>
    <s v="Consumer"/>
    <s v="United States"/>
    <x v="304"/>
    <x v="42"/>
    <x v="1"/>
    <x v="0"/>
    <x v="3"/>
    <x v="848"/>
    <n v="355.36"/>
    <n v="4"/>
    <n v="0"/>
    <n v="92.393600000000006"/>
    <n v="262.96640000000002"/>
  </r>
  <r>
    <x v="784"/>
    <d v="2014-06-02T00:00:00"/>
    <x v="1"/>
    <s v="Patrick Jones"/>
    <s v="Corporate"/>
    <s v="United States"/>
    <x v="4"/>
    <x v="4"/>
    <x v="1"/>
    <x v="2"/>
    <x v="11"/>
    <x v="311"/>
    <n v="57.408000000000001"/>
    <n v="6"/>
    <n v="0.2"/>
    <n v="5.7408000000000001"/>
    <n v="51.667200000000001"/>
  </r>
  <r>
    <x v="785"/>
    <d v="2016-08-03T00:00:00"/>
    <x v="1"/>
    <s v="Steve Carroll"/>
    <s v="Home Office"/>
    <s v="United States"/>
    <x v="305"/>
    <x v="12"/>
    <x v="2"/>
    <x v="1"/>
    <x v="13"/>
    <x v="200"/>
    <n v="20.440000000000001"/>
    <n v="7"/>
    <n v="0"/>
    <n v="9.1980000000000004"/>
    <n v="11.242000000000001"/>
  </r>
  <r>
    <x v="786"/>
    <d v="2014-07-28T00:00:00"/>
    <x v="3"/>
    <s v="Chloris Kastensmidt"/>
    <s v="Consumer"/>
    <s v="United States"/>
    <x v="217"/>
    <x v="2"/>
    <x v="0"/>
    <x v="1"/>
    <x v="13"/>
    <x v="54"/>
    <n v="14.32"/>
    <n v="5"/>
    <n v="0.2"/>
    <n v="5.1909999999999998"/>
    <n v="9.1290000000000013"/>
  </r>
  <r>
    <x v="362"/>
    <d v="2015-05-15T00:00:00"/>
    <x v="1"/>
    <s v="Natalie Webber"/>
    <s v="Consumer"/>
    <s v="United States"/>
    <x v="19"/>
    <x v="15"/>
    <x v="3"/>
    <x v="0"/>
    <x v="3"/>
    <x v="349"/>
    <n v="79.44"/>
    <n v="3"/>
    <n v="0"/>
    <n v="30.187200000000001"/>
    <n v="49.252799999999993"/>
  </r>
  <r>
    <x v="68"/>
    <d v="2014-03-05T00:00:00"/>
    <x v="1"/>
    <s v="Hallie Redmond"/>
    <s v="Home Office"/>
    <s v="United States"/>
    <x v="19"/>
    <x v="15"/>
    <x v="3"/>
    <x v="2"/>
    <x v="11"/>
    <x v="849"/>
    <n v="5.94"/>
    <n v="3"/>
    <n v="0"/>
    <n v="1.6037999999999999"/>
    <n v="4.3362000000000007"/>
  </r>
  <r>
    <x v="359"/>
    <d v="2014-01-25T00:00:00"/>
    <x v="1"/>
    <s v="Mark Van Huff"/>
    <s v="Consumer"/>
    <s v="United States"/>
    <x v="1"/>
    <x v="1"/>
    <x v="1"/>
    <x v="1"/>
    <x v="4"/>
    <x v="573"/>
    <n v="19.36"/>
    <n v="2"/>
    <n v="0"/>
    <n v="9.2927999999999997"/>
    <n v="10.0672"/>
  </r>
  <r>
    <x v="787"/>
    <d v="2016-02-10T00:00:00"/>
    <x v="1"/>
    <s v="Liz Carlisle"/>
    <s v="Consumer"/>
    <s v="United States"/>
    <x v="94"/>
    <x v="0"/>
    <x v="0"/>
    <x v="0"/>
    <x v="9"/>
    <x v="166"/>
    <n v="866.4"/>
    <n v="4"/>
    <n v="0"/>
    <n v="225.26400000000001"/>
    <n v="641.13599999999997"/>
  </r>
  <r>
    <x v="327"/>
    <d v="2015-04-03T00:00:00"/>
    <x v="0"/>
    <s v="Alan Shonely"/>
    <s v="Consumer"/>
    <s v="United States"/>
    <x v="23"/>
    <x v="17"/>
    <x v="0"/>
    <x v="1"/>
    <x v="8"/>
    <x v="850"/>
    <n v="5.56"/>
    <n v="2"/>
    <n v="0"/>
    <n v="1.4456"/>
    <n v="4.1143999999999998"/>
  </r>
  <r>
    <x v="788"/>
    <d v="2015-03-01T00:00:00"/>
    <x v="1"/>
    <s v="Sung Shariari"/>
    <s v="Consumer"/>
    <s v="United States"/>
    <x v="306"/>
    <x v="31"/>
    <x v="3"/>
    <x v="1"/>
    <x v="1"/>
    <x v="492"/>
    <n v="3.15"/>
    <n v="1"/>
    <n v="0"/>
    <n v="1.512"/>
    <n v="1.6379999999999999"/>
  </r>
  <r>
    <x v="623"/>
    <d v="2015-04-09T00:00:00"/>
    <x v="1"/>
    <s v="John Dryer"/>
    <s v="Consumer"/>
    <s v="United States"/>
    <x v="1"/>
    <x v="1"/>
    <x v="1"/>
    <x v="2"/>
    <x v="14"/>
    <x v="851"/>
    <n v="71.975999999999999"/>
    <n v="3"/>
    <n v="0.2"/>
    <n v="24.291899999999998"/>
    <n v="47.684100000000001"/>
  </r>
  <r>
    <x v="337"/>
    <d v="2014-07-14T00:00:00"/>
    <x v="2"/>
    <s v="Michael Nguyen"/>
    <s v="Consumer"/>
    <s v="United States"/>
    <x v="198"/>
    <x v="5"/>
    <x v="2"/>
    <x v="2"/>
    <x v="11"/>
    <x v="852"/>
    <n v="575.96799999999996"/>
    <n v="4"/>
    <n v="0.2"/>
    <n v="43.197600000000001"/>
    <n v="532.7704"/>
  </r>
  <r>
    <x v="596"/>
    <d v="2015-07-03T00:00:00"/>
    <x v="2"/>
    <s v="Steven Roelle"/>
    <s v="Home Office"/>
    <s v="United States"/>
    <x v="19"/>
    <x v="15"/>
    <x v="3"/>
    <x v="1"/>
    <x v="4"/>
    <x v="853"/>
    <n v="19.440000000000001"/>
    <n v="3"/>
    <n v="0"/>
    <n v="9.3312000000000008"/>
    <n v="10.1088"/>
  </r>
  <r>
    <x v="789"/>
    <d v="2015-07-22T00:00:00"/>
    <x v="1"/>
    <s v="Roland Fjeld"/>
    <s v="Consumer"/>
    <s v="United States"/>
    <x v="65"/>
    <x v="1"/>
    <x v="1"/>
    <x v="2"/>
    <x v="12"/>
    <x v="854"/>
    <n v="519.96"/>
    <n v="4"/>
    <n v="0"/>
    <n v="176.78639999999999"/>
    <n v="343.17360000000008"/>
  </r>
  <r>
    <x v="570"/>
    <d v="2015-11-08T00:00:00"/>
    <x v="1"/>
    <s v="MaryBeth Skach"/>
    <s v="Consumer"/>
    <s v="United States"/>
    <x v="307"/>
    <x v="38"/>
    <x v="0"/>
    <x v="0"/>
    <x v="2"/>
    <x v="855"/>
    <n v="301.95999999999998"/>
    <n v="2"/>
    <n v="0"/>
    <n v="45.293999999999997"/>
    <n v="256.666"/>
  </r>
  <r>
    <x v="790"/>
    <d v="2015-05-04T00:00:00"/>
    <x v="0"/>
    <s v="Jim Kriz"/>
    <s v="Home Office"/>
    <s v="United States"/>
    <x v="10"/>
    <x v="9"/>
    <x v="3"/>
    <x v="1"/>
    <x v="4"/>
    <x v="856"/>
    <n v="7.968"/>
    <n v="2"/>
    <n v="0.2"/>
    <n v="2.8883999999999999"/>
    <n v="5.0796000000000001"/>
  </r>
  <r>
    <x v="73"/>
    <d v="2014-08-07T00:00:00"/>
    <x v="0"/>
    <s v="Ricardo Sperren"/>
    <s v="Corporate"/>
    <s v="United States"/>
    <x v="211"/>
    <x v="29"/>
    <x v="3"/>
    <x v="1"/>
    <x v="6"/>
    <x v="857"/>
    <n v="79.47"/>
    <n v="3"/>
    <n v="0"/>
    <n v="22.2516"/>
    <n v="57.218400000000003"/>
  </r>
  <r>
    <x v="643"/>
    <d v="2016-01-08T00:00:00"/>
    <x v="1"/>
    <s v="Ben Peterman"/>
    <s v="Corporate"/>
    <s v="United States"/>
    <x v="10"/>
    <x v="9"/>
    <x v="3"/>
    <x v="1"/>
    <x v="8"/>
    <x v="230"/>
    <n v="4.6719999999999997"/>
    <n v="1"/>
    <n v="0.2"/>
    <n v="0.58399999999999996"/>
    <n v="4.0880000000000001"/>
  </r>
  <r>
    <x v="329"/>
    <d v="2014-05-26T00:00:00"/>
    <x v="1"/>
    <s v="Frank Gastineau"/>
    <s v="Home Office"/>
    <s v="United States"/>
    <x v="109"/>
    <x v="31"/>
    <x v="3"/>
    <x v="1"/>
    <x v="5"/>
    <x v="858"/>
    <n v="447.86"/>
    <n v="7"/>
    <n v="0"/>
    <n v="219.45140000000001"/>
    <n v="228.40860000000001"/>
  </r>
  <r>
    <x v="791"/>
    <d v="2016-07-04T00:00:00"/>
    <x v="3"/>
    <s v="Rick Bensley"/>
    <s v="Home Office"/>
    <s v="United States"/>
    <x v="4"/>
    <x v="4"/>
    <x v="1"/>
    <x v="0"/>
    <x v="3"/>
    <x v="718"/>
    <n v="25.4"/>
    <n v="5"/>
    <n v="0"/>
    <n v="8.6359999999999992"/>
    <n v="16.763999999999999"/>
  </r>
  <r>
    <x v="220"/>
    <d v="2017-05-25T00:00:00"/>
    <x v="1"/>
    <s v="Jason Fortune-"/>
    <s v="Consumer"/>
    <s v="United States"/>
    <x v="204"/>
    <x v="5"/>
    <x v="2"/>
    <x v="2"/>
    <x v="11"/>
    <x v="859"/>
    <n v="95.992000000000004"/>
    <n v="1"/>
    <n v="0.2"/>
    <n v="9.5991999999999997"/>
    <n v="86.392800000000008"/>
  </r>
  <r>
    <x v="7"/>
    <d v="2014-11-13T00:00:00"/>
    <x v="0"/>
    <s v="Matt Abelman"/>
    <s v="Home Office"/>
    <s v="United States"/>
    <x v="1"/>
    <x v="1"/>
    <x v="1"/>
    <x v="2"/>
    <x v="11"/>
    <x v="232"/>
    <n v="575.928"/>
    <n v="9"/>
    <n v="0.2"/>
    <n v="57.592799999999997"/>
    <n v="518.33519999999999"/>
  </r>
  <r>
    <x v="633"/>
    <d v="2017-08-25T00:00:00"/>
    <x v="1"/>
    <s v="Lisa Ryan"/>
    <s v="Corporate"/>
    <s v="United States"/>
    <x v="8"/>
    <x v="1"/>
    <x v="1"/>
    <x v="1"/>
    <x v="15"/>
    <x v="860"/>
    <n v="17.22"/>
    <n v="3"/>
    <n v="0"/>
    <n v="5.1660000000000004"/>
    <n v="12.053999999999998"/>
  </r>
  <r>
    <x v="658"/>
    <d v="2014-07-22T00:00:00"/>
    <x v="2"/>
    <s v="Charles Crestani"/>
    <s v="Consumer"/>
    <s v="United States"/>
    <x v="65"/>
    <x v="1"/>
    <x v="1"/>
    <x v="1"/>
    <x v="4"/>
    <x v="861"/>
    <n v="104.85"/>
    <n v="1"/>
    <n v="0"/>
    <n v="50.328000000000003"/>
    <n v="54.521999999999991"/>
  </r>
  <r>
    <x v="563"/>
    <d v="2017-02-11T00:00:00"/>
    <x v="1"/>
    <s v="Bryan Davis"/>
    <s v="Consumer"/>
    <s v="United States"/>
    <x v="19"/>
    <x v="15"/>
    <x v="3"/>
    <x v="0"/>
    <x v="0"/>
    <x v="862"/>
    <n v="240.78399999999999"/>
    <n v="1"/>
    <n v="0.2"/>
    <n v="30.097999999999999"/>
    <n v="210.68599999999998"/>
  </r>
  <r>
    <x v="792"/>
    <d v="2016-07-25T00:00:00"/>
    <x v="1"/>
    <s v="Joy Smith"/>
    <s v="Consumer"/>
    <s v="United States"/>
    <x v="293"/>
    <x v="35"/>
    <x v="0"/>
    <x v="0"/>
    <x v="3"/>
    <x v="863"/>
    <n v="185.58"/>
    <n v="6"/>
    <n v="0"/>
    <n v="76.087800000000001"/>
    <n v="109.49220000000001"/>
  </r>
  <r>
    <x v="793"/>
    <d v="2016-02-08T00:00:00"/>
    <x v="1"/>
    <s v="Tracy Blumstein"/>
    <s v="Consumer"/>
    <s v="United States"/>
    <x v="125"/>
    <x v="16"/>
    <x v="1"/>
    <x v="0"/>
    <x v="3"/>
    <x v="864"/>
    <n v="14.368"/>
    <n v="2"/>
    <n v="0.2"/>
    <n v="3.9512"/>
    <n v="10.4168"/>
  </r>
  <r>
    <x v="794"/>
    <d v="2015-04-16T00:00:00"/>
    <x v="1"/>
    <s v="Eugene Hildebrand"/>
    <s v="Home Office"/>
    <s v="United States"/>
    <x v="29"/>
    <x v="15"/>
    <x v="3"/>
    <x v="1"/>
    <x v="7"/>
    <x v="395"/>
    <n v="142.04"/>
    <n v="4"/>
    <n v="0"/>
    <n v="38.3508"/>
    <n v="103.6892"/>
  </r>
  <r>
    <x v="169"/>
    <d v="2015-01-23T00:00:00"/>
    <x v="1"/>
    <s v="Amy Hunt"/>
    <s v="Consumer"/>
    <s v="United States"/>
    <x v="308"/>
    <x v="18"/>
    <x v="0"/>
    <x v="1"/>
    <x v="15"/>
    <x v="865"/>
    <n v="88.96"/>
    <n v="8"/>
    <n v="0.2"/>
    <n v="10.007999999999999"/>
    <n v="78.951999999999998"/>
  </r>
  <r>
    <x v="795"/>
    <d v="2017-08-24T00:00:00"/>
    <x v="2"/>
    <s v="Dean percer"/>
    <s v="Home Office"/>
    <s v="United States"/>
    <x v="10"/>
    <x v="9"/>
    <x v="3"/>
    <x v="0"/>
    <x v="2"/>
    <x v="342"/>
    <n v="314.53199999999998"/>
    <n v="2"/>
    <n v="0.4"/>
    <n v="-83.875200000000007"/>
    <n v="398.40719999999999"/>
  </r>
  <r>
    <x v="796"/>
    <d v="2016-03-20T00:00:00"/>
    <x v="1"/>
    <s v="Stephanie Phelps"/>
    <s v="Corporate"/>
    <s v="United States"/>
    <x v="309"/>
    <x v="1"/>
    <x v="1"/>
    <x v="1"/>
    <x v="5"/>
    <x v="866"/>
    <n v="41.904000000000003"/>
    <n v="6"/>
    <n v="0.2"/>
    <n v="14.1426"/>
    <n v="27.761400000000002"/>
  </r>
  <r>
    <x v="797"/>
    <d v="2016-08-19T00:00:00"/>
    <x v="2"/>
    <s v="Anthony O'Donnell"/>
    <s v="Corporate"/>
    <s v="United States"/>
    <x v="1"/>
    <x v="1"/>
    <x v="1"/>
    <x v="0"/>
    <x v="2"/>
    <x v="867"/>
    <n v="161.28"/>
    <n v="2"/>
    <n v="0.2"/>
    <n v="12.096"/>
    <n v="149.184"/>
  </r>
  <r>
    <x v="798"/>
    <d v="2015-10-22T00:00:00"/>
    <x v="1"/>
    <s v="Kristina Nunn"/>
    <s v="Home Office"/>
    <s v="United States"/>
    <x v="310"/>
    <x v="5"/>
    <x v="2"/>
    <x v="2"/>
    <x v="12"/>
    <x v="868"/>
    <n v="27.696000000000002"/>
    <n v="3"/>
    <n v="0.2"/>
    <n v="3.4620000000000002"/>
    <n v="24.234000000000002"/>
  </r>
  <r>
    <x v="132"/>
    <d v="2016-04-11T00:00:00"/>
    <x v="2"/>
    <s v="Raymond Messe"/>
    <s v="Consumer"/>
    <s v="United States"/>
    <x v="37"/>
    <x v="32"/>
    <x v="0"/>
    <x v="0"/>
    <x v="0"/>
    <x v="869"/>
    <n v="354.9"/>
    <n v="5"/>
    <n v="0"/>
    <n v="88.724999999999994"/>
    <n v="266.17499999999995"/>
  </r>
  <r>
    <x v="799"/>
    <d v="2017-04-08T00:00:00"/>
    <x v="1"/>
    <s v="Anne McFarland"/>
    <s v="Consumer"/>
    <s v="United States"/>
    <x v="311"/>
    <x v="10"/>
    <x v="2"/>
    <x v="2"/>
    <x v="11"/>
    <x v="559"/>
    <n v="383.84"/>
    <n v="4"/>
    <n v="0.2"/>
    <n v="47.98"/>
    <n v="335.85999999999996"/>
  </r>
  <r>
    <x v="106"/>
    <d v="2016-01-29T00:00:00"/>
    <x v="1"/>
    <s v="Toby Braunhardt"/>
    <s v="Consumer"/>
    <s v="United States"/>
    <x v="19"/>
    <x v="15"/>
    <x v="3"/>
    <x v="1"/>
    <x v="5"/>
    <x v="595"/>
    <n v="26.335999999999999"/>
    <n v="4"/>
    <n v="0.2"/>
    <n v="9.2175999999999991"/>
    <n v="17.118400000000001"/>
  </r>
  <r>
    <x v="800"/>
    <d v="2015-05-18T00:00:00"/>
    <x v="1"/>
    <s v="Rose O'Brian"/>
    <s v="Consumer"/>
    <s v="United States"/>
    <x v="4"/>
    <x v="4"/>
    <x v="1"/>
    <x v="1"/>
    <x v="5"/>
    <x v="708"/>
    <n v="14.592000000000001"/>
    <n v="3"/>
    <n v="0.2"/>
    <n v="4.9248000000000003"/>
    <n v="9.6672000000000011"/>
  </r>
  <r>
    <x v="257"/>
    <d v="2017-07-27T00:00:00"/>
    <x v="1"/>
    <s v="Lisa Ryan"/>
    <s v="Corporate"/>
    <s v="United States"/>
    <x v="76"/>
    <x v="15"/>
    <x v="3"/>
    <x v="1"/>
    <x v="1"/>
    <x v="138"/>
    <n v="41.4"/>
    <n v="4"/>
    <n v="0"/>
    <n v="19.872"/>
    <n v="21.527999999999999"/>
  </r>
  <r>
    <x v="801"/>
    <d v="2017-05-10T00:00:00"/>
    <x v="1"/>
    <s v="Yana Sorensen"/>
    <s v="Corporate"/>
    <s v="United States"/>
    <x v="37"/>
    <x v="32"/>
    <x v="0"/>
    <x v="1"/>
    <x v="5"/>
    <x v="870"/>
    <n v="34.5"/>
    <n v="3"/>
    <n v="0"/>
    <n v="15.525"/>
    <n v="18.975000000000001"/>
  </r>
  <r>
    <x v="503"/>
    <d v="2017-05-16T00:00:00"/>
    <x v="1"/>
    <s v="Jonathan Howell"/>
    <s v="Consumer"/>
    <s v="United States"/>
    <x v="68"/>
    <x v="24"/>
    <x v="3"/>
    <x v="1"/>
    <x v="1"/>
    <x v="533"/>
    <n v="5.9039999999999999"/>
    <n v="2"/>
    <n v="0.2"/>
    <n v="1.9925999999999999"/>
    <n v="3.9114"/>
  </r>
  <r>
    <x v="802"/>
    <d v="2015-04-26T00:00:00"/>
    <x v="1"/>
    <s v="Annie Zypern"/>
    <s v="Consumer"/>
    <s v="United States"/>
    <x v="1"/>
    <x v="1"/>
    <x v="1"/>
    <x v="2"/>
    <x v="11"/>
    <x v="345"/>
    <n v="88.775999999999996"/>
    <n v="3"/>
    <n v="0.2"/>
    <n v="7.7679"/>
    <n v="81.008099999999999"/>
  </r>
  <r>
    <x v="511"/>
    <d v="2014-10-26T00:00:00"/>
    <x v="1"/>
    <s v="Sylvia Foulston"/>
    <s v="Corporate"/>
    <s v="United States"/>
    <x v="65"/>
    <x v="1"/>
    <x v="1"/>
    <x v="1"/>
    <x v="5"/>
    <x v="871"/>
    <n v="36.36"/>
    <n v="3"/>
    <n v="0.2"/>
    <n v="12.2715"/>
    <n v="24.0885"/>
  </r>
  <r>
    <x v="167"/>
    <d v="2017-10-20T00:00:00"/>
    <x v="3"/>
    <s v="Rick Bensley"/>
    <s v="Home Office"/>
    <s v="United States"/>
    <x v="19"/>
    <x v="15"/>
    <x v="3"/>
    <x v="1"/>
    <x v="1"/>
    <x v="872"/>
    <n v="24.55"/>
    <n v="5"/>
    <n v="0"/>
    <n v="12.029500000000001"/>
    <n v="12.5205"/>
  </r>
  <r>
    <x v="421"/>
    <d v="2015-05-06T00:00:00"/>
    <x v="1"/>
    <s v="Patrick O'Brill"/>
    <s v="Consumer"/>
    <s v="United States"/>
    <x v="8"/>
    <x v="1"/>
    <x v="1"/>
    <x v="1"/>
    <x v="5"/>
    <x v="598"/>
    <n v="12.176"/>
    <n v="1"/>
    <n v="0.2"/>
    <n v="4.4138000000000002"/>
    <n v="7.7622"/>
  </r>
  <r>
    <x v="189"/>
    <d v="2017-01-28T00:00:00"/>
    <x v="1"/>
    <s v="Chris Selesnick"/>
    <s v="Corporate"/>
    <s v="United States"/>
    <x v="4"/>
    <x v="4"/>
    <x v="1"/>
    <x v="1"/>
    <x v="5"/>
    <x v="555"/>
    <n v="19.68"/>
    <n v="5"/>
    <n v="0.2"/>
    <n v="6.8879999999999999"/>
    <n v="12.792"/>
  </r>
  <r>
    <x v="304"/>
    <d v="2016-10-07T00:00:00"/>
    <x v="1"/>
    <s v="Tracy Poddar"/>
    <s v="Corporate"/>
    <s v="United States"/>
    <x v="227"/>
    <x v="5"/>
    <x v="2"/>
    <x v="0"/>
    <x v="3"/>
    <x v="873"/>
    <n v="38.08"/>
    <n v="5"/>
    <n v="0.6"/>
    <n v="-29.512"/>
    <n v="67.591999999999999"/>
  </r>
  <r>
    <x v="680"/>
    <d v="2016-10-10T00:00:00"/>
    <x v="2"/>
    <s v="Arthur Wiediger"/>
    <s v="Home Office"/>
    <s v="United States"/>
    <x v="10"/>
    <x v="9"/>
    <x v="3"/>
    <x v="1"/>
    <x v="1"/>
    <x v="874"/>
    <n v="4.9279999999999999"/>
    <n v="2"/>
    <n v="0.2"/>
    <n v="1.7248000000000001"/>
    <n v="3.2031999999999998"/>
  </r>
  <r>
    <x v="803"/>
    <d v="2014-02-04T00:00:00"/>
    <x v="1"/>
    <s v="Mike Vittorini"/>
    <s v="Consumer"/>
    <s v="United States"/>
    <x v="62"/>
    <x v="12"/>
    <x v="2"/>
    <x v="1"/>
    <x v="4"/>
    <x v="235"/>
    <n v="10.56"/>
    <n v="2"/>
    <n v="0"/>
    <n v="4.7519999999999998"/>
    <n v="5.8080000000000007"/>
  </r>
  <r>
    <x v="804"/>
    <d v="2015-12-05T00:00:00"/>
    <x v="1"/>
    <s v="Raymond Messe"/>
    <s v="Consumer"/>
    <s v="United States"/>
    <x v="210"/>
    <x v="3"/>
    <x v="0"/>
    <x v="2"/>
    <x v="11"/>
    <x v="875"/>
    <n v="177.48"/>
    <n v="3"/>
    <n v="0.2"/>
    <n v="19.9665"/>
    <n v="157.51349999999999"/>
  </r>
  <r>
    <x v="443"/>
    <d v="2017-09-02T00:00:00"/>
    <x v="0"/>
    <s v="Bart Watters"/>
    <s v="Corporate"/>
    <s v="United States"/>
    <x v="215"/>
    <x v="4"/>
    <x v="1"/>
    <x v="0"/>
    <x v="9"/>
    <x v="876"/>
    <n v="569.56799999999998"/>
    <n v="2"/>
    <n v="0.2"/>
    <n v="7.1196000000000002"/>
    <n v="562.44839999999999"/>
  </r>
  <r>
    <x v="575"/>
    <d v="2014-08-01T00:00:00"/>
    <x v="1"/>
    <s v="Jack O'Briant"/>
    <s v="Corporate"/>
    <s v="United States"/>
    <x v="312"/>
    <x v="7"/>
    <x v="1"/>
    <x v="2"/>
    <x v="12"/>
    <x v="877"/>
    <n v="111.93"/>
    <n v="7"/>
    <n v="0"/>
    <n v="34.698300000000003"/>
    <n v="77.231700000000004"/>
  </r>
  <r>
    <x v="156"/>
    <d v="2017-03-06T00:00:00"/>
    <x v="0"/>
    <s v="Tonja Turnell"/>
    <s v="Home Office"/>
    <s v="United States"/>
    <x v="12"/>
    <x v="5"/>
    <x v="2"/>
    <x v="0"/>
    <x v="3"/>
    <x v="61"/>
    <n v="103.5"/>
    <n v="5"/>
    <n v="0.6"/>
    <n v="-77.625"/>
    <n v="181.125"/>
  </r>
  <r>
    <x v="88"/>
    <d v="2017-06-09T00:00:00"/>
    <x v="1"/>
    <s v="Katherine Nockton"/>
    <s v="Corporate"/>
    <s v="United States"/>
    <x v="19"/>
    <x v="15"/>
    <x v="3"/>
    <x v="0"/>
    <x v="2"/>
    <x v="757"/>
    <n v="384.76799999999997"/>
    <n v="2"/>
    <n v="0.4"/>
    <n v="-115.43040000000001"/>
    <n v="500.19839999999999"/>
  </r>
  <r>
    <x v="625"/>
    <d v="2016-10-11T00:00:00"/>
    <x v="0"/>
    <s v="Sibella Parks"/>
    <s v="Corporate"/>
    <s v="United States"/>
    <x v="10"/>
    <x v="9"/>
    <x v="3"/>
    <x v="1"/>
    <x v="4"/>
    <x v="878"/>
    <n v="19.135999999999999"/>
    <n v="4"/>
    <n v="0.2"/>
    <n v="5.98"/>
    <n v="13.155999999999999"/>
  </r>
  <r>
    <x v="805"/>
    <d v="2014-02-27T00:00:00"/>
    <x v="1"/>
    <s v="Michael Grace"/>
    <s v="Home Office"/>
    <s v="United States"/>
    <x v="198"/>
    <x v="5"/>
    <x v="2"/>
    <x v="1"/>
    <x v="1"/>
    <x v="787"/>
    <n v="6.9359999999999999"/>
    <n v="3"/>
    <n v="0.2"/>
    <n v="2.3409"/>
    <n v="4.5951000000000004"/>
  </r>
  <r>
    <x v="21"/>
    <d v="2014-10-23T00:00:00"/>
    <x v="2"/>
    <s v="Fred Hopkins"/>
    <s v="Corporate"/>
    <s v="United States"/>
    <x v="275"/>
    <x v="18"/>
    <x v="0"/>
    <x v="0"/>
    <x v="2"/>
    <x v="879"/>
    <n v="328.59"/>
    <n v="3"/>
    <n v="0.4"/>
    <n v="-147.8655"/>
    <n v="476.45549999999997"/>
  </r>
  <r>
    <x v="108"/>
    <d v="2015-08-01T00:00:00"/>
    <x v="2"/>
    <s v="Gary Hansen"/>
    <s v="Home Office"/>
    <s v="United States"/>
    <x v="64"/>
    <x v="11"/>
    <x v="2"/>
    <x v="0"/>
    <x v="9"/>
    <x v="370"/>
    <n v="155.88"/>
    <n v="6"/>
    <n v="0"/>
    <n v="38.97"/>
    <n v="116.91"/>
  </r>
  <r>
    <x v="806"/>
    <d v="2015-06-10T00:00:00"/>
    <x v="1"/>
    <s v="Edward Becker"/>
    <s v="Corporate"/>
    <s v="United States"/>
    <x v="278"/>
    <x v="15"/>
    <x v="3"/>
    <x v="0"/>
    <x v="9"/>
    <x v="673"/>
    <n v="1522.6379999999999"/>
    <n v="9"/>
    <n v="0.1"/>
    <n v="169.18199999999999"/>
    <n v="1353.4559999999999"/>
  </r>
  <r>
    <x v="807"/>
    <d v="2014-05-12T00:00:00"/>
    <x v="1"/>
    <s v="Carol Triggs"/>
    <s v="Consumer"/>
    <s v="United States"/>
    <x v="109"/>
    <x v="31"/>
    <x v="3"/>
    <x v="1"/>
    <x v="5"/>
    <x v="880"/>
    <n v="16.14"/>
    <n v="3"/>
    <n v="0"/>
    <n v="7.9085999999999999"/>
    <n v="8.2314000000000007"/>
  </r>
  <r>
    <x v="808"/>
    <d v="2016-08-11T00:00:00"/>
    <x v="1"/>
    <s v="Dorothy Wardle"/>
    <s v="Corporate"/>
    <s v="United States"/>
    <x v="141"/>
    <x v="4"/>
    <x v="1"/>
    <x v="2"/>
    <x v="12"/>
    <x v="881"/>
    <n v="179.97"/>
    <n v="3"/>
    <n v="0"/>
    <n v="86.385599999999997"/>
    <n v="93.584400000000002"/>
  </r>
  <r>
    <x v="113"/>
    <d v="2015-05-11T00:00:00"/>
    <x v="1"/>
    <s v="Stuart Van"/>
    <s v="Corporate"/>
    <s v="United States"/>
    <x v="232"/>
    <x v="14"/>
    <x v="2"/>
    <x v="1"/>
    <x v="8"/>
    <x v="300"/>
    <n v="125.93"/>
    <n v="7"/>
    <n v="0"/>
    <n v="35.260399999999997"/>
    <n v="90.669600000000003"/>
  </r>
  <r>
    <x v="25"/>
    <d v="2016-06-19T00:00:00"/>
    <x v="2"/>
    <s v="Mike Vittorini"/>
    <s v="Consumer"/>
    <s v="United States"/>
    <x v="1"/>
    <x v="1"/>
    <x v="1"/>
    <x v="0"/>
    <x v="0"/>
    <x v="882"/>
    <n v="239.666"/>
    <n v="2"/>
    <n v="0.15"/>
    <n v="14.098000000000001"/>
    <n v="225.56799999999998"/>
  </r>
  <r>
    <x v="809"/>
    <d v="2014-09-09T00:00:00"/>
    <x v="2"/>
    <s v="Victoria Pisteka"/>
    <s v="Corporate"/>
    <s v="United States"/>
    <x v="8"/>
    <x v="1"/>
    <x v="1"/>
    <x v="0"/>
    <x v="3"/>
    <x v="3"/>
    <n v="41.88"/>
    <n v="6"/>
    <n v="0"/>
    <n v="12.145200000000001"/>
    <n v="29.7348"/>
  </r>
  <r>
    <x v="418"/>
    <d v="2017-08-09T00:00:00"/>
    <x v="1"/>
    <s v="Patrick O'Donnell"/>
    <s v="Consumer"/>
    <s v="United States"/>
    <x v="232"/>
    <x v="14"/>
    <x v="2"/>
    <x v="1"/>
    <x v="5"/>
    <x v="242"/>
    <n v="125.88"/>
    <n v="6"/>
    <n v="0"/>
    <n v="60.422400000000003"/>
    <n v="65.457599999999985"/>
  </r>
  <r>
    <x v="268"/>
    <d v="2017-02-27T00:00:00"/>
    <x v="1"/>
    <s v="Katherine Murray"/>
    <s v="Home Office"/>
    <s v="United States"/>
    <x v="22"/>
    <x v="16"/>
    <x v="1"/>
    <x v="2"/>
    <x v="11"/>
    <x v="883"/>
    <n v="333.57600000000002"/>
    <n v="3"/>
    <n v="0.2"/>
    <n v="25.0182"/>
    <n v="308.55780000000004"/>
  </r>
  <r>
    <x v="810"/>
    <d v="2015-08-10T00:00:00"/>
    <x v="0"/>
    <s v="Denny Blanton"/>
    <s v="Consumer"/>
    <s v="United States"/>
    <x v="109"/>
    <x v="31"/>
    <x v="3"/>
    <x v="1"/>
    <x v="8"/>
    <x v="884"/>
    <n v="39.659999999999997"/>
    <n v="2"/>
    <n v="0"/>
    <n v="11.898"/>
    <n v="27.761999999999997"/>
  </r>
  <r>
    <x v="811"/>
    <d v="2015-09-16T00:00:00"/>
    <x v="1"/>
    <s v="Sean Braxton"/>
    <s v="Corporate"/>
    <s v="United States"/>
    <x v="65"/>
    <x v="1"/>
    <x v="1"/>
    <x v="1"/>
    <x v="8"/>
    <x v="53"/>
    <n v="265.86"/>
    <n v="7"/>
    <n v="0"/>
    <n v="79.757999999999996"/>
    <n v="186.10200000000003"/>
  </r>
  <r>
    <x v="812"/>
    <d v="2014-10-14T00:00:00"/>
    <x v="1"/>
    <s v="Shirley Daniels"/>
    <s v="Home Office"/>
    <s v="United States"/>
    <x v="153"/>
    <x v="16"/>
    <x v="1"/>
    <x v="0"/>
    <x v="3"/>
    <x v="885"/>
    <n v="46.872"/>
    <n v="7"/>
    <n v="0.2"/>
    <n v="3.5154000000000001"/>
    <n v="43.3566"/>
  </r>
  <r>
    <x v="813"/>
    <d v="2015-05-24T00:00:00"/>
    <x v="1"/>
    <s v="Sheri Gordon"/>
    <s v="Consumer"/>
    <s v="United States"/>
    <x v="313"/>
    <x v="3"/>
    <x v="0"/>
    <x v="0"/>
    <x v="3"/>
    <x v="886"/>
    <n v="163.136"/>
    <n v="4"/>
    <n v="0.2"/>
    <n v="20.391999999999999"/>
    <n v="142.744"/>
  </r>
  <r>
    <x v="457"/>
    <d v="2015-06-28T00:00:00"/>
    <x v="1"/>
    <s v="Christine Sundaresam"/>
    <s v="Consumer"/>
    <s v="United States"/>
    <x v="76"/>
    <x v="1"/>
    <x v="1"/>
    <x v="2"/>
    <x v="11"/>
    <x v="887"/>
    <n v="217.584"/>
    <n v="2"/>
    <n v="0.2"/>
    <n v="19.038599999999999"/>
    <n v="198.5454"/>
  </r>
  <r>
    <x v="554"/>
    <d v="2016-09-15T00:00:00"/>
    <x v="1"/>
    <s v="Steve Chapman"/>
    <s v="Corporate"/>
    <s v="United States"/>
    <x v="2"/>
    <x v="2"/>
    <x v="0"/>
    <x v="2"/>
    <x v="11"/>
    <x v="426"/>
    <n v="519.67999999999995"/>
    <n v="7"/>
    <n v="0.2"/>
    <n v="58.463999999999999"/>
    <n v="461.21599999999995"/>
  </r>
  <r>
    <x v="127"/>
    <d v="2014-04-18T00:00:00"/>
    <x v="1"/>
    <s v="Ben Ferrer"/>
    <s v="Home Office"/>
    <s v="United States"/>
    <x v="207"/>
    <x v="40"/>
    <x v="3"/>
    <x v="1"/>
    <x v="1"/>
    <x v="888"/>
    <n v="7.83"/>
    <n v="3"/>
    <n v="0"/>
    <n v="3.6017999999999999"/>
    <n v="4.2282000000000002"/>
  </r>
  <r>
    <x v="132"/>
    <d v="2016-04-15T00:00:00"/>
    <x v="1"/>
    <s v="Christine Kargatis"/>
    <s v="Home Office"/>
    <s v="United States"/>
    <x v="244"/>
    <x v="38"/>
    <x v="0"/>
    <x v="1"/>
    <x v="13"/>
    <x v="305"/>
    <n v="30"/>
    <n v="6"/>
    <n v="0"/>
    <n v="14.4"/>
    <n v="15.6"/>
  </r>
  <r>
    <x v="814"/>
    <d v="2014-07-07T00:00:00"/>
    <x v="2"/>
    <s v="Katrina Edelman"/>
    <s v="Corporate"/>
    <s v="United States"/>
    <x v="33"/>
    <x v="22"/>
    <x v="1"/>
    <x v="1"/>
    <x v="4"/>
    <x v="889"/>
    <n v="177.536"/>
    <n v="4"/>
    <n v="0.2"/>
    <n v="62.137599999999999"/>
    <n v="115.39840000000001"/>
  </r>
  <r>
    <x v="815"/>
    <d v="2014-05-31T00:00:00"/>
    <x v="1"/>
    <s v="Michelle Moray"/>
    <s v="Consumer"/>
    <s v="United States"/>
    <x v="21"/>
    <x v="10"/>
    <x v="2"/>
    <x v="1"/>
    <x v="7"/>
    <x v="890"/>
    <n v="102.624"/>
    <n v="3"/>
    <n v="0.2"/>
    <n v="7.6967999999999996"/>
    <n v="94.927199999999999"/>
  </r>
  <r>
    <x v="816"/>
    <d v="2015-02-20T00:00:00"/>
    <x v="1"/>
    <s v="Sung Pak"/>
    <s v="Corporate"/>
    <s v="United States"/>
    <x v="17"/>
    <x v="37"/>
    <x v="3"/>
    <x v="1"/>
    <x v="4"/>
    <x v="69"/>
    <n v="35.880000000000003"/>
    <n v="6"/>
    <n v="0"/>
    <n v="16.146000000000001"/>
    <n v="19.734000000000002"/>
  </r>
  <r>
    <x v="817"/>
    <d v="2015-04-05T00:00:00"/>
    <x v="1"/>
    <s v="Ed Braxton"/>
    <s v="Corporate"/>
    <s v="United States"/>
    <x v="12"/>
    <x v="5"/>
    <x v="2"/>
    <x v="1"/>
    <x v="4"/>
    <x v="495"/>
    <n v="98.376000000000005"/>
    <n v="3"/>
    <n v="0.2"/>
    <n v="35.661299999999997"/>
    <n v="62.714700000000008"/>
  </r>
  <r>
    <x v="818"/>
    <d v="2015-05-26T00:00:00"/>
    <x v="0"/>
    <s v="Vivek Sundaresam"/>
    <s v="Consumer"/>
    <s v="United States"/>
    <x v="13"/>
    <x v="10"/>
    <x v="2"/>
    <x v="0"/>
    <x v="9"/>
    <x v="450"/>
    <n v="602.65099999999995"/>
    <n v="7"/>
    <n v="0.3"/>
    <n v="-163.57669999999999"/>
    <n v="766.22769999999991"/>
  </r>
  <r>
    <x v="183"/>
    <d v="2015-03-19T00:00:00"/>
    <x v="0"/>
    <s v="Maurice Satty"/>
    <s v="Consumer"/>
    <s v="United States"/>
    <x v="100"/>
    <x v="19"/>
    <x v="0"/>
    <x v="1"/>
    <x v="1"/>
    <x v="891"/>
    <n v="491.55"/>
    <n v="5"/>
    <n v="0"/>
    <n v="240.8595"/>
    <n v="250.69050000000001"/>
  </r>
  <r>
    <x v="309"/>
    <d v="2014-06-15T00:00:00"/>
    <x v="3"/>
    <s v="Pamela Stobb"/>
    <s v="Consumer"/>
    <s v="United States"/>
    <x v="198"/>
    <x v="5"/>
    <x v="2"/>
    <x v="1"/>
    <x v="4"/>
    <x v="892"/>
    <n v="36.543999999999997"/>
    <n v="2"/>
    <n v="0.2"/>
    <n v="11.876799999999999"/>
    <n v="24.667199999999998"/>
  </r>
  <r>
    <x v="349"/>
    <d v="2015-07-30T00:00:00"/>
    <x v="1"/>
    <s v="Russell D'Ascenzo"/>
    <s v="Consumer"/>
    <s v="United States"/>
    <x v="1"/>
    <x v="1"/>
    <x v="1"/>
    <x v="2"/>
    <x v="11"/>
    <x v="893"/>
    <n v="623.96"/>
    <n v="5"/>
    <n v="0.2"/>
    <n v="38.997500000000002"/>
    <n v="584.96250000000009"/>
  </r>
  <r>
    <x v="300"/>
    <d v="2015-04-29T00:00:00"/>
    <x v="1"/>
    <s v="Zuschuss Carroll"/>
    <s v="Consumer"/>
    <s v="United States"/>
    <x v="33"/>
    <x v="10"/>
    <x v="2"/>
    <x v="1"/>
    <x v="7"/>
    <x v="894"/>
    <n v="221.024"/>
    <n v="2"/>
    <n v="0.2"/>
    <n v="-55.256"/>
    <n v="276.27999999999997"/>
  </r>
  <r>
    <x v="214"/>
    <d v="2016-07-20T00:00:00"/>
    <x v="0"/>
    <s v="Jonathan Doherty"/>
    <s v="Corporate"/>
    <s v="United States"/>
    <x v="28"/>
    <x v="20"/>
    <x v="0"/>
    <x v="1"/>
    <x v="10"/>
    <x v="82"/>
    <n v="10.199999999999999"/>
    <n v="5"/>
    <n v="0"/>
    <n v="4.7939999999999996"/>
    <n v="5.4059999999999997"/>
  </r>
  <r>
    <x v="444"/>
    <d v="2014-03-13T00:00:00"/>
    <x v="0"/>
    <s v="Filia McAdams"/>
    <s v="Corporate"/>
    <s v="United States"/>
    <x v="94"/>
    <x v="0"/>
    <x v="0"/>
    <x v="1"/>
    <x v="6"/>
    <x v="643"/>
    <n v="146.76"/>
    <n v="3"/>
    <n v="0"/>
    <n v="38.157600000000002"/>
    <n v="108.60239999999999"/>
  </r>
  <r>
    <x v="539"/>
    <d v="2016-06-27T00:00:00"/>
    <x v="0"/>
    <s v="Sally Matthias"/>
    <s v="Consumer"/>
    <s v="United States"/>
    <x v="19"/>
    <x v="15"/>
    <x v="3"/>
    <x v="1"/>
    <x v="1"/>
    <x v="895"/>
    <n v="25.83"/>
    <n v="7"/>
    <n v="0"/>
    <n v="12.1401"/>
    <n v="13.689899999999998"/>
  </r>
  <r>
    <x v="563"/>
    <d v="2017-02-12T00:00:00"/>
    <x v="1"/>
    <s v="Sibella Parks"/>
    <s v="Corporate"/>
    <s v="United States"/>
    <x v="19"/>
    <x v="15"/>
    <x v="3"/>
    <x v="2"/>
    <x v="11"/>
    <x v="896"/>
    <n v="227.46"/>
    <n v="6"/>
    <n v="0"/>
    <n v="65.963399999999993"/>
    <n v="161.4966"/>
  </r>
  <r>
    <x v="279"/>
    <d v="2016-07-28T00:00:00"/>
    <x v="1"/>
    <s v="Chloris Kastensmidt"/>
    <s v="Consumer"/>
    <s v="United States"/>
    <x v="310"/>
    <x v="5"/>
    <x v="2"/>
    <x v="1"/>
    <x v="8"/>
    <x v="897"/>
    <n v="4.4480000000000004"/>
    <n v="2"/>
    <n v="0.2"/>
    <n v="0.33360000000000001"/>
    <n v="4.1144000000000007"/>
  </r>
  <r>
    <x v="819"/>
    <d v="2017-08-06T00:00:00"/>
    <x v="0"/>
    <s v="George Ashbrook"/>
    <s v="Consumer"/>
    <s v="United States"/>
    <x v="1"/>
    <x v="1"/>
    <x v="1"/>
    <x v="1"/>
    <x v="7"/>
    <x v="898"/>
    <n v="99.87"/>
    <n v="3"/>
    <n v="0"/>
    <n v="23.968800000000002"/>
    <n v="75.901200000000003"/>
  </r>
  <r>
    <x v="820"/>
    <d v="2015-01-13T00:00:00"/>
    <x v="1"/>
    <s v="Craig Carroll"/>
    <s v="Consumer"/>
    <s v="United States"/>
    <x v="0"/>
    <x v="0"/>
    <x v="0"/>
    <x v="1"/>
    <x v="4"/>
    <x v="14"/>
    <n v="106.32"/>
    <n v="3"/>
    <n v="0"/>
    <n v="49.970399999999998"/>
    <n v="56.349599999999995"/>
  </r>
  <r>
    <x v="608"/>
    <d v="2016-05-06T00:00:00"/>
    <x v="2"/>
    <s v="Lindsay Williams"/>
    <s v="Corporate"/>
    <s v="United States"/>
    <x v="0"/>
    <x v="33"/>
    <x v="1"/>
    <x v="0"/>
    <x v="2"/>
    <x v="899"/>
    <n v="1685.88"/>
    <n v="6"/>
    <n v="0"/>
    <n v="320.31720000000001"/>
    <n v="1365.5628000000002"/>
  </r>
  <r>
    <x v="618"/>
    <d v="2017-02-17T00:00:00"/>
    <x v="1"/>
    <s v="Jennifer Patt"/>
    <s v="Corporate"/>
    <s v="United States"/>
    <x v="19"/>
    <x v="15"/>
    <x v="3"/>
    <x v="1"/>
    <x v="4"/>
    <x v="900"/>
    <n v="17.940000000000001"/>
    <n v="3"/>
    <n v="0"/>
    <n v="8.7905999999999995"/>
    <n v="9.1494000000000018"/>
  </r>
  <r>
    <x v="814"/>
    <d v="2014-07-09T00:00:00"/>
    <x v="1"/>
    <s v="Maxwell Schwartz"/>
    <s v="Consumer"/>
    <s v="United States"/>
    <x v="94"/>
    <x v="17"/>
    <x v="0"/>
    <x v="1"/>
    <x v="4"/>
    <x v="144"/>
    <n v="21.84"/>
    <n v="3"/>
    <n v="0"/>
    <n v="10.92"/>
    <n v="10.92"/>
  </r>
  <r>
    <x v="821"/>
    <d v="2014-01-07T00:00:00"/>
    <x v="2"/>
    <s v="Jack O'Briant"/>
    <s v="Corporate"/>
    <s v="United States"/>
    <x v="296"/>
    <x v="32"/>
    <x v="0"/>
    <x v="1"/>
    <x v="8"/>
    <x v="901"/>
    <n v="12.78"/>
    <n v="3"/>
    <n v="0"/>
    <n v="5.2397999999999998"/>
    <n v="7.5401999999999996"/>
  </r>
  <r>
    <x v="822"/>
    <d v="2016-02-14T00:00:00"/>
    <x v="2"/>
    <s v="John Stevenson"/>
    <s v="Consumer"/>
    <s v="United States"/>
    <x v="106"/>
    <x v="32"/>
    <x v="0"/>
    <x v="1"/>
    <x v="7"/>
    <x v="902"/>
    <n v="1350.12"/>
    <n v="6"/>
    <n v="0"/>
    <n v="175.51560000000001"/>
    <n v="1174.6043999999999"/>
  </r>
  <r>
    <x v="823"/>
    <d v="2015-08-15T00:00:00"/>
    <x v="1"/>
    <s v="Philisse Overcash"/>
    <s v="Home Office"/>
    <s v="United States"/>
    <x v="19"/>
    <x v="15"/>
    <x v="3"/>
    <x v="1"/>
    <x v="8"/>
    <x v="903"/>
    <n v="11.96"/>
    <n v="2"/>
    <n v="0"/>
    <n v="3.1095999999999999"/>
    <n v="8.8504000000000005"/>
  </r>
  <r>
    <x v="419"/>
    <d v="2017-06-17T00:00:00"/>
    <x v="1"/>
    <s v="Paul Gonzalez"/>
    <s v="Consumer"/>
    <s v="United States"/>
    <x v="23"/>
    <x v="17"/>
    <x v="0"/>
    <x v="1"/>
    <x v="8"/>
    <x v="904"/>
    <n v="181.86"/>
    <n v="7"/>
    <n v="0"/>
    <n v="50.9208"/>
    <n v="130.93920000000003"/>
  </r>
  <r>
    <x v="619"/>
    <d v="2015-02-27T00:00:00"/>
    <x v="1"/>
    <s v="Pierre Wener"/>
    <s v="Consumer"/>
    <s v="United States"/>
    <x v="28"/>
    <x v="40"/>
    <x v="3"/>
    <x v="1"/>
    <x v="5"/>
    <x v="905"/>
    <n v="2541.98"/>
    <n v="2"/>
    <n v="0"/>
    <n v="1270.99"/>
    <n v="1270.99"/>
  </r>
  <r>
    <x v="640"/>
    <d v="2016-01-31T00:00:00"/>
    <x v="2"/>
    <s v="Steven Cartwright"/>
    <s v="Consumer"/>
    <s v="United States"/>
    <x v="8"/>
    <x v="1"/>
    <x v="1"/>
    <x v="1"/>
    <x v="7"/>
    <x v="906"/>
    <n v="305.01"/>
    <n v="9"/>
    <n v="0"/>
    <n v="76.252499999999998"/>
    <n v="228.75749999999999"/>
  </r>
  <r>
    <x v="824"/>
    <d v="2015-05-31T00:00:00"/>
    <x v="1"/>
    <s v="Ruben Dartt"/>
    <s v="Consumer"/>
    <s v="United States"/>
    <x v="314"/>
    <x v="4"/>
    <x v="1"/>
    <x v="0"/>
    <x v="3"/>
    <x v="907"/>
    <n v="20.239999999999998"/>
    <n v="1"/>
    <n v="0"/>
    <n v="7.8936000000000002"/>
    <n v="12.346399999999999"/>
  </r>
  <r>
    <x v="825"/>
    <d v="2015-02-14T00:00:00"/>
    <x v="0"/>
    <s v="Nona Balk"/>
    <s v="Corporate"/>
    <s v="United States"/>
    <x v="10"/>
    <x v="9"/>
    <x v="3"/>
    <x v="1"/>
    <x v="7"/>
    <x v="597"/>
    <n v="77.239999999999995"/>
    <n v="5"/>
    <n v="0.2"/>
    <n v="7.7240000000000002"/>
    <n v="69.515999999999991"/>
  </r>
  <r>
    <x v="826"/>
    <d v="2014-04-02T00:00:00"/>
    <x v="1"/>
    <s v="Mike Gockenbach"/>
    <s v="Consumer"/>
    <s v="United States"/>
    <x v="204"/>
    <x v="5"/>
    <x v="2"/>
    <x v="0"/>
    <x v="2"/>
    <x v="511"/>
    <n v="890.84100000000001"/>
    <n v="3"/>
    <n v="0.3"/>
    <n v="-152.71559999999999"/>
    <n v="1043.5565999999999"/>
  </r>
  <r>
    <x v="311"/>
    <d v="2015-04-17T00:00:00"/>
    <x v="1"/>
    <s v="Patrick Ryan"/>
    <s v="Consumer"/>
    <s v="United States"/>
    <x v="63"/>
    <x v="2"/>
    <x v="0"/>
    <x v="0"/>
    <x v="3"/>
    <x v="196"/>
    <n v="67.36"/>
    <n v="2"/>
    <n v="0.2"/>
    <n v="10.103999999999999"/>
    <n v="57.256"/>
  </r>
  <r>
    <x v="789"/>
    <d v="2015-07-21T00:00:00"/>
    <x v="2"/>
    <s v="Karen Carlisle"/>
    <s v="Corporate"/>
    <s v="United States"/>
    <x v="19"/>
    <x v="15"/>
    <x v="3"/>
    <x v="1"/>
    <x v="8"/>
    <x v="301"/>
    <n v="5.76"/>
    <n v="2"/>
    <n v="0"/>
    <n v="1.6128"/>
    <n v="4.1471999999999998"/>
  </r>
  <r>
    <x v="827"/>
    <d v="2014-11-01T00:00:00"/>
    <x v="1"/>
    <s v="Bill Tyler"/>
    <s v="Corporate"/>
    <s v="United States"/>
    <x v="315"/>
    <x v="43"/>
    <x v="2"/>
    <x v="2"/>
    <x v="11"/>
    <x v="908"/>
    <n v="257.98"/>
    <n v="2"/>
    <n v="0"/>
    <n v="74.8142"/>
    <n v="183.16580000000002"/>
  </r>
  <r>
    <x v="323"/>
    <d v="2017-01-09T00:00:00"/>
    <x v="0"/>
    <s v="Jamie Frazer"/>
    <s v="Consumer"/>
    <s v="United States"/>
    <x v="76"/>
    <x v="1"/>
    <x v="1"/>
    <x v="1"/>
    <x v="7"/>
    <x v="696"/>
    <n v="153.78"/>
    <n v="11"/>
    <n v="0"/>
    <n v="44.596200000000003"/>
    <n v="109.18379999999999"/>
  </r>
  <r>
    <x v="240"/>
    <d v="2015-05-19T00:00:00"/>
    <x v="1"/>
    <s v="Claudia Bergmann"/>
    <s v="Corporate"/>
    <s v="United States"/>
    <x v="316"/>
    <x v="1"/>
    <x v="1"/>
    <x v="0"/>
    <x v="0"/>
    <x v="612"/>
    <n v="509.95749999999998"/>
    <n v="5"/>
    <n v="0.15"/>
    <n v="41.996499999999997"/>
    <n v="467.96100000000001"/>
  </r>
  <r>
    <x v="164"/>
    <d v="2017-01-21T00:00:00"/>
    <x v="2"/>
    <s v="Maris LaWare"/>
    <s v="Consumer"/>
    <s v="United States"/>
    <x v="21"/>
    <x v="10"/>
    <x v="2"/>
    <x v="1"/>
    <x v="1"/>
    <x v="631"/>
    <n v="11.52"/>
    <n v="5"/>
    <n v="0.2"/>
    <n v="4.1760000000000002"/>
    <n v="7.3439999999999994"/>
  </r>
  <r>
    <x v="347"/>
    <d v="2015-04-18T00:00:00"/>
    <x v="2"/>
    <s v="Lauren Leatherbury"/>
    <s v="Consumer"/>
    <s v="United States"/>
    <x v="129"/>
    <x v="17"/>
    <x v="0"/>
    <x v="2"/>
    <x v="11"/>
    <x v="909"/>
    <n v="569.64"/>
    <n v="2"/>
    <n v="0"/>
    <n v="148.10640000000001"/>
    <n v="421.53359999999998"/>
  </r>
  <r>
    <x v="828"/>
    <d v="2014-09-20T00:00:00"/>
    <x v="1"/>
    <s v="Alex Avila"/>
    <s v="Consumer"/>
    <s v="United States"/>
    <x v="19"/>
    <x v="15"/>
    <x v="3"/>
    <x v="1"/>
    <x v="4"/>
    <x v="14"/>
    <n v="14.94"/>
    <n v="3"/>
    <n v="0"/>
    <n v="7.0217999999999998"/>
    <n v="7.9181999999999997"/>
  </r>
  <r>
    <x v="821"/>
    <d v="2014-01-10T00:00:00"/>
    <x v="1"/>
    <s v="Maria Etezadi"/>
    <s v="Home Office"/>
    <s v="United States"/>
    <x v="0"/>
    <x v="0"/>
    <x v="0"/>
    <x v="0"/>
    <x v="9"/>
    <x v="57"/>
    <n v="2573.8200000000002"/>
    <n v="9"/>
    <n v="0"/>
    <n v="746.40779999999995"/>
    <n v="1827.4122000000002"/>
  </r>
  <r>
    <x v="203"/>
    <d v="2017-09-16T00:00:00"/>
    <x v="1"/>
    <s v="Cindy Chapman"/>
    <s v="Consumer"/>
    <s v="United States"/>
    <x v="12"/>
    <x v="5"/>
    <x v="2"/>
    <x v="1"/>
    <x v="4"/>
    <x v="725"/>
    <n v="10.272"/>
    <n v="3"/>
    <n v="0.2"/>
    <n v="3.21"/>
    <n v="7.0620000000000003"/>
  </r>
  <r>
    <x v="829"/>
    <d v="2014-05-14T00:00:00"/>
    <x v="0"/>
    <s v="Art Foster"/>
    <s v="Consumer"/>
    <s v="United States"/>
    <x v="10"/>
    <x v="9"/>
    <x v="3"/>
    <x v="0"/>
    <x v="0"/>
    <x v="825"/>
    <n v="349.96499999999997"/>
    <n v="7"/>
    <n v="0.5"/>
    <n v="-216.97829999999999"/>
    <n v="566.94329999999991"/>
  </r>
  <r>
    <x v="640"/>
    <d v="2016-02-01T00:00:00"/>
    <x v="0"/>
    <s v="Tim Brockman"/>
    <s v="Consumer"/>
    <s v="United States"/>
    <x v="4"/>
    <x v="4"/>
    <x v="1"/>
    <x v="0"/>
    <x v="9"/>
    <x v="910"/>
    <n v="435.16800000000001"/>
    <n v="4"/>
    <n v="0.2"/>
    <n v="-59.835599999999999"/>
    <n v="495.00360000000001"/>
  </r>
  <r>
    <x v="830"/>
    <d v="2014-02-24T00:00:00"/>
    <x v="2"/>
    <s v="Sue Ann Reed"/>
    <s v="Consumer"/>
    <s v="United States"/>
    <x v="317"/>
    <x v="1"/>
    <x v="1"/>
    <x v="1"/>
    <x v="4"/>
    <x v="911"/>
    <n v="19.440000000000001"/>
    <n v="3"/>
    <n v="0"/>
    <n v="9.3312000000000008"/>
    <n v="10.1088"/>
  </r>
  <r>
    <x v="574"/>
    <d v="2015-01-07T00:00:00"/>
    <x v="1"/>
    <s v="Katherine Murray"/>
    <s v="Home Office"/>
    <s v="United States"/>
    <x v="180"/>
    <x v="34"/>
    <x v="3"/>
    <x v="1"/>
    <x v="4"/>
    <x v="810"/>
    <n v="195.64"/>
    <n v="4"/>
    <n v="0"/>
    <n v="91.950800000000001"/>
    <n v="103.68919999999999"/>
  </r>
  <r>
    <x v="831"/>
    <d v="2015-05-01T00:00:00"/>
    <x v="2"/>
    <s v="Shirley Daniels"/>
    <s v="Home Office"/>
    <s v="United States"/>
    <x v="282"/>
    <x v="12"/>
    <x v="2"/>
    <x v="1"/>
    <x v="6"/>
    <x v="912"/>
    <n v="186.732"/>
    <n v="1"/>
    <n v="0.1"/>
    <n v="41.496000000000002"/>
    <n v="145.23599999999999"/>
  </r>
  <r>
    <x v="832"/>
    <d v="2015-02-21T00:00:00"/>
    <x v="1"/>
    <s v="Ted Trevino"/>
    <s v="Consumer"/>
    <s v="United States"/>
    <x v="29"/>
    <x v="15"/>
    <x v="3"/>
    <x v="1"/>
    <x v="5"/>
    <x v="913"/>
    <n v="26.423999999999999"/>
    <n v="9"/>
    <n v="0.2"/>
    <n v="9.5786999999999995"/>
    <n v="16.845300000000002"/>
  </r>
  <r>
    <x v="833"/>
    <d v="2015-01-12T00:00:00"/>
    <x v="1"/>
    <s v="Stefania Perrino"/>
    <s v="Corporate"/>
    <s v="United States"/>
    <x v="186"/>
    <x v="22"/>
    <x v="1"/>
    <x v="1"/>
    <x v="4"/>
    <x v="914"/>
    <n v="29.6"/>
    <n v="5"/>
    <n v="0.2"/>
    <n v="9.25"/>
    <n v="20.350000000000001"/>
  </r>
  <r>
    <x v="532"/>
    <d v="2015-06-24T00:00:00"/>
    <x v="1"/>
    <s v="Keith Herrera"/>
    <s v="Consumer"/>
    <s v="United States"/>
    <x v="72"/>
    <x v="17"/>
    <x v="0"/>
    <x v="0"/>
    <x v="3"/>
    <x v="915"/>
    <n v="60.84"/>
    <n v="3"/>
    <n v="0"/>
    <n v="19.468800000000002"/>
    <n v="41.371200000000002"/>
  </r>
  <r>
    <x v="834"/>
    <d v="2015-02-07T00:00:00"/>
    <x v="1"/>
    <s v="Frank Olsen"/>
    <s v="Consumer"/>
    <s v="United States"/>
    <x v="37"/>
    <x v="32"/>
    <x v="0"/>
    <x v="1"/>
    <x v="10"/>
    <x v="70"/>
    <n v="74.52"/>
    <n v="9"/>
    <n v="0"/>
    <n v="35.0244"/>
    <n v="39.495599999999996"/>
  </r>
  <r>
    <x v="835"/>
    <d v="2016-08-01T00:00:00"/>
    <x v="3"/>
    <s v="Thomas Seio"/>
    <s v="Corporate"/>
    <s v="United States"/>
    <x v="151"/>
    <x v="1"/>
    <x v="1"/>
    <x v="2"/>
    <x v="11"/>
    <x v="538"/>
    <n v="1039.7280000000001"/>
    <n v="2"/>
    <n v="0.2"/>
    <n v="90.976200000000006"/>
    <n v="948.7518"/>
  </r>
  <r>
    <x v="741"/>
    <d v="2015-07-18T00:00:00"/>
    <x v="1"/>
    <s v="Fred McMath"/>
    <s v="Consumer"/>
    <s v="United States"/>
    <x v="102"/>
    <x v="5"/>
    <x v="2"/>
    <x v="2"/>
    <x v="11"/>
    <x v="916"/>
    <n v="307.16800000000001"/>
    <n v="4"/>
    <n v="0.2"/>
    <n v="30.716799999999999"/>
    <n v="276.45120000000003"/>
  </r>
  <r>
    <x v="737"/>
    <d v="2014-03-29T00:00:00"/>
    <x v="0"/>
    <s v="Maurice Satty"/>
    <s v="Consumer"/>
    <s v="United States"/>
    <x v="177"/>
    <x v="1"/>
    <x v="1"/>
    <x v="0"/>
    <x v="3"/>
    <x v="917"/>
    <n v="40.479999999999997"/>
    <n v="2"/>
    <n v="0"/>
    <n v="14.572800000000001"/>
    <n v="25.907199999999996"/>
  </r>
  <r>
    <x v="836"/>
    <d v="2016-02-15T00:00:00"/>
    <x v="2"/>
    <s v="Dave Kipp"/>
    <s v="Consumer"/>
    <s v="United States"/>
    <x v="187"/>
    <x v="40"/>
    <x v="3"/>
    <x v="1"/>
    <x v="4"/>
    <x v="918"/>
    <n v="4.7699999999999996"/>
    <n v="1"/>
    <n v="0"/>
    <n v="2.1465000000000001"/>
    <n v="2.6234999999999995"/>
  </r>
  <r>
    <x v="837"/>
    <d v="2015-01-28T00:00:00"/>
    <x v="1"/>
    <s v="Cyra Reiten"/>
    <s v="Home Office"/>
    <s v="United States"/>
    <x v="318"/>
    <x v="2"/>
    <x v="0"/>
    <x v="1"/>
    <x v="8"/>
    <x v="148"/>
    <n v="13.12"/>
    <n v="5"/>
    <n v="0.2"/>
    <n v="2.1320000000000001"/>
    <n v="10.988"/>
  </r>
  <r>
    <x v="455"/>
    <d v="2016-03-02T00:00:00"/>
    <x v="1"/>
    <s v="Don Weiss"/>
    <s v="Consumer"/>
    <s v="United States"/>
    <x v="12"/>
    <x v="5"/>
    <x v="2"/>
    <x v="0"/>
    <x v="3"/>
    <x v="919"/>
    <n v="16.192"/>
    <n v="2"/>
    <n v="0.6"/>
    <n v="-6.8815999999999997"/>
    <n v="23.073599999999999"/>
  </r>
  <r>
    <x v="797"/>
    <d v="2016-08-22T00:00:00"/>
    <x v="1"/>
    <s v="Jeremy Pistek"/>
    <s v="Consumer"/>
    <s v="United States"/>
    <x v="319"/>
    <x v="1"/>
    <x v="1"/>
    <x v="1"/>
    <x v="4"/>
    <x v="550"/>
    <n v="32.4"/>
    <n v="5"/>
    <n v="0"/>
    <n v="15.552"/>
    <n v="16.847999999999999"/>
  </r>
  <r>
    <x v="257"/>
    <d v="2017-07-30T00:00:00"/>
    <x v="1"/>
    <s v="Nathan Mautz"/>
    <s v="Home Office"/>
    <s v="United States"/>
    <x v="19"/>
    <x v="15"/>
    <x v="3"/>
    <x v="1"/>
    <x v="5"/>
    <x v="139"/>
    <n v="13.92"/>
    <n v="3"/>
    <n v="0.2"/>
    <n v="4.3499999999999996"/>
    <n v="9.57"/>
  </r>
  <r>
    <x v="217"/>
    <d v="2016-04-30T00:00:00"/>
    <x v="0"/>
    <s v="Rob Beeghly"/>
    <s v="Consumer"/>
    <s v="United States"/>
    <x v="320"/>
    <x v="10"/>
    <x v="2"/>
    <x v="0"/>
    <x v="3"/>
    <x v="469"/>
    <n v="30.344000000000001"/>
    <n v="2"/>
    <n v="0.6"/>
    <n v="-31.8612"/>
    <n v="62.205200000000005"/>
  </r>
  <r>
    <x v="366"/>
    <d v="2014-05-07T00:00:00"/>
    <x v="2"/>
    <s v="Bill Shonely"/>
    <s v="Corporate"/>
    <s v="United States"/>
    <x v="4"/>
    <x v="4"/>
    <x v="1"/>
    <x v="0"/>
    <x v="3"/>
    <x v="398"/>
    <n v="12.18"/>
    <n v="7"/>
    <n v="0"/>
    <n v="3.8976000000000002"/>
    <n v="8.2823999999999991"/>
  </r>
  <r>
    <x v="405"/>
    <d v="2014-03-20T00:00:00"/>
    <x v="0"/>
    <s v="Quincy Jones"/>
    <s v="Corporate"/>
    <s v="United States"/>
    <x v="10"/>
    <x v="9"/>
    <x v="3"/>
    <x v="1"/>
    <x v="4"/>
    <x v="920"/>
    <n v="126.624"/>
    <n v="6"/>
    <n v="0.2"/>
    <n v="41.152799999999999"/>
    <n v="85.471199999999996"/>
  </r>
  <r>
    <x v="547"/>
    <d v="2016-01-11T00:00:00"/>
    <x v="1"/>
    <s v="Neoma Murray"/>
    <s v="Consumer"/>
    <s v="United States"/>
    <x v="102"/>
    <x v="5"/>
    <x v="2"/>
    <x v="0"/>
    <x v="3"/>
    <x v="921"/>
    <n v="23.076000000000001"/>
    <n v="3"/>
    <n v="0.6"/>
    <n v="-10.9611"/>
    <n v="34.037100000000002"/>
  </r>
  <r>
    <x v="736"/>
    <d v="2015-08-09T00:00:00"/>
    <x v="2"/>
    <s v="Noel Staavos"/>
    <s v="Corporate"/>
    <s v="United States"/>
    <x v="207"/>
    <x v="40"/>
    <x v="3"/>
    <x v="1"/>
    <x v="6"/>
    <x v="789"/>
    <n v="77.58"/>
    <n v="9"/>
    <n v="0"/>
    <n v="20.1708"/>
    <n v="57.409199999999998"/>
  </r>
  <r>
    <x v="838"/>
    <d v="2015-12-14T00:00:00"/>
    <x v="1"/>
    <s v="Meg Tillman"/>
    <s v="Consumer"/>
    <s v="United States"/>
    <x v="8"/>
    <x v="1"/>
    <x v="1"/>
    <x v="1"/>
    <x v="1"/>
    <x v="631"/>
    <n v="5.76"/>
    <n v="2"/>
    <n v="0"/>
    <n v="2.8224"/>
    <n v="2.9375999999999998"/>
  </r>
  <r>
    <x v="658"/>
    <d v="2014-07-23T00:00:00"/>
    <x v="2"/>
    <s v="Jonathan Doherty"/>
    <s v="Corporate"/>
    <s v="United States"/>
    <x v="151"/>
    <x v="1"/>
    <x v="1"/>
    <x v="2"/>
    <x v="12"/>
    <x v="922"/>
    <n v="41.94"/>
    <n v="2"/>
    <n v="0"/>
    <n v="15.0984"/>
    <n v="26.8416"/>
  </r>
  <r>
    <x v="607"/>
    <d v="2014-01-29T00:00:00"/>
    <x v="2"/>
    <s v="Carol Adams"/>
    <s v="Corporate"/>
    <s v="United States"/>
    <x v="321"/>
    <x v="41"/>
    <x v="2"/>
    <x v="1"/>
    <x v="5"/>
    <x v="923"/>
    <n v="10.68"/>
    <n v="2"/>
    <n v="0"/>
    <n v="5.0195999999999996"/>
    <n v="5.6604000000000001"/>
  </r>
  <r>
    <x v="836"/>
    <d v="2016-02-19T00:00:00"/>
    <x v="1"/>
    <s v="Fred McMath"/>
    <s v="Consumer"/>
    <s v="United States"/>
    <x v="24"/>
    <x v="35"/>
    <x v="0"/>
    <x v="1"/>
    <x v="8"/>
    <x v="924"/>
    <n v="264.18"/>
    <n v="7"/>
    <n v="0"/>
    <n v="68.686800000000005"/>
    <n v="195.4932"/>
  </r>
  <r>
    <x v="839"/>
    <d v="2014-07-13T00:00:00"/>
    <x v="1"/>
    <s v="Gary Hansen"/>
    <s v="Home Office"/>
    <s v="United States"/>
    <x v="1"/>
    <x v="1"/>
    <x v="1"/>
    <x v="1"/>
    <x v="1"/>
    <x v="925"/>
    <n v="2.88"/>
    <n v="1"/>
    <n v="0"/>
    <n v="1.4112"/>
    <n v="1.4687999999999999"/>
  </r>
  <r>
    <x v="533"/>
    <d v="2015-10-05T00:00:00"/>
    <x v="0"/>
    <s v="Sheri Gordon"/>
    <s v="Consumer"/>
    <s v="United States"/>
    <x v="173"/>
    <x v="40"/>
    <x v="3"/>
    <x v="1"/>
    <x v="4"/>
    <x v="926"/>
    <n v="19.440000000000001"/>
    <n v="3"/>
    <n v="0"/>
    <n v="9.3312000000000008"/>
    <n v="10.1088"/>
  </r>
  <r>
    <x v="406"/>
    <d v="2014-10-07T00:00:00"/>
    <x v="1"/>
    <s v="Russell D'Ascenzo"/>
    <s v="Consumer"/>
    <s v="United States"/>
    <x v="57"/>
    <x v="5"/>
    <x v="2"/>
    <x v="1"/>
    <x v="13"/>
    <x v="846"/>
    <n v="4.3440000000000003"/>
    <n v="3"/>
    <n v="0.2"/>
    <n v="0.86880000000000002"/>
    <n v="3.4752000000000001"/>
  </r>
  <r>
    <x v="651"/>
    <d v="2016-02-25T00:00:00"/>
    <x v="1"/>
    <s v="Lindsay Castell"/>
    <s v="Home Office"/>
    <s v="United States"/>
    <x v="63"/>
    <x v="2"/>
    <x v="0"/>
    <x v="1"/>
    <x v="5"/>
    <x v="379"/>
    <n v="3.762"/>
    <n v="3"/>
    <n v="0.7"/>
    <n v="-2.7587999999999999"/>
    <n v="6.5207999999999995"/>
  </r>
  <r>
    <x v="444"/>
    <d v="2014-03-15T00:00:00"/>
    <x v="1"/>
    <s v="Richard Bierner"/>
    <s v="Consumer"/>
    <s v="United States"/>
    <x v="40"/>
    <x v="1"/>
    <x v="1"/>
    <x v="1"/>
    <x v="8"/>
    <x v="927"/>
    <n v="7.98"/>
    <n v="3"/>
    <n v="0"/>
    <n v="2.0748000000000002"/>
    <n v="5.9052000000000007"/>
  </r>
  <r>
    <x v="569"/>
    <d v="2015-04-24T00:00:00"/>
    <x v="1"/>
    <s v="Olvera Toch"/>
    <s v="Consumer"/>
    <s v="United States"/>
    <x v="62"/>
    <x v="12"/>
    <x v="2"/>
    <x v="1"/>
    <x v="10"/>
    <x v="659"/>
    <n v="180.96"/>
    <n v="2"/>
    <n v="0"/>
    <n v="81.432000000000002"/>
    <n v="99.528000000000006"/>
  </r>
  <r>
    <x v="840"/>
    <d v="2017-04-16T00:00:00"/>
    <x v="1"/>
    <s v="Henry MacAllister"/>
    <s v="Consumer"/>
    <s v="United States"/>
    <x v="128"/>
    <x v="3"/>
    <x v="0"/>
    <x v="1"/>
    <x v="8"/>
    <x v="928"/>
    <n v="1.752"/>
    <n v="1"/>
    <n v="0.2"/>
    <n v="0.15329999999999999"/>
    <n v="1.5987"/>
  </r>
  <r>
    <x v="662"/>
    <d v="2014-06-30T00:00:00"/>
    <x v="3"/>
    <s v="Brian DeCherney"/>
    <s v="Consumer"/>
    <s v="United States"/>
    <x v="92"/>
    <x v="3"/>
    <x v="0"/>
    <x v="1"/>
    <x v="4"/>
    <x v="929"/>
    <n v="310.68799999999999"/>
    <n v="7"/>
    <n v="0.2"/>
    <n v="108.74079999999999"/>
    <n v="201.94720000000001"/>
  </r>
  <r>
    <x v="441"/>
    <d v="2017-02-15T00:00:00"/>
    <x v="1"/>
    <s v="Don Jones"/>
    <s v="Corporate"/>
    <s v="United States"/>
    <x v="19"/>
    <x v="15"/>
    <x v="3"/>
    <x v="1"/>
    <x v="1"/>
    <x v="222"/>
    <n v="20.7"/>
    <n v="2"/>
    <n v="0"/>
    <n v="9.9359999999999999"/>
    <n v="10.763999999999999"/>
  </r>
  <r>
    <x v="681"/>
    <d v="2015-03-03T00:00:00"/>
    <x v="0"/>
    <s v="Dave Hallsten"/>
    <s v="Corporate"/>
    <s v="United States"/>
    <x v="1"/>
    <x v="1"/>
    <x v="1"/>
    <x v="2"/>
    <x v="11"/>
    <x v="189"/>
    <n v="15.984"/>
    <n v="2"/>
    <n v="0.2"/>
    <n v="1.1988000000000001"/>
    <n v="14.7852"/>
  </r>
  <r>
    <x v="841"/>
    <d v="2016-12-26T00:00:00"/>
    <x v="1"/>
    <s v="Lena Creighton"/>
    <s v="Consumer"/>
    <s v="United States"/>
    <x v="19"/>
    <x v="15"/>
    <x v="3"/>
    <x v="1"/>
    <x v="5"/>
    <x v="930"/>
    <n v="25.584"/>
    <n v="2"/>
    <n v="0.2"/>
    <n v="8.9543999999999997"/>
    <n v="16.6296"/>
  </r>
  <r>
    <x v="624"/>
    <d v="2015-07-24T00:00:00"/>
    <x v="1"/>
    <s v="Victoria Brennan"/>
    <s v="Corporate"/>
    <s v="United States"/>
    <x v="12"/>
    <x v="5"/>
    <x v="2"/>
    <x v="1"/>
    <x v="1"/>
    <x v="888"/>
    <n v="6.2640000000000002"/>
    <n v="3"/>
    <n v="0.2"/>
    <n v="2.0358000000000001"/>
    <n v="4.2282000000000002"/>
  </r>
  <r>
    <x v="747"/>
    <d v="2014-06-03T00:00:00"/>
    <x v="1"/>
    <s v="Mark Cousins"/>
    <s v="Corporate"/>
    <s v="United States"/>
    <x v="21"/>
    <x v="10"/>
    <x v="2"/>
    <x v="2"/>
    <x v="16"/>
    <x v="931"/>
    <n v="719.976"/>
    <n v="3"/>
    <n v="0.2"/>
    <n v="134.99549999999999"/>
    <n v="584.98050000000001"/>
  </r>
  <r>
    <x v="783"/>
    <d v="2015-05-22T00:00:00"/>
    <x v="1"/>
    <s v="Fred Chung"/>
    <s v="Corporate"/>
    <s v="United States"/>
    <x v="10"/>
    <x v="9"/>
    <x v="3"/>
    <x v="1"/>
    <x v="7"/>
    <x v="932"/>
    <n v="51.968000000000004"/>
    <n v="2"/>
    <n v="0.2"/>
    <n v="-10.393599999999999"/>
    <n v="62.361600000000003"/>
  </r>
  <r>
    <x v="842"/>
    <d v="2017-04-01T00:00:00"/>
    <x v="0"/>
    <s v="Alan Barnes"/>
    <s v="Consumer"/>
    <s v="United States"/>
    <x v="284"/>
    <x v="1"/>
    <x v="1"/>
    <x v="0"/>
    <x v="3"/>
    <x v="592"/>
    <n v="94.2"/>
    <n v="5"/>
    <n v="0"/>
    <n v="39.564"/>
    <n v="54.636000000000003"/>
  </r>
  <r>
    <x v="843"/>
    <d v="2014-08-28T00:00:00"/>
    <x v="0"/>
    <s v="Corey Roper"/>
    <s v="Home Office"/>
    <s v="United States"/>
    <x v="261"/>
    <x v="12"/>
    <x v="2"/>
    <x v="1"/>
    <x v="4"/>
    <x v="247"/>
    <n v="19.440000000000001"/>
    <n v="3"/>
    <n v="0"/>
    <n v="9.5256000000000007"/>
    <n v="9.9144000000000005"/>
  </r>
  <r>
    <x v="844"/>
    <d v="2017-07-16T00:00:00"/>
    <x v="1"/>
    <s v="Tom Stivers"/>
    <s v="Corporate"/>
    <s v="United States"/>
    <x v="65"/>
    <x v="1"/>
    <x v="1"/>
    <x v="2"/>
    <x v="11"/>
    <x v="278"/>
    <n v="71.951999999999998"/>
    <n v="6"/>
    <n v="0.2"/>
    <n v="5.3963999999999999"/>
    <n v="66.555599999999998"/>
  </r>
  <r>
    <x v="285"/>
    <d v="2014-02-10T00:00:00"/>
    <x v="0"/>
    <s v="Chris Selesnick"/>
    <s v="Corporate"/>
    <s v="United States"/>
    <x v="19"/>
    <x v="15"/>
    <x v="3"/>
    <x v="1"/>
    <x v="7"/>
    <x v="933"/>
    <n v="64.959999999999994"/>
    <n v="4"/>
    <n v="0"/>
    <n v="9.7439999999999998"/>
    <n v="55.215999999999994"/>
  </r>
  <r>
    <x v="763"/>
    <d v="2016-02-06T00:00:00"/>
    <x v="1"/>
    <s v="Ben Ferrer"/>
    <s v="Home Office"/>
    <s v="United States"/>
    <x v="106"/>
    <x v="32"/>
    <x v="0"/>
    <x v="1"/>
    <x v="5"/>
    <x v="905"/>
    <n v="1270.99"/>
    <n v="1"/>
    <n v="0"/>
    <n v="635.495"/>
    <n v="635.495"/>
  </r>
  <r>
    <x v="845"/>
    <d v="2015-09-25T00:00:00"/>
    <x v="2"/>
    <s v="Frank Olsen"/>
    <s v="Consumer"/>
    <s v="United States"/>
    <x v="10"/>
    <x v="9"/>
    <x v="3"/>
    <x v="1"/>
    <x v="15"/>
    <x v="865"/>
    <n v="55.6"/>
    <n v="5"/>
    <n v="0.2"/>
    <n v="6.2549999999999999"/>
    <n v="49.344999999999999"/>
  </r>
  <r>
    <x v="846"/>
    <d v="2015-02-01T00:00:00"/>
    <x v="1"/>
    <s v="Elizabeth Moffitt"/>
    <s v="Corporate"/>
    <s v="United States"/>
    <x v="317"/>
    <x v="1"/>
    <x v="1"/>
    <x v="1"/>
    <x v="4"/>
    <x v="604"/>
    <n v="182.72"/>
    <n v="8"/>
    <n v="0"/>
    <n v="84.051199999999994"/>
    <n v="98.668800000000005"/>
  </r>
  <r>
    <x v="213"/>
    <d v="2014-08-10T00:00:00"/>
    <x v="0"/>
    <s v="Vivek Gonzalez"/>
    <s v="Consumer"/>
    <s v="United States"/>
    <x v="99"/>
    <x v="2"/>
    <x v="0"/>
    <x v="0"/>
    <x v="0"/>
    <x v="562"/>
    <n v="155.45599999999999"/>
    <n v="4"/>
    <n v="0.2"/>
    <n v="-7.7728000000000002"/>
    <n v="163.22879999999998"/>
  </r>
  <r>
    <x v="670"/>
    <d v="2014-08-17T00:00:00"/>
    <x v="2"/>
    <s v="Christine Sundaresam"/>
    <s v="Consumer"/>
    <s v="United States"/>
    <x v="322"/>
    <x v="2"/>
    <x v="0"/>
    <x v="1"/>
    <x v="4"/>
    <x v="934"/>
    <n v="91.36"/>
    <n v="5"/>
    <n v="0.2"/>
    <n v="29.692"/>
    <n v="61.667999999999999"/>
  </r>
  <r>
    <x v="56"/>
    <d v="2015-04-06T00:00:00"/>
    <x v="3"/>
    <s v="Jennifer Ferguson"/>
    <s v="Consumer"/>
    <s v="United States"/>
    <x v="215"/>
    <x v="4"/>
    <x v="1"/>
    <x v="2"/>
    <x v="12"/>
    <x v="935"/>
    <n v="239.94"/>
    <n v="6"/>
    <n v="0"/>
    <n v="26.3934"/>
    <n v="213.54660000000001"/>
  </r>
  <r>
    <x v="369"/>
    <d v="2014-04-26T00:00:00"/>
    <x v="1"/>
    <s v="Dorothy Badders"/>
    <s v="Corporate"/>
    <s v="United States"/>
    <x v="0"/>
    <x v="0"/>
    <x v="0"/>
    <x v="1"/>
    <x v="7"/>
    <x v="894"/>
    <n v="828.84"/>
    <n v="6"/>
    <n v="0"/>
    <n v="0"/>
    <n v="828.84"/>
  </r>
  <r>
    <x v="847"/>
    <d v="2015-02-08T00:00:00"/>
    <x v="2"/>
    <s v="Lori Olson"/>
    <s v="Corporate"/>
    <s v="United States"/>
    <x v="205"/>
    <x v="17"/>
    <x v="0"/>
    <x v="1"/>
    <x v="7"/>
    <x v="936"/>
    <n v="146.72999999999999"/>
    <n v="3"/>
    <n v="0"/>
    <n v="2.9346000000000001"/>
    <n v="143.7954"/>
  </r>
  <r>
    <x v="848"/>
    <d v="2017-01-24T00:00:00"/>
    <x v="0"/>
    <s v="Neola Schneider"/>
    <s v="Consumer"/>
    <s v="United States"/>
    <x v="10"/>
    <x v="9"/>
    <x v="3"/>
    <x v="2"/>
    <x v="11"/>
    <x v="937"/>
    <n v="429.6"/>
    <n v="2"/>
    <n v="0.4"/>
    <n v="-93.08"/>
    <n v="522.68000000000006"/>
  </r>
  <r>
    <x v="760"/>
    <d v="2014-09-08T00:00:00"/>
    <x v="1"/>
    <s v="Bryan Mills"/>
    <s v="Consumer"/>
    <s v="United States"/>
    <x v="323"/>
    <x v="10"/>
    <x v="2"/>
    <x v="2"/>
    <x v="12"/>
    <x v="51"/>
    <n v="475.94400000000002"/>
    <n v="7"/>
    <n v="0.2"/>
    <n v="95.188800000000001"/>
    <n v="380.7552"/>
  </r>
  <r>
    <x v="849"/>
    <d v="2014-01-28T00:00:00"/>
    <x v="1"/>
    <s v="Ionia McGrath"/>
    <s v="Consumer"/>
    <s v="United States"/>
    <x v="89"/>
    <x v="33"/>
    <x v="1"/>
    <x v="1"/>
    <x v="4"/>
    <x v="60"/>
    <n v="40.08"/>
    <n v="6"/>
    <n v="0"/>
    <n v="19.238399999999999"/>
    <n v="20.8416"/>
  </r>
  <r>
    <x v="850"/>
    <d v="2017-02-26T00:00:00"/>
    <x v="1"/>
    <s v="Dave Kipp"/>
    <s v="Consumer"/>
    <s v="United States"/>
    <x v="220"/>
    <x v="5"/>
    <x v="2"/>
    <x v="2"/>
    <x v="12"/>
    <x v="938"/>
    <n v="47.904000000000003"/>
    <n v="1"/>
    <n v="0.2"/>
    <n v="-2.9940000000000002"/>
    <n v="50.898000000000003"/>
  </r>
  <r>
    <x v="140"/>
    <d v="2017-08-31T00:00:00"/>
    <x v="1"/>
    <s v="Sarah Foster"/>
    <s v="Consumer"/>
    <s v="United States"/>
    <x v="112"/>
    <x v="16"/>
    <x v="1"/>
    <x v="0"/>
    <x v="3"/>
    <x v="592"/>
    <n v="120.57599999999999"/>
    <n v="8"/>
    <n v="0.2"/>
    <n v="33.1584"/>
    <n v="87.417599999999993"/>
  </r>
  <r>
    <x v="851"/>
    <d v="2015-10-25T00:00:00"/>
    <x v="3"/>
    <s v="Deirdre Greer"/>
    <s v="Corporate"/>
    <s v="United States"/>
    <x v="56"/>
    <x v="22"/>
    <x v="1"/>
    <x v="0"/>
    <x v="9"/>
    <x v="690"/>
    <n v="582.33600000000001"/>
    <n v="8"/>
    <n v="0.2"/>
    <n v="-29.116800000000001"/>
    <n v="611.45280000000002"/>
  </r>
  <r>
    <x v="852"/>
    <d v="2014-03-03T00:00:00"/>
    <x v="2"/>
    <s v="Joy Smith"/>
    <s v="Consumer"/>
    <s v="United States"/>
    <x v="37"/>
    <x v="24"/>
    <x v="3"/>
    <x v="1"/>
    <x v="8"/>
    <x v="218"/>
    <n v="19.456"/>
    <n v="4"/>
    <n v="0.2"/>
    <n v="3.4047999999999998"/>
    <n v="16.051200000000001"/>
  </r>
  <r>
    <x v="774"/>
    <d v="2017-01-07T00:00:00"/>
    <x v="1"/>
    <s v="Christopher Martinez"/>
    <s v="Consumer"/>
    <s v="United States"/>
    <x v="8"/>
    <x v="1"/>
    <x v="1"/>
    <x v="1"/>
    <x v="5"/>
    <x v="170"/>
    <n v="2022.2719999999999"/>
    <n v="8"/>
    <n v="0.2"/>
    <n v="682.51679999999999"/>
    <n v="1339.7552000000001"/>
  </r>
  <r>
    <x v="853"/>
    <d v="2017-01-29T00:00:00"/>
    <x v="1"/>
    <s v="Keith Dawkins"/>
    <s v="Corporate"/>
    <s v="United States"/>
    <x v="46"/>
    <x v="1"/>
    <x v="1"/>
    <x v="1"/>
    <x v="6"/>
    <x v="789"/>
    <n v="25.86"/>
    <n v="3"/>
    <n v="0"/>
    <n v="6.7236000000000002"/>
    <n v="19.136399999999998"/>
  </r>
  <r>
    <x v="25"/>
    <d v="2016-06-23T00:00:00"/>
    <x v="1"/>
    <s v="Denise Monton"/>
    <s v="Corporate"/>
    <s v="United States"/>
    <x v="29"/>
    <x v="15"/>
    <x v="3"/>
    <x v="0"/>
    <x v="2"/>
    <x v="939"/>
    <n v="376.86599999999999"/>
    <n v="3"/>
    <n v="0.4"/>
    <n v="-213.5574"/>
    <n v="590.42340000000002"/>
  </r>
  <r>
    <x v="854"/>
    <d v="2015-01-31T00:00:00"/>
    <x v="0"/>
    <s v="Joseph Holt"/>
    <s v="Consumer"/>
    <s v="United States"/>
    <x v="3"/>
    <x v="3"/>
    <x v="0"/>
    <x v="0"/>
    <x v="2"/>
    <x v="272"/>
    <n v="4297.6440000000002"/>
    <n v="13"/>
    <n v="0.4"/>
    <n v="-1862.3124"/>
    <n v="6159.9564"/>
  </r>
  <r>
    <x v="773"/>
    <d v="2014-03-12T00:00:00"/>
    <x v="1"/>
    <s v="Craig Molinari"/>
    <s v="Corporate"/>
    <s v="United States"/>
    <x v="4"/>
    <x v="4"/>
    <x v="1"/>
    <x v="1"/>
    <x v="8"/>
    <x v="600"/>
    <n v="20.65"/>
    <n v="5"/>
    <n v="0"/>
    <n v="9.4990000000000006"/>
    <n v="11.150999999999998"/>
  </r>
  <r>
    <x v="855"/>
    <d v="2017-04-06T00:00:00"/>
    <x v="1"/>
    <s v="Amy Hunt"/>
    <s v="Consumer"/>
    <s v="United States"/>
    <x v="26"/>
    <x v="19"/>
    <x v="0"/>
    <x v="1"/>
    <x v="1"/>
    <x v="294"/>
    <n v="14.94"/>
    <n v="3"/>
    <n v="0"/>
    <n v="6.8723999999999998"/>
    <n v="8.0675999999999988"/>
  </r>
  <r>
    <x v="856"/>
    <d v="2015-05-13T00:00:00"/>
    <x v="1"/>
    <s v="Max Engle"/>
    <s v="Consumer"/>
    <s v="United States"/>
    <x v="95"/>
    <x v="0"/>
    <x v="0"/>
    <x v="1"/>
    <x v="5"/>
    <x v="822"/>
    <n v="48.81"/>
    <n v="3"/>
    <n v="0"/>
    <n v="23.916899999999998"/>
    <n v="24.893100000000004"/>
  </r>
  <r>
    <x v="670"/>
    <d v="2014-08-19T00:00:00"/>
    <x v="1"/>
    <s v="Brian Dahlen"/>
    <s v="Consumer"/>
    <s v="United States"/>
    <x v="8"/>
    <x v="1"/>
    <x v="1"/>
    <x v="1"/>
    <x v="6"/>
    <x v="940"/>
    <n v="152.91"/>
    <n v="3"/>
    <n v="0"/>
    <n v="42.814799999999998"/>
    <n v="110.09520000000001"/>
  </r>
  <r>
    <x v="372"/>
    <d v="2017-01-20T00:00:00"/>
    <x v="1"/>
    <s v="Hallie Redmond"/>
    <s v="Home Office"/>
    <s v="United States"/>
    <x v="94"/>
    <x v="14"/>
    <x v="2"/>
    <x v="1"/>
    <x v="7"/>
    <x v="432"/>
    <n v="67.400000000000006"/>
    <n v="5"/>
    <n v="0"/>
    <n v="17.524000000000001"/>
    <n v="49.876000000000005"/>
  </r>
  <r>
    <x v="857"/>
    <d v="2015-03-28T00:00:00"/>
    <x v="0"/>
    <s v="Suzanne McNair"/>
    <s v="Corporate"/>
    <s v="United States"/>
    <x v="19"/>
    <x v="15"/>
    <x v="3"/>
    <x v="1"/>
    <x v="7"/>
    <x v="835"/>
    <n v="1085.42"/>
    <n v="7"/>
    <n v="0"/>
    <n v="282.20920000000001"/>
    <n v="803.21080000000006"/>
  </r>
  <r>
    <x v="858"/>
    <d v="2016-08-25T00:00:00"/>
    <x v="1"/>
    <s v="Jay Kimmel"/>
    <s v="Consumer"/>
    <s v="United States"/>
    <x v="19"/>
    <x v="15"/>
    <x v="3"/>
    <x v="0"/>
    <x v="9"/>
    <x v="453"/>
    <n v="573.17399999999998"/>
    <n v="7"/>
    <n v="0.1"/>
    <n v="63.686"/>
    <n v="509.488"/>
  </r>
  <r>
    <x v="849"/>
    <d v="2014-01-27T00:00:00"/>
    <x v="1"/>
    <s v="Speros Goranitis"/>
    <s v="Consumer"/>
    <s v="United States"/>
    <x v="219"/>
    <x v="14"/>
    <x v="2"/>
    <x v="1"/>
    <x v="13"/>
    <x v="220"/>
    <n v="5.94"/>
    <n v="3"/>
    <n v="0"/>
    <n v="0"/>
    <n v="5.94"/>
  </r>
  <r>
    <x v="729"/>
    <d v="2015-05-23T00:00:00"/>
    <x v="1"/>
    <s v="Dianna Vittorini"/>
    <s v="Consumer"/>
    <s v="United States"/>
    <x v="76"/>
    <x v="15"/>
    <x v="3"/>
    <x v="1"/>
    <x v="1"/>
    <x v="391"/>
    <n v="31.5"/>
    <n v="10"/>
    <n v="0"/>
    <n v="15.12"/>
    <n v="16.380000000000003"/>
  </r>
  <r>
    <x v="859"/>
    <d v="2014-01-23T00:00:00"/>
    <x v="0"/>
    <s v="Tom Boeckenhauer"/>
    <s v="Consumer"/>
    <s v="United States"/>
    <x v="91"/>
    <x v="2"/>
    <x v="0"/>
    <x v="0"/>
    <x v="3"/>
    <x v="941"/>
    <n v="25.248000000000001"/>
    <n v="3"/>
    <n v="0.2"/>
    <n v="4.1028000000000002"/>
    <n v="21.145200000000003"/>
  </r>
  <r>
    <x v="373"/>
    <d v="2017-03-03T00:00:00"/>
    <x v="1"/>
    <s v="Dave Brooks"/>
    <s v="Consumer"/>
    <s v="United States"/>
    <x v="104"/>
    <x v="1"/>
    <x v="1"/>
    <x v="0"/>
    <x v="3"/>
    <x v="942"/>
    <n v="91.96"/>
    <n v="2"/>
    <n v="0"/>
    <n v="15.6332"/>
    <n v="76.3267999999999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CAD37-496E-4DF4-8DA0-56A5CC2BF8E9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C4D60-0181-4221-B1E7-4C6F8F6B4E4A}" name="PivotTable1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9">
  <location ref="AO3:AP8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 sortType="descending">
      <items count="325">
        <item x="263"/>
        <item x="162"/>
        <item x="243"/>
        <item x="313"/>
        <item x="92"/>
        <item x="298"/>
        <item x="58"/>
        <item x="194"/>
        <item x="16"/>
        <item x="54"/>
        <item x="318"/>
        <item x="7"/>
        <item x="272"/>
        <item x="129"/>
        <item x="218"/>
        <item x="295"/>
        <item x="157"/>
        <item x="90"/>
        <item x="120"/>
        <item x="155"/>
        <item x="191"/>
        <item x="126"/>
        <item x="121"/>
        <item x="248"/>
        <item x="36"/>
        <item x="127"/>
        <item x="209"/>
        <item x="84"/>
        <item x="20"/>
        <item x="136"/>
        <item x="160"/>
        <item x="202"/>
        <item x="285"/>
        <item x="196"/>
        <item x="71"/>
        <item x="63"/>
        <item x="69"/>
        <item x="251"/>
        <item x="205"/>
        <item x="279"/>
        <item x="23"/>
        <item x="215"/>
        <item x="233"/>
        <item x="214"/>
        <item x="188"/>
        <item x="252"/>
        <item x="125"/>
        <item x="4"/>
        <item x="45"/>
        <item x="303"/>
        <item x="142"/>
        <item x="289"/>
        <item x="46"/>
        <item x="287"/>
        <item x="8"/>
        <item x="65"/>
        <item x="49"/>
        <item x="116"/>
        <item x="75"/>
        <item x="32"/>
        <item x="267"/>
        <item x="320"/>
        <item x="59"/>
        <item x="280"/>
        <item x="172"/>
        <item x="152"/>
        <item x="212"/>
        <item x="40"/>
        <item x="173"/>
        <item x="159"/>
        <item x="270"/>
        <item x="123"/>
        <item x="29"/>
        <item x="151"/>
        <item x="94"/>
        <item x="309"/>
        <item x="52"/>
        <item x="321"/>
        <item x="225"/>
        <item x="210"/>
        <item x="85"/>
        <item x="181"/>
        <item x="245"/>
        <item x="180"/>
        <item x="31"/>
        <item x="286"/>
        <item x="195"/>
        <item x="304"/>
        <item x="269"/>
        <item x="204"/>
        <item x="124"/>
        <item x="185"/>
        <item x="153"/>
        <item x="10"/>
        <item x="258"/>
        <item x="88"/>
        <item x="86"/>
        <item x="221"/>
        <item x="42"/>
        <item x="300"/>
        <item x="105"/>
        <item x="101"/>
        <item x="131"/>
        <item x="226"/>
        <item x="253"/>
        <item x="35"/>
        <item x="11"/>
        <item x="250"/>
        <item x="200"/>
        <item x="242"/>
        <item x="271"/>
        <item x="134"/>
        <item x="163"/>
        <item x="148"/>
        <item x="268"/>
        <item x="203"/>
        <item x="193"/>
        <item x="239"/>
        <item x="43"/>
        <item x="19"/>
        <item x="97"/>
        <item x="234"/>
        <item x="147"/>
        <item x="190"/>
        <item x="18"/>
        <item x="264"/>
        <item x="13"/>
        <item x="262"/>
        <item x="156"/>
        <item x="183"/>
        <item x="78"/>
        <item x="132"/>
        <item x="256"/>
        <item x="67"/>
        <item x="317"/>
        <item x="111"/>
        <item x="50"/>
        <item x="189"/>
        <item x="216"/>
        <item x="122"/>
        <item x="241"/>
        <item x="30"/>
        <item x="143"/>
        <item x="282"/>
        <item x="91"/>
        <item x="112"/>
        <item x="211"/>
        <item x="25"/>
        <item x="14"/>
        <item x="60"/>
        <item x="302"/>
        <item x="310"/>
        <item x="115"/>
        <item x="231"/>
        <item x="299"/>
        <item x="288"/>
        <item x="260"/>
        <item x="228"/>
        <item x="82"/>
        <item x="235"/>
        <item x="6"/>
        <item x="178"/>
        <item x="81"/>
        <item x="95"/>
        <item x="1"/>
        <item x="145"/>
        <item x="76"/>
        <item x="146"/>
        <item x="230"/>
        <item x="291"/>
        <item x="306"/>
        <item x="301"/>
        <item x="79"/>
        <item x="109"/>
        <item x="89"/>
        <item x="247"/>
        <item x="117"/>
        <item x="168"/>
        <item x="139"/>
        <item x="284"/>
        <item x="64"/>
        <item x="110"/>
        <item x="254"/>
        <item x="219"/>
        <item x="167"/>
        <item x="275"/>
        <item x="229"/>
        <item x="208"/>
        <item x="164"/>
        <item x="223"/>
        <item x="158"/>
        <item x="240"/>
        <item x="99"/>
        <item x="24"/>
        <item x="232"/>
        <item x="41"/>
        <item x="103"/>
        <item x="93"/>
        <item x="12"/>
        <item x="244"/>
        <item x="166"/>
        <item x="236"/>
        <item x="322"/>
        <item x="305"/>
        <item x="255"/>
        <item x="133"/>
        <item x="77"/>
        <item x="0"/>
        <item x="293"/>
        <item x="170"/>
        <item x="83"/>
        <item x="292"/>
        <item x="53"/>
        <item x="74"/>
        <item x="176"/>
        <item x="118"/>
        <item x="259"/>
        <item x="206"/>
        <item x="113"/>
        <item x="108"/>
        <item x="199"/>
        <item x="261"/>
        <item x="227"/>
        <item x="192"/>
        <item x="107"/>
        <item x="22"/>
        <item x="98"/>
        <item x="315"/>
        <item x="177"/>
        <item x="9"/>
        <item x="184"/>
        <item x="44"/>
        <item x="5"/>
        <item x="2"/>
        <item x="144"/>
        <item x="154"/>
        <item x="150"/>
        <item x="51"/>
        <item x="294"/>
        <item x="135"/>
        <item x="171"/>
        <item x="238"/>
        <item x="198"/>
        <item x="141"/>
        <item x="47"/>
        <item x="257"/>
        <item x="15"/>
        <item x="27"/>
        <item x="61"/>
        <item x="312"/>
        <item x="17"/>
        <item x="62"/>
        <item x="311"/>
        <item x="87"/>
        <item x="56"/>
        <item x="182"/>
        <item x="281"/>
        <item x="26"/>
        <item x="265"/>
        <item x="119"/>
        <item x="319"/>
        <item x="57"/>
        <item x="169"/>
        <item x="283"/>
        <item x="137"/>
        <item x="104"/>
        <item x="174"/>
        <item x="307"/>
        <item x="3"/>
        <item x="37"/>
        <item x="28"/>
        <item x="186"/>
        <item x="237"/>
        <item x="187"/>
        <item x="201"/>
        <item x="68"/>
        <item x="273"/>
        <item x="21"/>
        <item x="130"/>
        <item x="222"/>
        <item x="34"/>
        <item x="179"/>
        <item x="246"/>
        <item x="220"/>
        <item x="266"/>
        <item x="48"/>
        <item x="96"/>
        <item x="316"/>
        <item x="128"/>
        <item x="323"/>
        <item x="278"/>
        <item x="161"/>
        <item x="38"/>
        <item x="66"/>
        <item x="224"/>
        <item x="175"/>
        <item x="213"/>
        <item x="138"/>
        <item x="276"/>
        <item x="290"/>
        <item x="39"/>
        <item x="314"/>
        <item x="70"/>
        <item x="277"/>
        <item x="308"/>
        <item x="207"/>
        <item x="249"/>
        <item x="297"/>
        <item x="80"/>
        <item x="33"/>
        <item x="100"/>
        <item x="106"/>
        <item x="296"/>
        <item x="140"/>
        <item x="73"/>
        <item x="72"/>
        <item x="197"/>
        <item x="217"/>
        <item x="165"/>
        <item x="114"/>
        <item x="102"/>
        <item x="274"/>
        <item x="149"/>
        <item x="55"/>
        <item t="default"/>
      </items>
    </pivotField>
    <pivotField showAll="0">
      <items count="45">
        <item x="19"/>
        <item x="16"/>
        <item x="38"/>
        <item x="1"/>
        <item x="22"/>
        <item x="29"/>
        <item x="13"/>
        <item x="39"/>
        <item x="2"/>
        <item x="32"/>
        <item x="42"/>
        <item x="10"/>
        <item x="14"/>
        <item x="23"/>
        <item x="43"/>
        <item x="0"/>
        <item x="28"/>
        <item x="40"/>
        <item x="31"/>
        <item x="12"/>
        <item x="11"/>
        <item x="35"/>
        <item x="25"/>
        <item x="36"/>
        <item x="8"/>
        <item x="33"/>
        <item x="37"/>
        <item x="30"/>
        <item x="27"/>
        <item x="15"/>
        <item x="3"/>
        <item x="24"/>
        <item x="26"/>
        <item x="21"/>
        <item x="9"/>
        <item x="34"/>
        <item x="20"/>
        <item x="41"/>
        <item x="18"/>
        <item x="5"/>
        <item x="7"/>
        <item x="17"/>
        <item x="4"/>
        <item x="6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8">
        <item x="12"/>
        <item x="6"/>
        <item x="8"/>
        <item x="5"/>
        <item x="0"/>
        <item x="9"/>
        <item x="16"/>
        <item x="10"/>
        <item x="13"/>
        <item x="3"/>
        <item x="1"/>
        <item x="14"/>
        <item x="4"/>
        <item x="11"/>
        <item x="7"/>
        <item x="15"/>
        <item x="2"/>
        <item t="default"/>
      </items>
    </pivotField>
    <pivotField showAll="0" sortType="descending">
      <items count="944">
        <item x="346"/>
        <item x="218"/>
        <item x="798"/>
        <item x="729"/>
        <item x="614"/>
        <item x="284"/>
        <item x="383"/>
        <item x="116"/>
        <item x="715"/>
        <item x="911"/>
        <item x="629"/>
        <item x="298"/>
        <item x="587"/>
        <item x="359"/>
        <item x="561"/>
        <item x="340"/>
        <item x="423"/>
        <item x="549"/>
        <item x="650"/>
        <item x="411"/>
        <item x="853"/>
        <item x="784"/>
        <item x="302"/>
        <item x="576"/>
        <item x="926"/>
        <item x="683"/>
        <item x="738"/>
        <item x="364"/>
        <item x="42"/>
        <item x="693"/>
        <item x="303"/>
        <item x="831"/>
        <item x="247"/>
        <item x="604"/>
        <item x="613"/>
        <item x="163"/>
        <item x="337"/>
        <item x="156"/>
        <item x="235"/>
        <item x="686"/>
        <item x="4"/>
        <item x="276"/>
        <item x="142"/>
        <item x="610"/>
        <item x="100"/>
        <item x="934"/>
        <item x="677"/>
        <item x="725"/>
        <item x="60"/>
        <item x="856"/>
        <item x="878"/>
        <item x="679"/>
        <item x="250"/>
        <item x="509"/>
        <item x="889"/>
        <item x="490"/>
        <item x="550"/>
        <item x="140"/>
        <item x="574"/>
        <item x="69"/>
        <item x="473"/>
        <item x="525"/>
        <item x="810"/>
        <item x="489"/>
        <item x="929"/>
        <item x="664"/>
        <item x="321"/>
        <item x="160"/>
        <item x="920"/>
        <item x="837"/>
        <item x="900"/>
        <item x="892"/>
        <item x="792"/>
        <item x="436"/>
        <item x="174"/>
        <item x="734"/>
        <item x="556"/>
        <item x="861"/>
        <item x="586"/>
        <item x="295"/>
        <item x="314"/>
        <item x="378"/>
        <item x="442"/>
        <item x="427"/>
        <item x="494"/>
        <item x="573"/>
        <item x="102"/>
        <item x="689"/>
        <item x="918"/>
        <item x="479"/>
        <item x="339"/>
        <item x="420"/>
        <item x="466"/>
        <item x="446"/>
        <item x="866"/>
        <item x="332"/>
        <item x="350"/>
        <item x="468"/>
        <item x="595"/>
        <item x="141"/>
        <item x="151"/>
        <item x="12"/>
        <item x="923"/>
        <item x="722"/>
        <item x="139"/>
        <item x="937"/>
        <item x="495"/>
        <item x="347"/>
        <item x="435"/>
        <item x="885"/>
        <item x="474"/>
        <item x="758"/>
        <item x="847"/>
        <item x="916"/>
        <item x="851"/>
        <item x="193"/>
        <item x="833"/>
        <item x="868"/>
        <item x="25"/>
        <item x="19"/>
        <item x="240"/>
        <item x="504"/>
        <item x="48"/>
        <item x="563"/>
        <item x="941"/>
        <item x="767"/>
        <item x="659"/>
        <item x="409"/>
        <item x="396"/>
        <item x="41"/>
        <item x="152"/>
        <item x="132"/>
        <item x="940"/>
        <item x="251"/>
        <item x="660"/>
        <item x="45"/>
        <item x="225"/>
        <item x="883"/>
        <item x="527"/>
        <item x="662"/>
        <item x="271"/>
        <item x="621"/>
        <item x="808"/>
        <item x="331"/>
        <item x="447"/>
        <item x="804"/>
        <item x="648"/>
        <item x="651"/>
        <item x="91"/>
        <item x="936"/>
        <item x="902"/>
        <item x="584"/>
        <item x="217"/>
        <item x="743"/>
        <item x="639"/>
        <item x="705"/>
        <item x="432"/>
        <item x="77"/>
        <item x="322"/>
        <item x="204"/>
        <item x="942"/>
        <item x="503"/>
        <item x="262"/>
        <item x="128"/>
        <item x="30"/>
        <item x="697"/>
        <item x="155"/>
        <item x="7"/>
        <item x="461"/>
        <item x="726"/>
        <item x="131"/>
        <item x="375"/>
        <item x="707"/>
        <item x="206"/>
        <item x="395"/>
        <item x="361"/>
        <item x="200"/>
        <item x="787"/>
        <item x="343"/>
        <item x="315"/>
        <item x="158"/>
        <item x="70"/>
        <item x="385"/>
        <item x="344"/>
        <item x="505"/>
        <item x="189"/>
        <item x="500"/>
        <item x="591"/>
        <item x="144"/>
        <item x="86"/>
        <item x="365"/>
        <item x="66"/>
        <item x="190"/>
        <item x="159"/>
        <item x="145"/>
        <item x="28"/>
        <item x="776"/>
        <item x="506"/>
        <item x="819"/>
        <item x="756"/>
        <item x="830"/>
        <item x="915"/>
        <item x="273"/>
        <item x="63"/>
        <item x="493"/>
        <item x="770"/>
        <item x="391"/>
        <item x="1"/>
        <item x="501"/>
        <item x="546"/>
        <item x="724"/>
        <item x="434"/>
        <item x="672"/>
        <item x="136"/>
        <item x="712"/>
        <item x="62"/>
        <item x="849"/>
        <item x="219"/>
        <item x="96"/>
        <item x="786"/>
        <item x="522"/>
        <item x="76"/>
        <item x="935"/>
        <item x="80"/>
        <item x="695"/>
        <item x="213"/>
        <item x="537"/>
        <item x="781"/>
        <item x="637"/>
        <item x="777"/>
        <item x="572"/>
        <item x="482"/>
        <item x="518"/>
        <item x="890"/>
        <item x="37"/>
        <item x="552"/>
        <item x="203"/>
        <item x="894"/>
        <item x="399"/>
        <item x="110"/>
        <item x="183"/>
        <item x="104"/>
        <item x="723"/>
        <item x="625"/>
        <item x="485"/>
        <item x="338"/>
        <item x="542"/>
        <item x="114"/>
        <item x="195"/>
        <item x="13"/>
        <item x="390"/>
        <item x="515"/>
        <item x="607"/>
        <item x="282"/>
        <item x="304"/>
        <item x="739"/>
        <item x="685"/>
        <item x="499"/>
        <item x="618"/>
        <item x="236"/>
        <item x="708"/>
        <item x="555"/>
        <item x="85"/>
        <item x="35"/>
        <item x="242"/>
        <item x="207"/>
        <item x="480"/>
        <item x="769"/>
        <item x="185"/>
        <item x="403"/>
        <item x="113"/>
        <item x="852"/>
        <item x="799"/>
        <item x="603"/>
        <item x="601"/>
        <item x="510"/>
        <item x="82"/>
        <item x="675"/>
        <item x="871"/>
        <item x="667"/>
        <item x="820"/>
        <item x="371"/>
        <item x="887"/>
        <item x="64"/>
        <item x="462"/>
        <item x="577"/>
        <item x="413"/>
        <item x="94"/>
        <item x="224"/>
        <item x="658"/>
        <item x="928"/>
        <item x="687"/>
        <item x="410"/>
        <item x="362"/>
        <item x="16"/>
        <item x="205"/>
        <item x="557"/>
        <item x="424"/>
        <item x="593"/>
        <item x="443"/>
        <item x="924"/>
        <item x="75"/>
        <item x="467"/>
        <item x="632"/>
        <item x="516"/>
        <item x="748"/>
        <item x="827"/>
        <item x="588"/>
        <item x="562"/>
        <item x="807"/>
        <item x="814"/>
        <item x="54"/>
        <item x="95"/>
        <item x="133"/>
        <item x="126"/>
        <item x="241"/>
        <item x="585"/>
        <item x="843"/>
        <item x="351"/>
        <item x="645"/>
        <item x="143"/>
        <item x="864"/>
        <item x="619"/>
        <item x="38"/>
        <item x="228"/>
        <item x="706"/>
        <item x="412"/>
        <item x="150"/>
        <item x="90"/>
        <item x="384"/>
        <item x="600"/>
        <item x="788"/>
        <item x="719"/>
        <item x="119"/>
        <item x="583"/>
        <item x="653"/>
        <item x="177"/>
        <item x="9"/>
        <item x="471"/>
        <item x="747"/>
        <item x="897"/>
        <item x="418"/>
        <item x="368"/>
        <item x="551"/>
        <item x="850"/>
        <item x="223"/>
        <item x="255"/>
        <item x="903"/>
        <item x="380"/>
        <item x="197"/>
        <item x="388"/>
        <item x="484"/>
        <item x="817"/>
        <item x="759"/>
        <item x="567"/>
        <item x="470"/>
        <item x="301"/>
        <item x="10"/>
        <item x="134"/>
        <item x="230"/>
        <item x="67"/>
        <item x="571"/>
        <item x="744"/>
        <item x="259"/>
        <item x="486"/>
        <item x="544"/>
        <item x="594"/>
        <item x="452"/>
        <item x="893"/>
        <item x="199"/>
        <item x="232"/>
        <item x="300"/>
        <item x="464"/>
        <item x="771"/>
        <item x="108"/>
        <item x="938"/>
        <item x="834"/>
        <item x="526"/>
        <item x="762"/>
        <item x="519"/>
        <item x="674"/>
        <item x="844"/>
        <item x="341"/>
        <item x="50"/>
        <item x="513"/>
        <item x="92"/>
        <item x="877"/>
        <item x="425"/>
        <item x="841"/>
        <item x="531"/>
        <item x="313"/>
        <item x="922"/>
        <item x="824"/>
        <item x="717"/>
        <item x="336"/>
        <item x="369"/>
        <item x="718"/>
        <item x="226"/>
        <item x="790"/>
        <item x="275"/>
        <item x="52"/>
        <item x="477"/>
        <item x="260"/>
        <item x="243"/>
        <item x="429"/>
        <item x="848"/>
        <item x="775"/>
        <item x="845"/>
        <item x="316"/>
        <item x="39"/>
        <item x="881"/>
        <item x="51"/>
        <item x="826"/>
        <item x="560"/>
        <item x="564"/>
        <item x="49"/>
        <item x="668"/>
        <item x="711"/>
        <item x="854"/>
        <item x="633"/>
        <item x="460"/>
        <item x="656"/>
        <item x="454"/>
        <item x="512"/>
        <item x="345"/>
        <item x="112"/>
        <item x="323"/>
        <item x="312"/>
        <item x="291"/>
        <item x="211"/>
        <item x="458"/>
        <item x="106"/>
        <item x="147"/>
        <item x="171"/>
        <item x="335"/>
        <item x="879"/>
        <item x="453"/>
        <item x="357"/>
        <item x="318"/>
        <item x="263"/>
        <item x="909"/>
        <item x="699"/>
        <item x="532"/>
        <item x="394"/>
        <item x="680"/>
        <item x="733"/>
        <item x="165"/>
        <item x="912"/>
        <item x="540"/>
        <item x="73"/>
        <item x="256"/>
        <item x="431"/>
        <item x="554"/>
        <item x="36"/>
        <item x="859"/>
        <item x="753"/>
        <item x="565"/>
        <item x="914"/>
        <item x="530"/>
        <item x="172"/>
        <item x="528"/>
        <item x="778"/>
        <item x="700"/>
        <item x="186"/>
        <item x="630"/>
        <item x="543"/>
        <item x="21"/>
        <item x="246"/>
        <item x="261"/>
        <item x="855"/>
        <item x="638"/>
        <item x="663"/>
        <item x="839"/>
        <item x="127"/>
        <item x="704"/>
        <item x="553"/>
        <item x="870"/>
        <item x="229"/>
        <item x="311"/>
        <item x="53"/>
        <item x="27"/>
        <item x="624"/>
        <item x="61"/>
        <item x="269"/>
        <item x="334"/>
        <item x="548"/>
        <item x="216"/>
        <item x="233"/>
        <item x="811"/>
        <item x="397"/>
        <item x="257"/>
        <item x="536"/>
        <item x="55"/>
        <item x="146"/>
        <item x="541"/>
        <item x="417"/>
        <item x="166"/>
        <item x="836"/>
        <item x="869"/>
        <item x="287"/>
        <item x="673"/>
        <item x="842"/>
        <item x="400"/>
        <item x="714"/>
        <item x="215"/>
        <item x="547"/>
        <item x="876"/>
        <item x="286"/>
        <item x="354"/>
        <item x="387"/>
        <item x="939"/>
        <item x="652"/>
        <item x="24"/>
        <item x="6"/>
        <item x="728"/>
        <item x="611"/>
        <item x="521"/>
        <item x="31"/>
        <item x="665"/>
        <item x="280"/>
        <item x="688"/>
        <item x="290"/>
        <item x="535"/>
        <item x="408"/>
        <item x="451"/>
        <item x="815"/>
        <item x="896"/>
        <item x="20"/>
        <item x="253"/>
        <item x="713"/>
        <item x="26"/>
        <item x="252"/>
        <item x="684"/>
        <item x="370"/>
        <item x="795"/>
        <item x="238"/>
        <item x="97"/>
        <item x="766"/>
        <item x="101"/>
        <item x="785"/>
        <item x="636"/>
        <item x="816"/>
        <item x="450"/>
        <item x="690"/>
        <item x="179"/>
        <item x="731"/>
        <item x="175"/>
        <item x="11"/>
        <item x="910"/>
        <item x="57"/>
        <item x="201"/>
        <item x="502"/>
        <item x="306"/>
        <item x="899"/>
        <item x="404"/>
        <item x="426"/>
        <item x="768"/>
        <item x="657"/>
        <item x="176"/>
        <item x="692"/>
        <item x="227"/>
        <item x="772"/>
        <item x="292"/>
        <item x="115"/>
        <item x="829"/>
        <item x="596"/>
        <item x="598"/>
        <item x="780"/>
        <item x="270"/>
        <item x="514"/>
        <item x="582"/>
        <item x="727"/>
        <item x="488"/>
        <item x="764"/>
        <item x="858"/>
        <item x="170"/>
        <item x="930"/>
        <item x="377"/>
        <item x="363"/>
        <item x="575"/>
        <item x="419"/>
        <item x="406"/>
        <item x="98"/>
        <item x="319"/>
        <item x="279"/>
        <item x="558"/>
        <item x="626"/>
        <item x="415"/>
        <item x="56"/>
        <item x="606"/>
        <item x="760"/>
        <item x="702"/>
        <item x="360"/>
        <item x="578"/>
        <item x="43"/>
        <item x="592"/>
        <item x="430"/>
        <item x="906"/>
        <item x="330"/>
        <item x="231"/>
        <item x="358"/>
        <item x="8"/>
        <item x="520"/>
        <item x="608"/>
        <item x="440"/>
        <item x="643"/>
        <item x="720"/>
        <item x="754"/>
        <item x="905"/>
        <item x="356"/>
        <item x="5"/>
        <item x="212"/>
        <item x="932"/>
        <item x="386"/>
        <item x="840"/>
        <item x="327"/>
        <item x="310"/>
        <item x="46"/>
        <item x="898"/>
        <item x="545"/>
        <item x="857"/>
        <item x="416"/>
        <item x="120"/>
        <item x="196"/>
        <item x="296"/>
        <item x="921"/>
        <item x="797"/>
        <item x="602"/>
        <item x="248"/>
        <item x="209"/>
        <item x="616"/>
        <item x="88"/>
        <item x="437"/>
        <item x="105"/>
        <item x="168"/>
        <item x="794"/>
        <item x="210"/>
        <item x="828"/>
        <item x="806"/>
        <item x="285"/>
        <item x="433"/>
        <item x="118"/>
        <item x="487"/>
        <item x="299"/>
        <item x="328"/>
        <item x="398"/>
        <item x="597"/>
        <item x="40"/>
        <item x="746"/>
        <item x="444"/>
        <item x="202"/>
        <item x="696"/>
        <item x="590"/>
        <item x="3"/>
        <item x="441"/>
        <item x="694"/>
        <item x="873"/>
        <item x="33"/>
        <item x="469"/>
        <item x="181"/>
        <item x="609"/>
        <item x="17"/>
        <item x="372"/>
        <item x="366"/>
        <item x="691"/>
        <item x="89"/>
        <item x="244"/>
        <item x="103"/>
        <item x="245"/>
        <item x="32"/>
        <item x="927"/>
        <item x="264"/>
        <item x="14"/>
        <item x="835"/>
        <item x="891"/>
        <item x="125"/>
        <item x="783"/>
        <item x="498"/>
        <item x="373"/>
        <item x="901"/>
        <item x="737"/>
        <item x="908"/>
        <item x="169"/>
        <item x="507"/>
        <item x="122"/>
        <item x="615"/>
        <item x="324"/>
        <item x="84"/>
        <item x="268"/>
        <item x="919"/>
        <item x="907"/>
        <item x="917"/>
        <item x="326"/>
        <item x="349"/>
        <item x="886"/>
        <item x="445"/>
        <item x="258"/>
        <item x="148"/>
        <item x="655"/>
        <item x="742"/>
        <item x="654"/>
        <item x="497"/>
        <item x="666"/>
        <item x="579"/>
        <item x="529"/>
        <item x="763"/>
        <item x="428"/>
        <item x="167"/>
        <item x="846"/>
        <item x="348"/>
        <item x="22"/>
        <item x="641"/>
        <item x="121"/>
        <item x="192"/>
        <item x="293"/>
        <item x="184"/>
        <item x="809"/>
        <item x="221"/>
        <item x="559"/>
        <item x="107"/>
        <item x="475"/>
        <item x="448"/>
        <item x="382"/>
        <item x="178"/>
        <item x="272"/>
        <item x="605"/>
        <item x="757"/>
        <item x="508"/>
        <item x="716"/>
        <item x="678"/>
        <item x="812"/>
        <item x="681"/>
        <item x="456"/>
        <item x="237"/>
        <item x="208"/>
        <item x="267"/>
        <item x="721"/>
        <item x="800"/>
        <item x="198"/>
        <item x="173"/>
        <item x="289"/>
        <item x="333"/>
        <item x="0"/>
        <item x="182"/>
        <item x="882"/>
        <item x="459"/>
        <item x="612"/>
        <item x="99"/>
        <item x="511"/>
        <item x="161"/>
        <item x="931"/>
        <item x="623"/>
        <item x="2"/>
        <item x="750"/>
        <item x="117"/>
        <item x="87"/>
        <item x="124"/>
        <item x="773"/>
        <item x="402"/>
        <item x="599"/>
        <item x="481"/>
        <item x="309"/>
        <item x="884"/>
        <item x="904"/>
        <item x="307"/>
        <item x="449"/>
        <item x="710"/>
        <item x="566"/>
        <item x="698"/>
        <item x="644"/>
        <item x="913"/>
        <item x="266"/>
        <item x="135"/>
        <item x="730"/>
        <item x="325"/>
        <item x="83"/>
        <item x="701"/>
        <item x="569"/>
        <item x="755"/>
        <item x="703"/>
        <item x="71"/>
        <item x="352"/>
        <item x="162"/>
        <item x="640"/>
        <item x="457"/>
        <item x="342"/>
        <item x="58"/>
        <item x="825"/>
        <item x="661"/>
        <item x="239"/>
        <item x="278"/>
        <item x="308"/>
        <item x="670"/>
        <item x="376"/>
        <item x="568"/>
        <item x="137"/>
        <item x="381"/>
        <item x="647"/>
        <item x="65"/>
        <item x="297"/>
        <item x="620"/>
        <item x="401"/>
        <item x="465"/>
        <item x="867"/>
        <item x="617"/>
        <item x="191"/>
        <item x="109"/>
        <item x="539"/>
        <item x="439"/>
        <item x="803"/>
        <item x="732"/>
        <item x="214"/>
        <item x="79"/>
        <item x="47"/>
        <item x="389"/>
        <item x="374"/>
        <item x="157"/>
        <item x="749"/>
        <item x="765"/>
        <item x="741"/>
        <item x="761"/>
        <item x="838"/>
        <item x="631"/>
        <item x="194"/>
        <item x="379"/>
        <item x="478"/>
        <item x="29"/>
        <item x="138"/>
        <item x="68"/>
        <item x="492"/>
        <item x="752"/>
        <item x="534"/>
        <item x="874"/>
        <item x="277"/>
        <item x="581"/>
        <item x="472"/>
        <item x="93"/>
        <item x="533"/>
        <item x="796"/>
        <item x="294"/>
        <item x="682"/>
        <item x="642"/>
        <item x="805"/>
        <item x="832"/>
        <item x="455"/>
        <item x="925"/>
        <item x="476"/>
        <item x="895"/>
        <item x="774"/>
        <item x="317"/>
        <item x="491"/>
        <item x="570"/>
        <item x="888"/>
        <item x="872"/>
        <item x="222"/>
        <item x="580"/>
        <item x="407"/>
        <item x="875"/>
        <item x="517"/>
        <item x="862"/>
        <item x="81"/>
        <item x="622"/>
        <item x="736"/>
        <item x="78"/>
        <item x="130"/>
        <item x="735"/>
        <item x="123"/>
        <item x="823"/>
        <item x="821"/>
        <item x="496"/>
        <item x="188"/>
        <item x="392"/>
        <item x="538"/>
        <item x="671"/>
        <item x="329"/>
        <item x="59"/>
        <item x="646"/>
        <item x="234"/>
        <item x="149"/>
        <item x="801"/>
        <item x="422"/>
        <item x="649"/>
        <item x="164"/>
        <item x="367"/>
        <item x="421"/>
        <item x="187"/>
        <item x="709"/>
        <item x="220"/>
        <item x="782"/>
        <item x="627"/>
        <item x="355"/>
        <item x="669"/>
        <item x="23"/>
        <item x="305"/>
        <item x="745"/>
        <item x="863"/>
        <item x="18"/>
        <item x="676"/>
        <item x="111"/>
        <item x="320"/>
        <item x="740"/>
        <item x="283"/>
        <item x="72"/>
        <item x="463"/>
        <item x="254"/>
        <item x="274"/>
        <item x="860"/>
        <item x="865"/>
        <item x="802"/>
        <item x="154"/>
        <item x="405"/>
        <item x="791"/>
        <item x="523"/>
        <item x="353"/>
        <item x="628"/>
        <item x="789"/>
        <item x="880"/>
        <item x="483"/>
        <item x="933"/>
        <item x="822"/>
        <item x="288"/>
        <item x="524"/>
        <item x="634"/>
        <item x="751"/>
        <item x="74"/>
        <item x="438"/>
        <item x="589"/>
        <item x="813"/>
        <item x="129"/>
        <item x="44"/>
        <item x="393"/>
        <item x="635"/>
        <item x="180"/>
        <item x="249"/>
        <item x="779"/>
        <item x="414"/>
        <item x="793"/>
        <item x="153"/>
        <item x="281"/>
        <item x="34"/>
        <item x="15"/>
        <item x="818"/>
        <item x="265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7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2" baseField="0" baseItem="0"/>
  </dataFields>
  <chartFormats count="5">
    <chartFormat chart="4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F7B6D-AE38-4229-A77F-AC2ED78AC298}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2">
  <location ref="Z3:AA8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 sortType="descending">
      <items count="325">
        <item x="263"/>
        <item x="162"/>
        <item x="243"/>
        <item x="313"/>
        <item x="92"/>
        <item x="298"/>
        <item x="58"/>
        <item x="194"/>
        <item x="16"/>
        <item x="54"/>
        <item x="318"/>
        <item x="7"/>
        <item x="272"/>
        <item x="129"/>
        <item x="218"/>
        <item x="295"/>
        <item x="157"/>
        <item x="90"/>
        <item x="120"/>
        <item x="155"/>
        <item x="191"/>
        <item x="126"/>
        <item x="121"/>
        <item x="248"/>
        <item x="36"/>
        <item x="127"/>
        <item x="209"/>
        <item x="84"/>
        <item x="20"/>
        <item x="136"/>
        <item x="160"/>
        <item x="202"/>
        <item x="285"/>
        <item x="196"/>
        <item x="71"/>
        <item x="63"/>
        <item x="69"/>
        <item x="251"/>
        <item x="205"/>
        <item x="279"/>
        <item x="23"/>
        <item x="215"/>
        <item x="233"/>
        <item x="214"/>
        <item x="188"/>
        <item x="252"/>
        <item x="125"/>
        <item x="4"/>
        <item x="45"/>
        <item x="303"/>
        <item x="142"/>
        <item x="289"/>
        <item x="46"/>
        <item x="287"/>
        <item x="8"/>
        <item x="65"/>
        <item x="49"/>
        <item x="116"/>
        <item x="75"/>
        <item x="32"/>
        <item x="267"/>
        <item x="320"/>
        <item x="59"/>
        <item x="280"/>
        <item x="172"/>
        <item x="152"/>
        <item x="212"/>
        <item x="40"/>
        <item x="173"/>
        <item x="159"/>
        <item x="270"/>
        <item x="123"/>
        <item x="29"/>
        <item x="151"/>
        <item x="94"/>
        <item x="309"/>
        <item x="52"/>
        <item x="321"/>
        <item x="225"/>
        <item x="210"/>
        <item x="85"/>
        <item x="181"/>
        <item x="245"/>
        <item x="180"/>
        <item x="31"/>
        <item x="286"/>
        <item x="195"/>
        <item x="304"/>
        <item x="269"/>
        <item x="204"/>
        <item x="124"/>
        <item x="185"/>
        <item x="153"/>
        <item x="10"/>
        <item x="258"/>
        <item x="88"/>
        <item x="86"/>
        <item x="221"/>
        <item x="42"/>
        <item x="300"/>
        <item x="105"/>
        <item x="101"/>
        <item x="131"/>
        <item x="226"/>
        <item x="253"/>
        <item x="35"/>
        <item x="11"/>
        <item x="250"/>
        <item x="200"/>
        <item x="242"/>
        <item x="271"/>
        <item x="134"/>
        <item x="163"/>
        <item x="148"/>
        <item x="268"/>
        <item x="203"/>
        <item x="193"/>
        <item x="239"/>
        <item x="43"/>
        <item x="19"/>
        <item x="97"/>
        <item x="234"/>
        <item x="147"/>
        <item x="190"/>
        <item x="18"/>
        <item x="264"/>
        <item x="13"/>
        <item x="262"/>
        <item x="156"/>
        <item x="183"/>
        <item x="78"/>
        <item x="132"/>
        <item x="256"/>
        <item x="67"/>
        <item x="317"/>
        <item x="111"/>
        <item x="50"/>
        <item x="189"/>
        <item x="216"/>
        <item x="122"/>
        <item x="241"/>
        <item x="30"/>
        <item x="143"/>
        <item x="282"/>
        <item x="91"/>
        <item x="112"/>
        <item x="211"/>
        <item x="25"/>
        <item x="14"/>
        <item x="60"/>
        <item x="302"/>
        <item x="310"/>
        <item x="115"/>
        <item x="231"/>
        <item x="299"/>
        <item x="288"/>
        <item x="260"/>
        <item x="228"/>
        <item x="82"/>
        <item x="235"/>
        <item x="6"/>
        <item x="178"/>
        <item x="81"/>
        <item x="95"/>
        <item x="1"/>
        <item x="145"/>
        <item x="76"/>
        <item x="146"/>
        <item x="230"/>
        <item x="291"/>
        <item x="306"/>
        <item x="301"/>
        <item x="79"/>
        <item x="109"/>
        <item x="89"/>
        <item x="247"/>
        <item x="117"/>
        <item x="168"/>
        <item x="139"/>
        <item x="284"/>
        <item x="64"/>
        <item x="110"/>
        <item x="254"/>
        <item x="219"/>
        <item x="167"/>
        <item x="275"/>
        <item x="229"/>
        <item x="208"/>
        <item x="164"/>
        <item x="223"/>
        <item x="158"/>
        <item x="240"/>
        <item x="99"/>
        <item x="24"/>
        <item x="232"/>
        <item x="41"/>
        <item x="103"/>
        <item x="93"/>
        <item x="12"/>
        <item x="244"/>
        <item x="166"/>
        <item x="236"/>
        <item x="322"/>
        <item x="305"/>
        <item x="255"/>
        <item x="133"/>
        <item x="77"/>
        <item x="0"/>
        <item x="293"/>
        <item x="170"/>
        <item x="83"/>
        <item x="292"/>
        <item x="53"/>
        <item x="74"/>
        <item x="176"/>
        <item x="118"/>
        <item x="259"/>
        <item x="206"/>
        <item x="113"/>
        <item x="108"/>
        <item x="199"/>
        <item x="261"/>
        <item x="227"/>
        <item x="192"/>
        <item x="107"/>
        <item x="22"/>
        <item x="98"/>
        <item x="315"/>
        <item x="177"/>
        <item x="9"/>
        <item x="184"/>
        <item x="44"/>
        <item x="5"/>
        <item x="2"/>
        <item x="144"/>
        <item x="154"/>
        <item x="150"/>
        <item x="51"/>
        <item x="294"/>
        <item x="135"/>
        <item x="171"/>
        <item x="238"/>
        <item x="198"/>
        <item x="141"/>
        <item x="47"/>
        <item x="257"/>
        <item x="15"/>
        <item x="27"/>
        <item x="61"/>
        <item x="312"/>
        <item x="17"/>
        <item x="62"/>
        <item x="311"/>
        <item x="87"/>
        <item x="56"/>
        <item x="182"/>
        <item x="281"/>
        <item x="26"/>
        <item x="265"/>
        <item x="119"/>
        <item x="319"/>
        <item x="57"/>
        <item x="169"/>
        <item x="283"/>
        <item x="137"/>
        <item x="104"/>
        <item x="174"/>
        <item x="307"/>
        <item x="3"/>
        <item x="37"/>
        <item x="28"/>
        <item x="186"/>
        <item x="237"/>
        <item x="187"/>
        <item x="201"/>
        <item x="68"/>
        <item x="273"/>
        <item x="21"/>
        <item x="130"/>
        <item x="222"/>
        <item x="34"/>
        <item x="179"/>
        <item x="246"/>
        <item x="220"/>
        <item x="266"/>
        <item x="48"/>
        <item x="96"/>
        <item x="316"/>
        <item x="128"/>
        <item x="323"/>
        <item x="278"/>
        <item x="161"/>
        <item x="38"/>
        <item x="66"/>
        <item x="224"/>
        <item x="175"/>
        <item x="213"/>
        <item x="138"/>
        <item x="276"/>
        <item x="290"/>
        <item x="39"/>
        <item x="314"/>
        <item x="70"/>
        <item x="277"/>
        <item x="308"/>
        <item x="207"/>
        <item x="249"/>
        <item x="297"/>
        <item x="80"/>
        <item x="33"/>
        <item x="100"/>
        <item x="106"/>
        <item x="296"/>
        <item x="140"/>
        <item x="73"/>
        <item x="72"/>
        <item x="197"/>
        <item x="217"/>
        <item x="165"/>
        <item x="114"/>
        <item x="102"/>
        <item x="274"/>
        <item x="149"/>
        <item x="55"/>
        <item t="default"/>
      </items>
    </pivotField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>
      <items count="18">
        <item x="12"/>
        <item x="6"/>
        <item x="8"/>
        <item x="5"/>
        <item x="0"/>
        <item x="9"/>
        <item x="16"/>
        <item x="10"/>
        <item x="13"/>
        <item x="3"/>
        <item x="1"/>
        <item x="14"/>
        <item x="4"/>
        <item x="11"/>
        <item x="7"/>
        <item x="15"/>
        <item x="2"/>
        <item t="default"/>
      </items>
    </pivotField>
    <pivotField showAll="0" sortType="descending">
      <items count="944">
        <item x="346"/>
        <item x="218"/>
        <item x="798"/>
        <item x="729"/>
        <item x="614"/>
        <item x="284"/>
        <item x="383"/>
        <item x="116"/>
        <item x="715"/>
        <item x="911"/>
        <item x="629"/>
        <item x="298"/>
        <item x="587"/>
        <item x="359"/>
        <item x="561"/>
        <item x="340"/>
        <item x="423"/>
        <item x="549"/>
        <item x="650"/>
        <item x="411"/>
        <item x="853"/>
        <item x="784"/>
        <item x="302"/>
        <item x="576"/>
        <item x="926"/>
        <item x="683"/>
        <item x="738"/>
        <item x="364"/>
        <item x="42"/>
        <item x="693"/>
        <item x="303"/>
        <item x="831"/>
        <item x="247"/>
        <item x="604"/>
        <item x="613"/>
        <item x="163"/>
        <item x="337"/>
        <item x="156"/>
        <item x="235"/>
        <item x="686"/>
        <item x="4"/>
        <item x="276"/>
        <item x="142"/>
        <item x="610"/>
        <item x="100"/>
        <item x="934"/>
        <item x="677"/>
        <item x="725"/>
        <item x="60"/>
        <item x="856"/>
        <item x="878"/>
        <item x="679"/>
        <item x="250"/>
        <item x="509"/>
        <item x="889"/>
        <item x="490"/>
        <item x="550"/>
        <item x="140"/>
        <item x="574"/>
        <item x="69"/>
        <item x="473"/>
        <item x="525"/>
        <item x="810"/>
        <item x="489"/>
        <item x="929"/>
        <item x="664"/>
        <item x="321"/>
        <item x="160"/>
        <item x="920"/>
        <item x="837"/>
        <item x="900"/>
        <item x="892"/>
        <item x="792"/>
        <item x="436"/>
        <item x="174"/>
        <item x="734"/>
        <item x="556"/>
        <item x="861"/>
        <item x="586"/>
        <item x="295"/>
        <item x="314"/>
        <item x="378"/>
        <item x="442"/>
        <item x="427"/>
        <item x="494"/>
        <item x="573"/>
        <item x="102"/>
        <item x="689"/>
        <item x="918"/>
        <item x="479"/>
        <item x="339"/>
        <item x="420"/>
        <item x="466"/>
        <item x="446"/>
        <item x="866"/>
        <item x="332"/>
        <item x="350"/>
        <item x="468"/>
        <item x="595"/>
        <item x="141"/>
        <item x="151"/>
        <item x="12"/>
        <item x="923"/>
        <item x="722"/>
        <item x="139"/>
        <item x="937"/>
        <item x="495"/>
        <item x="347"/>
        <item x="435"/>
        <item x="885"/>
        <item x="474"/>
        <item x="758"/>
        <item x="847"/>
        <item x="916"/>
        <item x="851"/>
        <item x="193"/>
        <item x="833"/>
        <item x="868"/>
        <item x="25"/>
        <item x="19"/>
        <item x="240"/>
        <item x="504"/>
        <item x="48"/>
        <item x="563"/>
        <item x="941"/>
        <item x="767"/>
        <item x="659"/>
        <item x="409"/>
        <item x="396"/>
        <item x="41"/>
        <item x="152"/>
        <item x="132"/>
        <item x="940"/>
        <item x="251"/>
        <item x="660"/>
        <item x="45"/>
        <item x="225"/>
        <item x="883"/>
        <item x="527"/>
        <item x="662"/>
        <item x="271"/>
        <item x="621"/>
        <item x="808"/>
        <item x="331"/>
        <item x="447"/>
        <item x="804"/>
        <item x="648"/>
        <item x="651"/>
        <item x="91"/>
        <item x="936"/>
        <item x="902"/>
        <item x="584"/>
        <item x="217"/>
        <item x="743"/>
        <item x="639"/>
        <item x="705"/>
        <item x="432"/>
        <item x="77"/>
        <item x="322"/>
        <item x="204"/>
        <item x="942"/>
        <item x="503"/>
        <item x="262"/>
        <item x="128"/>
        <item x="30"/>
        <item x="697"/>
        <item x="155"/>
        <item x="7"/>
        <item x="461"/>
        <item x="726"/>
        <item x="131"/>
        <item x="375"/>
        <item x="707"/>
        <item x="206"/>
        <item x="395"/>
        <item x="361"/>
        <item x="200"/>
        <item x="787"/>
        <item x="343"/>
        <item x="315"/>
        <item x="158"/>
        <item x="70"/>
        <item x="385"/>
        <item x="344"/>
        <item x="505"/>
        <item x="189"/>
        <item x="500"/>
        <item x="591"/>
        <item x="144"/>
        <item x="86"/>
        <item x="365"/>
        <item x="66"/>
        <item x="190"/>
        <item x="159"/>
        <item x="145"/>
        <item x="28"/>
        <item x="776"/>
        <item x="506"/>
        <item x="819"/>
        <item x="756"/>
        <item x="830"/>
        <item x="915"/>
        <item x="273"/>
        <item x="63"/>
        <item x="493"/>
        <item x="770"/>
        <item x="391"/>
        <item x="1"/>
        <item x="501"/>
        <item x="546"/>
        <item x="724"/>
        <item x="434"/>
        <item x="672"/>
        <item x="136"/>
        <item x="712"/>
        <item x="62"/>
        <item x="849"/>
        <item x="219"/>
        <item x="96"/>
        <item x="786"/>
        <item x="522"/>
        <item x="76"/>
        <item x="935"/>
        <item x="80"/>
        <item x="695"/>
        <item x="213"/>
        <item x="537"/>
        <item x="781"/>
        <item x="637"/>
        <item x="777"/>
        <item x="572"/>
        <item x="482"/>
        <item x="518"/>
        <item x="890"/>
        <item x="37"/>
        <item x="552"/>
        <item x="203"/>
        <item x="894"/>
        <item x="399"/>
        <item x="110"/>
        <item x="183"/>
        <item x="104"/>
        <item x="723"/>
        <item x="625"/>
        <item x="485"/>
        <item x="338"/>
        <item x="542"/>
        <item x="114"/>
        <item x="195"/>
        <item x="13"/>
        <item x="390"/>
        <item x="515"/>
        <item x="607"/>
        <item x="282"/>
        <item x="304"/>
        <item x="739"/>
        <item x="685"/>
        <item x="499"/>
        <item x="618"/>
        <item x="236"/>
        <item x="708"/>
        <item x="555"/>
        <item x="85"/>
        <item x="35"/>
        <item x="242"/>
        <item x="207"/>
        <item x="480"/>
        <item x="769"/>
        <item x="185"/>
        <item x="403"/>
        <item x="113"/>
        <item x="852"/>
        <item x="799"/>
        <item x="603"/>
        <item x="601"/>
        <item x="510"/>
        <item x="82"/>
        <item x="675"/>
        <item x="871"/>
        <item x="667"/>
        <item x="820"/>
        <item x="371"/>
        <item x="887"/>
        <item x="64"/>
        <item x="462"/>
        <item x="577"/>
        <item x="413"/>
        <item x="94"/>
        <item x="224"/>
        <item x="658"/>
        <item x="928"/>
        <item x="687"/>
        <item x="410"/>
        <item x="362"/>
        <item x="16"/>
        <item x="205"/>
        <item x="557"/>
        <item x="424"/>
        <item x="593"/>
        <item x="443"/>
        <item x="924"/>
        <item x="75"/>
        <item x="467"/>
        <item x="632"/>
        <item x="516"/>
        <item x="748"/>
        <item x="827"/>
        <item x="588"/>
        <item x="562"/>
        <item x="807"/>
        <item x="814"/>
        <item x="54"/>
        <item x="95"/>
        <item x="133"/>
        <item x="126"/>
        <item x="241"/>
        <item x="585"/>
        <item x="843"/>
        <item x="351"/>
        <item x="645"/>
        <item x="143"/>
        <item x="864"/>
        <item x="619"/>
        <item x="38"/>
        <item x="228"/>
        <item x="706"/>
        <item x="412"/>
        <item x="150"/>
        <item x="90"/>
        <item x="384"/>
        <item x="600"/>
        <item x="788"/>
        <item x="719"/>
        <item x="119"/>
        <item x="583"/>
        <item x="653"/>
        <item x="177"/>
        <item x="9"/>
        <item x="471"/>
        <item x="747"/>
        <item x="897"/>
        <item x="418"/>
        <item x="368"/>
        <item x="551"/>
        <item x="850"/>
        <item x="223"/>
        <item x="255"/>
        <item x="903"/>
        <item x="380"/>
        <item x="197"/>
        <item x="388"/>
        <item x="484"/>
        <item x="817"/>
        <item x="759"/>
        <item x="567"/>
        <item x="470"/>
        <item x="301"/>
        <item x="10"/>
        <item x="134"/>
        <item x="230"/>
        <item x="67"/>
        <item x="571"/>
        <item x="744"/>
        <item x="259"/>
        <item x="486"/>
        <item x="544"/>
        <item x="594"/>
        <item x="452"/>
        <item x="893"/>
        <item x="199"/>
        <item x="232"/>
        <item x="300"/>
        <item x="464"/>
        <item x="771"/>
        <item x="108"/>
        <item x="938"/>
        <item x="834"/>
        <item x="526"/>
        <item x="762"/>
        <item x="519"/>
        <item x="674"/>
        <item x="844"/>
        <item x="341"/>
        <item x="50"/>
        <item x="513"/>
        <item x="92"/>
        <item x="877"/>
        <item x="425"/>
        <item x="841"/>
        <item x="531"/>
        <item x="313"/>
        <item x="922"/>
        <item x="824"/>
        <item x="717"/>
        <item x="336"/>
        <item x="369"/>
        <item x="718"/>
        <item x="226"/>
        <item x="790"/>
        <item x="275"/>
        <item x="52"/>
        <item x="477"/>
        <item x="260"/>
        <item x="243"/>
        <item x="429"/>
        <item x="848"/>
        <item x="775"/>
        <item x="845"/>
        <item x="316"/>
        <item x="39"/>
        <item x="881"/>
        <item x="51"/>
        <item x="826"/>
        <item x="560"/>
        <item x="564"/>
        <item x="49"/>
        <item x="668"/>
        <item x="711"/>
        <item x="854"/>
        <item x="633"/>
        <item x="460"/>
        <item x="656"/>
        <item x="454"/>
        <item x="512"/>
        <item x="345"/>
        <item x="112"/>
        <item x="323"/>
        <item x="312"/>
        <item x="291"/>
        <item x="211"/>
        <item x="458"/>
        <item x="106"/>
        <item x="147"/>
        <item x="171"/>
        <item x="335"/>
        <item x="879"/>
        <item x="453"/>
        <item x="357"/>
        <item x="318"/>
        <item x="263"/>
        <item x="909"/>
        <item x="699"/>
        <item x="532"/>
        <item x="394"/>
        <item x="680"/>
        <item x="733"/>
        <item x="165"/>
        <item x="912"/>
        <item x="540"/>
        <item x="73"/>
        <item x="256"/>
        <item x="431"/>
        <item x="554"/>
        <item x="36"/>
        <item x="859"/>
        <item x="753"/>
        <item x="565"/>
        <item x="914"/>
        <item x="530"/>
        <item x="172"/>
        <item x="528"/>
        <item x="778"/>
        <item x="700"/>
        <item x="186"/>
        <item x="630"/>
        <item x="543"/>
        <item x="21"/>
        <item x="246"/>
        <item x="261"/>
        <item x="855"/>
        <item x="638"/>
        <item x="663"/>
        <item x="839"/>
        <item x="127"/>
        <item x="704"/>
        <item x="553"/>
        <item x="870"/>
        <item x="229"/>
        <item x="311"/>
        <item x="53"/>
        <item x="27"/>
        <item x="624"/>
        <item x="61"/>
        <item x="269"/>
        <item x="334"/>
        <item x="548"/>
        <item x="216"/>
        <item x="233"/>
        <item x="811"/>
        <item x="397"/>
        <item x="257"/>
        <item x="536"/>
        <item x="55"/>
        <item x="146"/>
        <item x="541"/>
        <item x="417"/>
        <item x="166"/>
        <item x="836"/>
        <item x="869"/>
        <item x="287"/>
        <item x="673"/>
        <item x="842"/>
        <item x="400"/>
        <item x="714"/>
        <item x="215"/>
        <item x="547"/>
        <item x="876"/>
        <item x="286"/>
        <item x="354"/>
        <item x="387"/>
        <item x="939"/>
        <item x="652"/>
        <item x="24"/>
        <item x="6"/>
        <item x="728"/>
        <item x="611"/>
        <item x="521"/>
        <item x="31"/>
        <item x="665"/>
        <item x="280"/>
        <item x="688"/>
        <item x="290"/>
        <item x="535"/>
        <item x="408"/>
        <item x="451"/>
        <item x="815"/>
        <item x="896"/>
        <item x="20"/>
        <item x="253"/>
        <item x="713"/>
        <item x="26"/>
        <item x="252"/>
        <item x="684"/>
        <item x="370"/>
        <item x="795"/>
        <item x="238"/>
        <item x="97"/>
        <item x="766"/>
        <item x="101"/>
        <item x="785"/>
        <item x="636"/>
        <item x="816"/>
        <item x="450"/>
        <item x="690"/>
        <item x="179"/>
        <item x="731"/>
        <item x="175"/>
        <item x="11"/>
        <item x="910"/>
        <item x="57"/>
        <item x="201"/>
        <item x="502"/>
        <item x="306"/>
        <item x="899"/>
        <item x="404"/>
        <item x="426"/>
        <item x="768"/>
        <item x="657"/>
        <item x="176"/>
        <item x="692"/>
        <item x="227"/>
        <item x="772"/>
        <item x="292"/>
        <item x="115"/>
        <item x="829"/>
        <item x="596"/>
        <item x="598"/>
        <item x="780"/>
        <item x="270"/>
        <item x="514"/>
        <item x="582"/>
        <item x="727"/>
        <item x="488"/>
        <item x="764"/>
        <item x="858"/>
        <item x="170"/>
        <item x="930"/>
        <item x="377"/>
        <item x="363"/>
        <item x="575"/>
        <item x="419"/>
        <item x="406"/>
        <item x="98"/>
        <item x="319"/>
        <item x="279"/>
        <item x="558"/>
        <item x="626"/>
        <item x="415"/>
        <item x="56"/>
        <item x="606"/>
        <item x="760"/>
        <item x="702"/>
        <item x="360"/>
        <item x="578"/>
        <item x="43"/>
        <item x="592"/>
        <item x="430"/>
        <item x="906"/>
        <item x="330"/>
        <item x="231"/>
        <item x="358"/>
        <item x="8"/>
        <item x="520"/>
        <item x="608"/>
        <item x="440"/>
        <item x="643"/>
        <item x="720"/>
        <item x="754"/>
        <item x="905"/>
        <item x="356"/>
        <item x="5"/>
        <item x="212"/>
        <item x="932"/>
        <item x="386"/>
        <item x="840"/>
        <item x="327"/>
        <item x="310"/>
        <item x="46"/>
        <item x="898"/>
        <item x="545"/>
        <item x="857"/>
        <item x="416"/>
        <item x="120"/>
        <item x="196"/>
        <item x="296"/>
        <item x="921"/>
        <item x="797"/>
        <item x="602"/>
        <item x="248"/>
        <item x="209"/>
        <item x="616"/>
        <item x="88"/>
        <item x="437"/>
        <item x="105"/>
        <item x="168"/>
        <item x="794"/>
        <item x="210"/>
        <item x="828"/>
        <item x="806"/>
        <item x="285"/>
        <item x="433"/>
        <item x="118"/>
        <item x="487"/>
        <item x="299"/>
        <item x="328"/>
        <item x="398"/>
        <item x="597"/>
        <item x="40"/>
        <item x="746"/>
        <item x="444"/>
        <item x="202"/>
        <item x="696"/>
        <item x="590"/>
        <item x="3"/>
        <item x="441"/>
        <item x="694"/>
        <item x="873"/>
        <item x="33"/>
        <item x="469"/>
        <item x="181"/>
        <item x="609"/>
        <item x="17"/>
        <item x="372"/>
        <item x="366"/>
        <item x="691"/>
        <item x="89"/>
        <item x="244"/>
        <item x="103"/>
        <item x="245"/>
        <item x="32"/>
        <item x="927"/>
        <item x="264"/>
        <item x="14"/>
        <item x="835"/>
        <item x="891"/>
        <item x="125"/>
        <item x="783"/>
        <item x="498"/>
        <item x="373"/>
        <item x="901"/>
        <item x="737"/>
        <item x="908"/>
        <item x="169"/>
        <item x="507"/>
        <item x="122"/>
        <item x="615"/>
        <item x="324"/>
        <item x="84"/>
        <item x="268"/>
        <item x="919"/>
        <item x="907"/>
        <item x="917"/>
        <item x="326"/>
        <item x="349"/>
        <item x="886"/>
        <item x="445"/>
        <item x="258"/>
        <item x="148"/>
        <item x="655"/>
        <item x="742"/>
        <item x="654"/>
        <item x="497"/>
        <item x="666"/>
        <item x="579"/>
        <item x="529"/>
        <item x="763"/>
        <item x="428"/>
        <item x="167"/>
        <item x="846"/>
        <item x="348"/>
        <item x="22"/>
        <item x="641"/>
        <item x="121"/>
        <item x="192"/>
        <item x="293"/>
        <item x="184"/>
        <item x="809"/>
        <item x="221"/>
        <item x="559"/>
        <item x="107"/>
        <item x="475"/>
        <item x="448"/>
        <item x="382"/>
        <item x="178"/>
        <item x="272"/>
        <item x="605"/>
        <item x="757"/>
        <item x="508"/>
        <item x="716"/>
        <item x="678"/>
        <item x="812"/>
        <item x="681"/>
        <item x="456"/>
        <item x="237"/>
        <item x="208"/>
        <item x="267"/>
        <item x="721"/>
        <item x="800"/>
        <item x="198"/>
        <item x="173"/>
        <item x="289"/>
        <item x="333"/>
        <item x="0"/>
        <item x="182"/>
        <item x="882"/>
        <item x="459"/>
        <item x="612"/>
        <item x="99"/>
        <item x="511"/>
        <item x="161"/>
        <item x="931"/>
        <item x="623"/>
        <item x="2"/>
        <item x="750"/>
        <item x="117"/>
        <item x="87"/>
        <item x="124"/>
        <item x="773"/>
        <item x="402"/>
        <item x="599"/>
        <item x="481"/>
        <item x="309"/>
        <item x="884"/>
        <item x="904"/>
        <item x="307"/>
        <item x="449"/>
        <item x="710"/>
        <item x="566"/>
        <item x="698"/>
        <item x="644"/>
        <item x="913"/>
        <item x="266"/>
        <item x="135"/>
        <item x="730"/>
        <item x="325"/>
        <item x="83"/>
        <item x="701"/>
        <item x="569"/>
        <item x="755"/>
        <item x="703"/>
        <item x="71"/>
        <item x="352"/>
        <item x="162"/>
        <item x="640"/>
        <item x="457"/>
        <item x="342"/>
        <item x="58"/>
        <item x="825"/>
        <item x="661"/>
        <item x="239"/>
        <item x="278"/>
        <item x="308"/>
        <item x="670"/>
        <item x="376"/>
        <item x="568"/>
        <item x="137"/>
        <item x="381"/>
        <item x="647"/>
        <item x="65"/>
        <item x="297"/>
        <item x="620"/>
        <item x="401"/>
        <item x="465"/>
        <item x="867"/>
        <item x="617"/>
        <item x="191"/>
        <item x="109"/>
        <item x="539"/>
        <item x="439"/>
        <item x="803"/>
        <item x="732"/>
        <item x="214"/>
        <item x="79"/>
        <item x="47"/>
        <item x="389"/>
        <item x="374"/>
        <item x="157"/>
        <item x="749"/>
        <item x="765"/>
        <item x="741"/>
        <item x="761"/>
        <item x="838"/>
        <item x="631"/>
        <item x="194"/>
        <item x="379"/>
        <item x="478"/>
        <item x="29"/>
        <item x="138"/>
        <item x="68"/>
        <item x="492"/>
        <item x="752"/>
        <item x="534"/>
        <item x="874"/>
        <item x="277"/>
        <item x="581"/>
        <item x="472"/>
        <item x="93"/>
        <item x="533"/>
        <item x="796"/>
        <item x="294"/>
        <item x="682"/>
        <item x="642"/>
        <item x="805"/>
        <item x="832"/>
        <item x="455"/>
        <item x="925"/>
        <item x="476"/>
        <item x="895"/>
        <item x="774"/>
        <item x="317"/>
        <item x="491"/>
        <item x="570"/>
        <item x="888"/>
        <item x="872"/>
        <item x="222"/>
        <item x="580"/>
        <item x="407"/>
        <item x="875"/>
        <item x="517"/>
        <item x="862"/>
        <item x="81"/>
        <item x="622"/>
        <item x="736"/>
        <item x="78"/>
        <item x="130"/>
        <item x="735"/>
        <item x="123"/>
        <item x="823"/>
        <item x="821"/>
        <item x="496"/>
        <item x="188"/>
        <item x="392"/>
        <item x="538"/>
        <item x="671"/>
        <item x="329"/>
        <item x="59"/>
        <item x="646"/>
        <item x="234"/>
        <item x="149"/>
        <item x="801"/>
        <item x="422"/>
        <item x="649"/>
        <item x="164"/>
        <item x="367"/>
        <item x="421"/>
        <item x="187"/>
        <item x="709"/>
        <item x="220"/>
        <item x="782"/>
        <item x="627"/>
        <item x="355"/>
        <item x="669"/>
        <item x="23"/>
        <item x="305"/>
        <item x="745"/>
        <item x="863"/>
        <item x="18"/>
        <item x="676"/>
        <item x="111"/>
        <item x="320"/>
        <item x="740"/>
        <item x="283"/>
        <item x="72"/>
        <item x="463"/>
        <item x="254"/>
        <item x="274"/>
        <item x="860"/>
        <item x="865"/>
        <item x="802"/>
        <item x="154"/>
        <item x="405"/>
        <item x="791"/>
        <item x="523"/>
        <item x="353"/>
        <item x="628"/>
        <item x="789"/>
        <item x="880"/>
        <item x="483"/>
        <item x="933"/>
        <item x="822"/>
        <item x="288"/>
        <item x="524"/>
        <item x="634"/>
        <item x="751"/>
        <item x="74"/>
        <item x="438"/>
        <item x="589"/>
        <item x="813"/>
        <item x="129"/>
        <item x="44"/>
        <item x="393"/>
        <item x="635"/>
        <item x="180"/>
        <item x="249"/>
        <item x="779"/>
        <item x="414"/>
        <item x="793"/>
        <item x="153"/>
        <item x="281"/>
        <item x="34"/>
        <item x="15"/>
        <item x="818"/>
        <item x="265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Profit" fld="15" baseField="0" baseItem="0"/>
  </dataFields>
  <chartFormats count="4"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70345-9071-42E8-8A54-98B7C3C05800}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5">
  <location ref="Z11:AA16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 sortType="descending">
      <items count="325">
        <item x="263"/>
        <item x="162"/>
        <item x="243"/>
        <item x="313"/>
        <item x="92"/>
        <item x="298"/>
        <item x="58"/>
        <item x="194"/>
        <item x="16"/>
        <item x="54"/>
        <item x="318"/>
        <item x="7"/>
        <item x="272"/>
        <item x="129"/>
        <item x="218"/>
        <item x="295"/>
        <item x="157"/>
        <item x="90"/>
        <item x="120"/>
        <item x="155"/>
        <item x="191"/>
        <item x="126"/>
        <item x="121"/>
        <item x="248"/>
        <item x="36"/>
        <item x="127"/>
        <item x="209"/>
        <item x="84"/>
        <item x="20"/>
        <item x="136"/>
        <item x="160"/>
        <item x="202"/>
        <item x="285"/>
        <item x="196"/>
        <item x="71"/>
        <item x="63"/>
        <item x="69"/>
        <item x="251"/>
        <item x="205"/>
        <item x="279"/>
        <item x="23"/>
        <item x="215"/>
        <item x="233"/>
        <item x="214"/>
        <item x="188"/>
        <item x="252"/>
        <item x="125"/>
        <item x="4"/>
        <item x="45"/>
        <item x="303"/>
        <item x="142"/>
        <item x="289"/>
        <item x="46"/>
        <item x="287"/>
        <item x="8"/>
        <item x="65"/>
        <item x="49"/>
        <item x="116"/>
        <item x="75"/>
        <item x="32"/>
        <item x="267"/>
        <item x="320"/>
        <item x="59"/>
        <item x="280"/>
        <item x="172"/>
        <item x="152"/>
        <item x="212"/>
        <item x="40"/>
        <item x="173"/>
        <item x="159"/>
        <item x="270"/>
        <item x="123"/>
        <item x="29"/>
        <item x="151"/>
        <item x="94"/>
        <item x="309"/>
        <item x="52"/>
        <item x="321"/>
        <item x="225"/>
        <item x="210"/>
        <item x="85"/>
        <item x="181"/>
        <item x="245"/>
        <item x="180"/>
        <item x="31"/>
        <item x="286"/>
        <item x="195"/>
        <item x="304"/>
        <item x="269"/>
        <item x="204"/>
        <item x="124"/>
        <item x="185"/>
        <item x="153"/>
        <item x="10"/>
        <item x="258"/>
        <item x="88"/>
        <item x="86"/>
        <item x="221"/>
        <item x="42"/>
        <item x="300"/>
        <item x="105"/>
        <item x="101"/>
        <item x="131"/>
        <item x="226"/>
        <item x="253"/>
        <item x="35"/>
        <item x="11"/>
        <item x="250"/>
        <item x="200"/>
        <item x="242"/>
        <item x="271"/>
        <item x="134"/>
        <item x="163"/>
        <item x="148"/>
        <item x="268"/>
        <item x="203"/>
        <item x="193"/>
        <item x="239"/>
        <item x="43"/>
        <item x="19"/>
        <item x="97"/>
        <item x="234"/>
        <item x="147"/>
        <item x="190"/>
        <item x="18"/>
        <item x="264"/>
        <item x="13"/>
        <item x="262"/>
        <item x="156"/>
        <item x="183"/>
        <item x="78"/>
        <item x="132"/>
        <item x="256"/>
        <item x="67"/>
        <item x="317"/>
        <item x="111"/>
        <item x="50"/>
        <item x="189"/>
        <item x="216"/>
        <item x="122"/>
        <item x="241"/>
        <item x="30"/>
        <item x="143"/>
        <item x="282"/>
        <item x="91"/>
        <item x="112"/>
        <item x="211"/>
        <item x="25"/>
        <item x="14"/>
        <item x="60"/>
        <item x="302"/>
        <item x="310"/>
        <item x="115"/>
        <item x="231"/>
        <item x="299"/>
        <item x="288"/>
        <item x="260"/>
        <item x="228"/>
        <item x="82"/>
        <item x="235"/>
        <item x="6"/>
        <item x="178"/>
        <item x="81"/>
        <item x="95"/>
        <item x="1"/>
        <item x="145"/>
        <item x="76"/>
        <item x="146"/>
        <item x="230"/>
        <item x="291"/>
        <item x="306"/>
        <item x="301"/>
        <item x="79"/>
        <item x="109"/>
        <item x="89"/>
        <item x="247"/>
        <item x="117"/>
        <item x="168"/>
        <item x="139"/>
        <item x="284"/>
        <item x="64"/>
        <item x="110"/>
        <item x="254"/>
        <item x="219"/>
        <item x="167"/>
        <item x="275"/>
        <item x="229"/>
        <item x="208"/>
        <item x="164"/>
        <item x="223"/>
        <item x="158"/>
        <item x="240"/>
        <item x="99"/>
        <item x="24"/>
        <item x="232"/>
        <item x="41"/>
        <item x="103"/>
        <item x="93"/>
        <item x="12"/>
        <item x="244"/>
        <item x="166"/>
        <item x="236"/>
        <item x="322"/>
        <item x="305"/>
        <item x="255"/>
        <item x="133"/>
        <item x="77"/>
        <item x="0"/>
        <item x="293"/>
        <item x="170"/>
        <item x="83"/>
        <item x="292"/>
        <item x="53"/>
        <item x="74"/>
        <item x="176"/>
        <item x="118"/>
        <item x="259"/>
        <item x="206"/>
        <item x="113"/>
        <item x="108"/>
        <item x="199"/>
        <item x="261"/>
        <item x="227"/>
        <item x="192"/>
        <item x="107"/>
        <item x="22"/>
        <item x="98"/>
        <item x="315"/>
        <item x="177"/>
        <item x="9"/>
        <item x="184"/>
        <item x="44"/>
        <item x="5"/>
        <item x="2"/>
        <item x="144"/>
        <item x="154"/>
        <item x="150"/>
        <item x="51"/>
        <item x="294"/>
        <item x="135"/>
        <item x="171"/>
        <item x="238"/>
        <item x="198"/>
        <item x="141"/>
        <item x="47"/>
        <item x="257"/>
        <item x="15"/>
        <item x="27"/>
        <item x="61"/>
        <item x="312"/>
        <item x="17"/>
        <item x="62"/>
        <item x="311"/>
        <item x="87"/>
        <item x="56"/>
        <item x="182"/>
        <item x="281"/>
        <item x="26"/>
        <item x="265"/>
        <item x="119"/>
        <item x="319"/>
        <item x="57"/>
        <item x="169"/>
        <item x="283"/>
        <item x="137"/>
        <item x="104"/>
        <item x="174"/>
        <item x="307"/>
        <item x="3"/>
        <item x="37"/>
        <item x="28"/>
        <item x="186"/>
        <item x="237"/>
        <item x="187"/>
        <item x="201"/>
        <item x="68"/>
        <item x="273"/>
        <item x="21"/>
        <item x="130"/>
        <item x="222"/>
        <item x="34"/>
        <item x="179"/>
        <item x="246"/>
        <item x="220"/>
        <item x="266"/>
        <item x="48"/>
        <item x="96"/>
        <item x="316"/>
        <item x="128"/>
        <item x="323"/>
        <item x="278"/>
        <item x="161"/>
        <item x="38"/>
        <item x="66"/>
        <item x="224"/>
        <item x="175"/>
        <item x="213"/>
        <item x="138"/>
        <item x="276"/>
        <item x="290"/>
        <item x="39"/>
        <item x="314"/>
        <item x="70"/>
        <item x="277"/>
        <item x="308"/>
        <item x="207"/>
        <item x="249"/>
        <item x="297"/>
        <item x="80"/>
        <item x="33"/>
        <item x="100"/>
        <item x="106"/>
        <item x="296"/>
        <item x="140"/>
        <item x="73"/>
        <item x="72"/>
        <item x="197"/>
        <item x="217"/>
        <item x="165"/>
        <item x="114"/>
        <item x="102"/>
        <item x="274"/>
        <item x="149"/>
        <item x="55"/>
        <item t="default"/>
      </items>
    </pivotField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>
      <items count="18">
        <item x="12"/>
        <item x="6"/>
        <item x="8"/>
        <item x="5"/>
        <item x="0"/>
        <item x="9"/>
        <item x="16"/>
        <item x="10"/>
        <item x="13"/>
        <item x="3"/>
        <item x="1"/>
        <item x="14"/>
        <item x="4"/>
        <item x="11"/>
        <item x="7"/>
        <item x="15"/>
        <item x="2"/>
        <item t="default"/>
      </items>
    </pivotField>
    <pivotField showAll="0" sortType="descending">
      <items count="944">
        <item x="346"/>
        <item x="218"/>
        <item x="798"/>
        <item x="729"/>
        <item x="614"/>
        <item x="284"/>
        <item x="383"/>
        <item x="116"/>
        <item x="715"/>
        <item x="911"/>
        <item x="629"/>
        <item x="298"/>
        <item x="587"/>
        <item x="359"/>
        <item x="561"/>
        <item x="340"/>
        <item x="423"/>
        <item x="549"/>
        <item x="650"/>
        <item x="411"/>
        <item x="853"/>
        <item x="784"/>
        <item x="302"/>
        <item x="576"/>
        <item x="926"/>
        <item x="683"/>
        <item x="738"/>
        <item x="364"/>
        <item x="42"/>
        <item x="693"/>
        <item x="303"/>
        <item x="831"/>
        <item x="247"/>
        <item x="604"/>
        <item x="613"/>
        <item x="163"/>
        <item x="337"/>
        <item x="156"/>
        <item x="235"/>
        <item x="686"/>
        <item x="4"/>
        <item x="276"/>
        <item x="142"/>
        <item x="610"/>
        <item x="100"/>
        <item x="934"/>
        <item x="677"/>
        <item x="725"/>
        <item x="60"/>
        <item x="856"/>
        <item x="878"/>
        <item x="679"/>
        <item x="250"/>
        <item x="509"/>
        <item x="889"/>
        <item x="490"/>
        <item x="550"/>
        <item x="140"/>
        <item x="574"/>
        <item x="69"/>
        <item x="473"/>
        <item x="525"/>
        <item x="810"/>
        <item x="489"/>
        <item x="929"/>
        <item x="664"/>
        <item x="321"/>
        <item x="160"/>
        <item x="920"/>
        <item x="837"/>
        <item x="900"/>
        <item x="892"/>
        <item x="792"/>
        <item x="436"/>
        <item x="174"/>
        <item x="734"/>
        <item x="556"/>
        <item x="861"/>
        <item x="586"/>
        <item x="295"/>
        <item x="314"/>
        <item x="378"/>
        <item x="442"/>
        <item x="427"/>
        <item x="494"/>
        <item x="573"/>
        <item x="102"/>
        <item x="689"/>
        <item x="918"/>
        <item x="479"/>
        <item x="339"/>
        <item x="420"/>
        <item x="466"/>
        <item x="446"/>
        <item x="866"/>
        <item x="332"/>
        <item x="350"/>
        <item x="468"/>
        <item x="595"/>
        <item x="141"/>
        <item x="151"/>
        <item x="12"/>
        <item x="923"/>
        <item x="722"/>
        <item x="139"/>
        <item x="937"/>
        <item x="495"/>
        <item x="347"/>
        <item x="435"/>
        <item x="885"/>
        <item x="474"/>
        <item x="758"/>
        <item x="847"/>
        <item x="916"/>
        <item x="851"/>
        <item x="193"/>
        <item x="833"/>
        <item x="868"/>
        <item x="25"/>
        <item x="19"/>
        <item x="240"/>
        <item x="504"/>
        <item x="48"/>
        <item x="563"/>
        <item x="941"/>
        <item x="767"/>
        <item x="659"/>
        <item x="409"/>
        <item x="396"/>
        <item x="41"/>
        <item x="152"/>
        <item x="132"/>
        <item x="940"/>
        <item x="251"/>
        <item x="660"/>
        <item x="45"/>
        <item x="225"/>
        <item x="883"/>
        <item x="527"/>
        <item x="662"/>
        <item x="271"/>
        <item x="621"/>
        <item x="808"/>
        <item x="331"/>
        <item x="447"/>
        <item x="804"/>
        <item x="648"/>
        <item x="651"/>
        <item x="91"/>
        <item x="936"/>
        <item x="902"/>
        <item x="584"/>
        <item x="217"/>
        <item x="743"/>
        <item x="639"/>
        <item x="705"/>
        <item x="432"/>
        <item x="77"/>
        <item x="322"/>
        <item x="204"/>
        <item x="942"/>
        <item x="503"/>
        <item x="262"/>
        <item x="128"/>
        <item x="30"/>
        <item x="697"/>
        <item x="155"/>
        <item x="7"/>
        <item x="461"/>
        <item x="726"/>
        <item x="131"/>
        <item x="375"/>
        <item x="707"/>
        <item x="206"/>
        <item x="395"/>
        <item x="361"/>
        <item x="200"/>
        <item x="787"/>
        <item x="343"/>
        <item x="315"/>
        <item x="158"/>
        <item x="70"/>
        <item x="385"/>
        <item x="344"/>
        <item x="505"/>
        <item x="189"/>
        <item x="500"/>
        <item x="591"/>
        <item x="144"/>
        <item x="86"/>
        <item x="365"/>
        <item x="66"/>
        <item x="190"/>
        <item x="159"/>
        <item x="145"/>
        <item x="28"/>
        <item x="776"/>
        <item x="506"/>
        <item x="819"/>
        <item x="756"/>
        <item x="830"/>
        <item x="915"/>
        <item x="273"/>
        <item x="63"/>
        <item x="493"/>
        <item x="770"/>
        <item x="391"/>
        <item x="1"/>
        <item x="501"/>
        <item x="546"/>
        <item x="724"/>
        <item x="434"/>
        <item x="672"/>
        <item x="136"/>
        <item x="712"/>
        <item x="62"/>
        <item x="849"/>
        <item x="219"/>
        <item x="96"/>
        <item x="786"/>
        <item x="522"/>
        <item x="76"/>
        <item x="935"/>
        <item x="80"/>
        <item x="695"/>
        <item x="213"/>
        <item x="537"/>
        <item x="781"/>
        <item x="637"/>
        <item x="777"/>
        <item x="572"/>
        <item x="482"/>
        <item x="518"/>
        <item x="890"/>
        <item x="37"/>
        <item x="552"/>
        <item x="203"/>
        <item x="894"/>
        <item x="399"/>
        <item x="110"/>
        <item x="183"/>
        <item x="104"/>
        <item x="723"/>
        <item x="625"/>
        <item x="485"/>
        <item x="338"/>
        <item x="542"/>
        <item x="114"/>
        <item x="195"/>
        <item x="13"/>
        <item x="390"/>
        <item x="515"/>
        <item x="607"/>
        <item x="282"/>
        <item x="304"/>
        <item x="739"/>
        <item x="685"/>
        <item x="499"/>
        <item x="618"/>
        <item x="236"/>
        <item x="708"/>
        <item x="555"/>
        <item x="85"/>
        <item x="35"/>
        <item x="242"/>
        <item x="207"/>
        <item x="480"/>
        <item x="769"/>
        <item x="185"/>
        <item x="403"/>
        <item x="113"/>
        <item x="852"/>
        <item x="799"/>
        <item x="603"/>
        <item x="601"/>
        <item x="510"/>
        <item x="82"/>
        <item x="675"/>
        <item x="871"/>
        <item x="667"/>
        <item x="820"/>
        <item x="371"/>
        <item x="887"/>
        <item x="64"/>
        <item x="462"/>
        <item x="577"/>
        <item x="413"/>
        <item x="94"/>
        <item x="224"/>
        <item x="658"/>
        <item x="928"/>
        <item x="687"/>
        <item x="410"/>
        <item x="362"/>
        <item x="16"/>
        <item x="205"/>
        <item x="557"/>
        <item x="424"/>
        <item x="593"/>
        <item x="443"/>
        <item x="924"/>
        <item x="75"/>
        <item x="467"/>
        <item x="632"/>
        <item x="516"/>
        <item x="748"/>
        <item x="827"/>
        <item x="588"/>
        <item x="562"/>
        <item x="807"/>
        <item x="814"/>
        <item x="54"/>
        <item x="95"/>
        <item x="133"/>
        <item x="126"/>
        <item x="241"/>
        <item x="585"/>
        <item x="843"/>
        <item x="351"/>
        <item x="645"/>
        <item x="143"/>
        <item x="864"/>
        <item x="619"/>
        <item x="38"/>
        <item x="228"/>
        <item x="706"/>
        <item x="412"/>
        <item x="150"/>
        <item x="90"/>
        <item x="384"/>
        <item x="600"/>
        <item x="788"/>
        <item x="719"/>
        <item x="119"/>
        <item x="583"/>
        <item x="653"/>
        <item x="177"/>
        <item x="9"/>
        <item x="471"/>
        <item x="747"/>
        <item x="897"/>
        <item x="418"/>
        <item x="368"/>
        <item x="551"/>
        <item x="850"/>
        <item x="223"/>
        <item x="255"/>
        <item x="903"/>
        <item x="380"/>
        <item x="197"/>
        <item x="388"/>
        <item x="484"/>
        <item x="817"/>
        <item x="759"/>
        <item x="567"/>
        <item x="470"/>
        <item x="301"/>
        <item x="10"/>
        <item x="134"/>
        <item x="230"/>
        <item x="67"/>
        <item x="571"/>
        <item x="744"/>
        <item x="259"/>
        <item x="486"/>
        <item x="544"/>
        <item x="594"/>
        <item x="452"/>
        <item x="893"/>
        <item x="199"/>
        <item x="232"/>
        <item x="300"/>
        <item x="464"/>
        <item x="771"/>
        <item x="108"/>
        <item x="938"/>
        <item x="834"/>
        <item x="526"/>
        <item x="762"/>
        <item x="519"/>
        <item x="674"/>
        <item x="844"/>
        <item x="341"/>
        <item x="50"/>
        <item x="513"/>
        <item x="92"/>
        <item x="877"/>
        <item x="425"/>
        <item x="841"/>
        <item x="531"/>
        <item x="313"/>
        <item x="922"/>
        <item x="824"/>
        <item x="717"/>
        <item x="336"/>
        <item x="369"/>
        <item x="718"/>
        <item x="226"/>
        <item x="790"/>
        <item x="275"/>
        <item x="52"/>
        <item x="477"/>
        <item x="260"/>
        <item x="243"/>
        <item x="429"/>
        <item x="848"/>
        <item x="775"/>
        <item x="845"/>
        <item x="316"/>
        <item x="39"/>
        <item x="881"/>
        <item x="51"/>
        <item x="826"/>
        <item x="560"/>
        <item x="564"/>
        <item x="49"/>
        <item x="668"/>
        <item x="711"/>
        <item x="854"/>
        <item x="633"/>
        <item x="460"/>
        <item x="656"/>
        <item x="454"/>
        <item x="512"/>
        <item x="345"/>
        <item x="112"/>
        <item x="323"/>
        <item x="312"/>
        <item x="291"/>
        <item x="211"/>
        <item x="458"/>
        <item x="106"/>
        <item x="147"/>
        <item x="171"/>
        <item x="335"/>
        <item x="879"/>
        <item x="453"/>
        <item x="357"/>
        <item x="318"/>
        <item x="263"/>
        <item x="909"/>
        <item x="699"/>
        <item x="532"/>
        <item x="394"/>
        <item x="680"/>
        <item x="733"/>
        <item x="165"/>
        <item x="912"/>
        <item x="540"/>
        <item x="73"/>
        <item x="256"/>
        <item x="431"/>
        <item x="554"/>
        <item x="36"/>
        <item x="859"/>
        <item x="753"/>
        <item x="565"/>
        <item x="914"/>
        <item x="530"/>
        <item x="172"/>
        <item x="528"/>
        <item x="778"/>
        <item x="700"/>
        <item x="186"/>
        <item x="630"/>
        <item x="543"/>
        <item x="21"/>
        <item x="246"/>
        <item x="261"/>
        <item x="855"/>
        <item x="638"/>
        <item x="663"/>
        <item x="839"/>
        <item x="127"/>
        <item x="704"/>
        <item x="553"/>
        <item x="870"/>
        <item x="229"/>
        <item x="311"/>
        <item x="53"/>
        <item x="27"/>
        <item x="624"/>
        <item x="61"/>
        <item x="269"/>
        <item x="334"/>
        <item x="548"/>
        <item x="216"/>
        <item x="233"/>
        <item x="811"/>
        <item x="397"/>
        <item x="257"/>
        <item x="536"/>
        <item x="55"/>
        <item x="146"/>
        <item x="541"/>
        <item x="417"/>
        <item x="166"/>
        <item x="836"/>
        <item x="869"/>
        <item x="287"/>
        <item x="673"/>
        <item x="842"/>
        <item x="400"/>
        <item x="714"/>
        <item x="215"/>
        <item x="547"/>
        <item x="876"/>
        <item x="286"/>
        <item x="354"/>
        <item x="387"/>
        <item x="939"/>
        <item x="652"/>
        <item x="24"/>
        <item x="6"/>
        <item x="728"/>
        <item x="611"/>
        <item x="521"/>
        <item x="31"/>
        <item x="665"/>
        <item x="280"/>
        <item x="688"/>
        <item x="290"/>
        <item x="535"/>
        <item x="408"/>
        <item x="451"/>
        <item x="815"/>
        <item x="896"/>
        <item x="20"/>
        <item x="253"/>
        <item x="713"/>
        <item x="26"/>
        <item x="252"/>
        <item x="684"/>
        <item x="370"/>
        <item x="795"/>
        <item x="238"/>
        <item x="97"/>
        <item x="766"/>
        <item x="101"/>
        <item x="785"/>
        <item x="636"/>
        <item x="816"/>
        <item x="450"/>
        <item x="690"/>
        <item x="179"/>
        <item x="731"/>
        <item x="175"/>
        <item x="11"/>
        <item x="910"/>
        <item x="57"/>
        <item x="201"/>
        <item x="502"/>
        <item x="306"/>
        <item x="899"/>
        <item x="404"/>
        <item x="426"/>
        <item x="768"/>
        <item x="657"/>
        <item x="176"/>
        <item x="692"/>
        <item x="227"/>
        <item x="772"/>
        <item x="292"/>
        <item x="115"/>
        <item x="829"/>
        <item x="596"/>
        <item x="598"/>
        <item x="780"/>
        <item x="270"/>
        <item x="514"/>
        <item x="582"/>
        <item x="727"/>
        <item x="488"/>
        <item x="764"/>
        <item x="858"/>
        <item x="170"/>
        <item x="930"/>
        <item x="377"/>
        <item x="363"/>
        <item x="575"/>
        <item x="419"/>
        <item x="406"/>
        <item x="98"/>
        <item x="319"/>
        <item x="279"/>
        <item x="558"/>
        <item x="626"/>
        <item x="415"/>
        <item x="56"/>
        <item x="606"/>
        <item x="760"/>
        <item x="702"/>
        <item x="360"/>
        <item x="578"/>
        <item x="43"/>
        <item x="592"/>
        <item x="430"/>
        <item x="906"/>
        <item x="330"/>
        <item x="231"/>
        <item x="358"/>
        <item x="8"/>
        <item x="520"/>
        <item x="608"/>
        <item x="440"/>
        <item x="643"/>
        <item x="720"/>
        <item x="754"/>
        <item x="905"/>
        <item x="356"/>
        <item x="5"/>
        <item x="212"/>
        <item x="932"/>
        <item x="386"/>
        <item x="840"/>
        <item x="327"/>
        <item x="310"/>
        <item x="46"/>
        <item x="898"/>
        <item x="545"/>
        <item x="857"/>
        <item x="416"/>
        <item x="120"/>
        <item x="196"/>
        <item x="296"/>
        <item x="921"/>
        <item x="797"/>
        <item x="602"/>
        <item x="248"/>
        <item x="209"/>
        <item x="616"/>
        <item x="88"/>
        <item x="437"/>
        <item x="105"/>
        <item x="168"/>
        <item x="794"/>
        <item x="210"/>
        <item x="828"/>
        <item x="806"/>
        <item x="285"/>
        <item x="433"/>
        <item x="118"/>
        <item x="487"/>
        <item x="299"/>
        <item x="328"/>
        <item x="398"/>
        <item x="597"/>
        <item x="40"/>
        <item x="746"/>
        <item x="444"/>
        <item x="202"/>
        <item x="696"/>
        <item x="590"/>
        <item x="3"/>
        <item x="441"/>
        <item x="694"/>
        <item x="873"/>
        <item x="33"/>
        <item x="469"/>
        <item x="181"/>
        <item x="609"/>
        <item x="17"/>
        <item x="372"/>
        <item x="366"/>
        <item x="691"/>
        <item x="89"/>
        <item x="244"/>
        <item x="103"/>
        <item x="245"/>
        <item x="32"/>
        <item x="927"/>
        <item x="264"/>
        <item x="14"/>
        <item x="835"/>
        <item x="891"/>
        <item x="125"/>
        <item x="783"/>
        <item x="498"/>
        <item x="373"/>
        <item x="901"/>
        <item x="737"/>
        <item x="908"/>
        <item x="169"/>
        <item x="507"/>
        <item x="122"/>
        <item x="615"/>
        <item x="324"/>
        <item x="84"/>
        <item x="268"/>
        <item x="919"/>
        <item x="907"/>
        <item x="917"/>
        <item x="326"/>
        <item x="349"/>
        <item x="886"/>
        <item x="445"/>
        <item x="258"/>
        <item x="148"/>
        <item x="655"/>
        <item x="742"/>
        <item x="654"/>
        <item x="497"/>
        <item x="666"/>
        <item x="579"/>
        <item x="529"/>
        <item x="763"/>
        <item x="428"/>
        <item x="167"/>
        <item x="846"/>
        <item x="348"/>
        <item x="22"/>
        <item x="641"/>
        <item x="121"/>
        <item x="192"/>
        <item x="293"/>
        <item x="184"/>
        <item x="809"/>
        <item x="221"/>
        <item x="559"/>
        <item x="107"/>
        <item x="475"/>
        <item x="448"/>
        <item x="382"/>
        <item x="178"/>
        <item x="272"/>
        <item x="605"/>
        <item x="757"/>
        <item x="508"/>
        <item x="716"/>
        <item x="678"/>
        <item x="812"/>
        <item x="681"/>
        <item x="456"/>
        <item x="237"/>
        <item x="208"/>
        <item x="267"/>
        <item x="721"/>
        <item x="800"/>
        <item x="198"/>
        <item x="173"/>
        <item x="289"/>
        <item x="333"/>
        <item x="0"/>
        <item x="182"/>
        <item x="882"/>
        <item x="459"/>
        <item x="612"/>
        <item x="99"/>
        <item x="511"/>
        <item x="161"/>
        <item x="931"/>
        <item x="623"/>
        <item x="2"/>
        <item x="750"/>
        <item x="117"/>
        <item x="87"/>
        <item x="124"/>
        <item x="773"/>
        <item x="402"/>
        <item x="599"/>
        <item x="481"/>
        <item x="309"/>
        <item x="884"/>
        <item x="904"/>
        <item x="307"/>
        <item x="449"/>
        <item x="710"/>
        <item x="566"/>
        <item x="698"/>
        <item x="644"/>
        <item x="913"/>
        <item x="266"/>
        <item x="135"/>
        <item x="730"/>
        <item x="325"/>
        <item x="83"/>
        <item x="701"/>
        <item x="569"/>
        <item x="755"/>
        <item x="703"/>
        <item x="71"/>
        <item x="352"/>
        <item x="162"/>
        <item x="640"/>
        <item x="457"/>
        <item x="342"/>
        <item x="58"/>
        <item x="825"/>
        <item x="661"/>
        <item x="239"/>
        <item x="278"/>
        <item x="308"/>
        <item x="670"/>
        <item x="376"/>
        <item x="568"/>
        <item x="137"/>
        <item x="381"/>
        <item x="647"/>
        <item x="65"/>
        <item x="297"/>
        <item x="620"/>
        <item x="401"/>
        <item x="465"/>
        <item x="867"/>
        <item x="617"/>
        <item x="191"/>
        <item x="109"/>
        <item x="539"/>
        <item x="439"/>
        <item x="803"/>
        <item x="732"/>
        <item x="214"/>
        <item x="79"/>
        <item x="47"/>
        <item x="389"/>
        <item x="374"/>
        <item x="157"/>
        <item x="749"/>
        <item x="765"/>
        <item x="741"/>
        <item x="761"/>
        <item x="838"/>
        <item x="631"/>
        <item x="194"/>
        <item x="379"/>
        <item x="478"/>
        <item x="29"/>
        <item x="138"/>
        <item x="68"/>
        <item x="492"/>
        <item x="752"/>
        <item x="534"/>
        <item x="874"/>
        <item x="277"/>
        <item x="581"/>
        <item x="472"/>
        <item x="93"/>
        <item x="533"/>
        <item x="796"/>
        <item x="294"/>
        <item x="682"/>
        <item x="642"/>
        <item x="805"/>
        <item x="832"/>
        <item x="455"/>
        <item x="925"/>
        <item x="476"/>
        <item x="895"/>
        <item x="774"/>
        <item x="317"/>
        <item x="491"/>
        <item x="570"/>
        <item x="888"/>
        <item x="872"/>
        <item x="222"/>
        <item x="580"/>
        <item x="407"/>
        <item x="875"/>
        <item x="517"/>
        <item x="862"/>
        <item x="81"/>
        <item x="622"/>
        <item x="736"/>
        <item x="78"/>
        <item x="130"/>
        <item x="735"/>
        <item x="123"/>
        <item x="823"/>
        <item x="821"/>
        <item x="496"/>
        <item x="188"/>
        <item x="392"/>
        <item x="538"/>
        <item x="671"/>
        <item x="329"/>
        <item x="59"/>
        <item x="646"/>
        <item x="234"/>
        <item x="149"/>
        <item x="801"/>
        <item x="422"/>
        <item x="649"/>
        <item x="164"/>
        <item x="367"/>
        <item x="421"/>
        <item x="187"/>
        <item x="709"/>
        <item x="220"/>
        <item x="782"/>
        <item x="627"/>
        <item x="355"/>
        <item x="669"/>
        <item x="23"/>
        <item x="305"/>
        <item x="745"/>
        <item x="863"/>
        <item x="18"/>
        <item x="676"/>
        <item x="111"/>
        <item x="320"/>
        <item x="740"/>
        <item x="283"/>
        <item x="72"/>
        <item x="463"/>
        <item x="254"/>
        <item x="274"/>
        <item x="860"/>
        <item x="865"/>
        <item x="802"/>
        <item x="154"/>
        <item x="405"/>
        <item x="791"/>
        <item x="523"/>
        <item x="353"/>
        <item x="628"/>
        <item x="789"/>
        <item x="880"/>
        <item x="483"/>
        <item x="933"/>
        <item x="822"/>
        <item x="288"/>
        <item x="524"/>
        <item x="634"/>
        <item x="751"/>
        <item x="74"/>
        <item x="438"/>
        <item x="589"/>
        <item x="813"/>
        <item x="129"/>
        <item x="44"/>
        <item x="393"/>
        <item x="635"/>
        <item x="180"/>
        <item x="249"/>
        <item x="779"/>
        <item x="414"/>
        <item x="793"/>
        <item x="153"/>
        <item x="281"/>
        <item x="34"/>
        <item x="15"/>
        <item x="818"/>
        <item x="265"/>
        <item t="default"/>
      </items>
    </pivotField>
    <pivotField dataField="1"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Sales" fld="12" baseField="0" baseItem="0"/>
  </dataFields>
  <chartFormats count="2">
    <chartFormat chart="4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5B163-AF68-4A8D-BD4F-4B2B6DCF27AA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0">
  <location ref="Q3:R21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 sortType="descending">
      <items count="325">
        <item x="263"/>
        <item x="162"/>
        <item x="243"/>
        <item x="313"/>
        <item x="92"/>
        <item x="298"/>
        <item x="58"/>
        <item x="194"/>
        <item x="16"/>
        <item x="54"/>
        <item x="318"/>
        <item x="7"/>
        <item x="272"/>
        <item x="129"/>
        <item x="218"/>
        <item x="295"/>
        <item x="157"/>
        <item x="90"/>
        <item x="120"/>
        <item x="155"/>
        <item x="191"/>
        <item x="126"/>
        <item x="121"/>
        <item x="248"/>
        <item x="36"/>
        <item x="127"/>
        <item x="209"/>
        <item x="84"/>
        <item x="20"/>
        <item x="136"/>
        <item x="160"/>
        <item x="202"/>
        <item x="285"/>
        <item x="196"/>
        <item x="71"/>
        <item x="63"/>
        <item x="69"/>
        <item x="251"/>
        <item x="205"/>
        <item x="279"/>
        <item x="23"/>
        <item x="215"/>
        <item x="233"/>
        <item x="214"/>
        <item x="188"/>
        <item x="252"/>
        <item x="125"/>
        <item x="4"/>
        <item x="45"/>
        <item x="303"/>
        <item x="142"/>
        <item x="289"/>
        <item x="46"/>
        <item x="287"/>
        <item x="8"/>
        <item x="65"/>
        <item x="49"/>
        <item x="116"/>
        <item x="75"/>
        <item x="32"/>
        <item x="267"/>
        <item x="320"/>
        <item x="59"/>
        <item x="280"/>
        <item x="172"/>
        <item x="152"/>
        <item x="212"/>
        <item x="40"/>
        <item x="173"/>
        <item x="159"/>
        <item x="270"/>
        <item x="123"/>
        <item x="29"/>
        <item x="151"/>
        <item x="94"/>
        <item x="309"/>
        <item x="52"/>
        <item x="321"/>
        <item x="225"/>
        <item x="210"/>
        <item x="85"/>
        <item x="181"/>
        <item x="245"/>
        <item x="180"/>
        <item x="31"/>
        <item x="286"/>
        <item x="195"/>
        <item x="304"/>
        <item x="269"/>
        <item x="204"/>
        <item x="124"/>
        <item x="185"/>
        <item x="153"/>
        <item x="10"/>
        <item x="258"/>
        <item x="88"/>
        <item x="86"/>
        <item x="221"/>
        <item x="42"/>
        <item x="300"/>
        <item x="105"/>
        <item x="101"/>
        <item x="131"/>
        <item x="226"/>
        <item x="253"/>
        <item x="35"/>
        <item x="11"/>
        <item x="250"/>
        <item x="200"/>
        <item x="242"/>
        <item x="271"/>
        <item x="134"/>
        <item x="163"/>
        <item x="148"/>
        <item x="268"/>
        <item x="203"/>
        <item x="193"/>
        <item x="239"/>
        <item x="43"/>
        <item x="19"/>
        <item x="97"/>
        <item x="234"/>
        <item x="147"/>
        <item x="190"/>
        <item x="18"/>
        <item x="264"/>
        <item x="13"/>
        <item x="262"/>
        <item x="156"/>
        <item x="183"/>
        <item x="78"/>
        <item x="132"/>
        <item x="256"/>
        <item x="67"/>
        <item x="317"/>
        <item x="111"/>
        <item x="50"/>
        <item x="189"/>
        <item x="216"/>
        <item x="122"/>
        <item x="241"/>
        <item x="30"/>
        <item x="143"/>
        <item x="282"/>
        <item x="91"/>
        <item x="112"/>
        <item x="211"/>
        <item x="25"/>
        <item x="14"/>
        <item x="60"/>
        <item x="302"/>
        <item x="310"/>
        <item x="115"/>
        <item x="231"/>
        <item x="299"/>
        <item x="288"/>
        <item x="260"/>
        <item x="228"/>
        <item x="82"/>
        <item x="235"/>
        <item x="6"/>
        <item x="178"/>
        <item x="81"/>
        <item x="95"/>
        <item x="1"/>
        <item x="145"/>
        <item x="76"/>
        <item x="146"/>
        <item x="230"/>
        <item x="291"/>
        <item x="306"/>
        <item x="301"/>
        <item x="79"/>
        <item x="109"/>
        <item x="89"/>
        <item x="247"/>
        <item x="117"/>
        <item x="168"/>
        <item x="139"/>
        <item x="284"/>
        <item x="64"/>
        <item x="110"/>
        <item x="254"/>
        <item x="219"/>
        <item x="167"/>
        <item x="275"/>
        <item x="229"/>
        <item x="208"/>
        <item x="164"/>
        <item x="223"/>
        <item x="158"/>
        <item x="240"/>
        <item x="99"/>
        <item x="24"/>
        <item x="232"/>
        <item x="41"/>
        <item x="103"/>
        <item x="93"/>
        <item x="12"/>
        <item x="244"/>
        <item x="166"/>
        <item x="236"/>
        <item x="322"/>
        <item x="305"/>
        <item x="255"/>
        <item x="133"/>
        <item x="77"/>
        <item x="0"/>
        <item x="293"/>
        <item x="170"/>
        <item x="83"/>
        <item x="292"/>
        <item x="53"/>
        <item x="74"/>
        <item x="176"/>
        <item x="118"/>
        <item x="259"/>
        <item x="206"/>
        <item x="113"/>
        <item x="108"/>
        <item x="199"/>
        <item x="261"/>
        <item x="227"/>
        <item x="192"/>
        <item x="107"/>
        <item x="22"/>
        <item x="98"/>
        <item x="315"/>
        <item x="177"/>
        <item x="9"/>
        <item x="184"/>
        <item x="44"/>
        <item x="5"/>
        <item x="2"/>
        <item x="144"/>
        <item x="154"/>
        <item x="150"/>
        <item x="51"/>
        <item x="294"/>
        <item x="135"/>
        <item x="171"/>
        <item x="238"/>
        <item x="198"/>
        <item x="141"/>
        <item x="47"/>
        <item x="257"/>
        <item x="15"/>
        <item x="27"/>
        <item x="61"/>
        <item x="312"/>
        <item x="17"/>
        <item x="62"/>
        <item x="311"/>
        <item x="87"/>
        <item x="56"/>
        <item x="182"/>
        <item x="281"/>
        <item x="26"/>
        <item x="265"/>
        <item x="119"/>
        <item x="319"/>
        <item x="57"/>
        <item x="169"/>
        <item x="283"/>
        <item x="137"/>
        <item x="104"/>
        <item x="174"/>
        <item x="307"/>
        <item x="3"/>
        <item x="37"/>
        <item x="28"/>
        <item x="186"/>
        <item x="237"/>
        <item x="187"/>
        <item x="201"/>
        <item x="68"/>
        <item x="273"/>
        <item x="21"/>
        <item x="130"/>
        <item x="222"/>
        <item x="34"/>
        <item x="179"/>
        <item x="246"/>
        <item x="220"/>
        <item x="266"/>
        <item x="48"/>
        <item x="96"/>
        <item x="316"/>
        <item x="128"/>
        <item x="323"/>
        <item x="278"/>
        <item x="161"/>
        <item x="38"/>
        <item x="66"/>
        <item x="224"/>
        <item x="175"/>
        <item x="213"/>
        <item x="138"/>
        <item x="276"/>
        <item x="290"/>
        <item x="39"/>
        <item x="314"/>
        <item x="70"/>
        <item x="277"/>
        <item x="308"/>
        <item x="207"/>
        <item x="249"/>
        <item x="297"/>
        <item x="80"/>
        <item x="33"/>
        <item x="100"/>
        <item x="106"/>
        <item x="296"/>
        <item x="140"/>
        <item x="73"/>
        <item x="72"/>
        <item x="197"/>
        <item x="217"/>
        <item x="165"/>
        <item x="114"/>
        <item x="102"/>
        <item x="274"/>
        <item x="149"/>
        <item x="55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18">
        <item x="12"/>
        <item x="6"/>
        <item x="8"/>
        <item x="5"/>
        <item x="0"/>
        <item x="9"/>
        <item x="16"/>
        <item x="10"/>
        <item x="13"/>
        <item x="3"/>
        <item x="1"/>
        <item x="14"/>
        <item x="4"/>
        <item x="11"/>
        <item x="7"/>
        <item x="15"/>
        <item x="2"/>
        <item t="default"/>
      </items>
    </pivotField>
    <pivotField showAll="0" sortType="descending">
      <items count="944">
        <item x="346"/>
        <item x="218"/>
        <item x="798"/>
        <item x="729"/>
        <item x="614"/>
        <item x="284"/>
        <item x="383"/>
        <item x="116"/>
        <item x="715"/>
        <item x="911"/>
        <item x="629"/>
        <item x="298"/>
        <item x="587"/>
        <item x="359"/>
        <item x="561"/>
        <item x="340"/>
        <item x="423"/>
        <item x="549"/>
        <item x="650"/>
        <item x="411"/>
        <item x="853"/>
        <item x="784"/>
        <item x="302"/>
        <item x="576"/>
        <item x="926"/>
        <item x="683"/>
        <item x="738"/>
        <item x="364"/>
        <item x="42"/>
        <item x="693"/>
        <item x="303"/>
        <item x="831"/>
        <item x="247"/>
        <item x="604"/>
        <item x="613"/>
        <item x="163"/>
        <item x="337"/>
        <item x="156"/>
        <item x="235"/>
        <item x="686"/>
        <item x="4"/>
        <item x="276"/>
        <item x="142"/>
        <item x="610"/>
        <item x="100"/>
        <item x="934"/>
        <item x="677"/>
        <item x="725"/>
        <item x="60"/>
        <item x="856"/>
        <item x="878"/>
        <item x="679"/>
        <item x="250"/>
        <item x="509"/>
        <item x="889"/>
        <item x="490"/>
        <item x="550"/>
        <item x="140"/>
        <item x="574"/>
        <item x="69"/>
        <item x="473"/>
        <item x="525"/>
        <item x="810"/>
        <item x="489"/>
        <item x="929"/>
        <item x="664"/>
        <item x="321"/>
        <item x="160"/>
        <item x="920"/>
        <item x="837"/>
        <item x="900"/>
        <item x="892"/>
        <item x="792"/>
        <item x="436"/>
        <item x="174"/>
        <item x="734"/>
        <item x="556"/>
        <item x="861"/>
        <item x="586"/>
        <item x="295"/>
        <item x="314"/>
        <item x="378"/>
        <item x="442"/>
        <item x="427"/>
        <item x="494"/>
        <item x="573"/>
        <item x="102"/>
        <item x="689"/>
        <item x="918"/>
        <item x="479"/>
        <item x="339"/>
        <item x="420"/>
        <item x="466"/>
        <item x="446"/>
        <item x="866"/>
        <item x="332"/>
        <item x="350"/>
        <item x="468"/>
        <item x="595"/>
        <item x="141"/>
        <item x="151"/>
        <item x="12"/>
        <item x="923"/>
        <item x="722"/>
        <item x="139"/>
        <item x="937"/>
        <item x="495"/>
        <item x="347"/>
        <item x="435"/>
        <item x="885"/>
        <item x="474"/>
        <item x="758"/>
        <item x="847"/>
        <item x="916"/>
        <item x="851"/>
        <item x="193"/>
        <item x="833"/>
        <item x="868"/>
        <item x="25"/>
        <item x="19"/>
        <item x="240"/>
        <item x="504"/>
        <item x="48"/>
        <item x="563"/>
        <item x="941"/>
        <item x="767"/>
        <item x="659"/>
        <item x="409"/>
        <item x="396"/>
        <item x="41"/>
        <item x="152"/>
        <item x="132"/>
        <item x="940"/>
        <item x="251"/>
        <item x="660"/>
        <item x="45"/>
        <item x="225"/>
        <item x="883"/>
        <item x="527"/>
        <item x="662"/>
        <item x="271"/>
        <item x="621"/>
        <item x="808"/>
        <item x="331"/>
        <item x="447"/>
        <item x="804"/>
        <item x="648"/>
        <item x="651"/>
        <item x="91"/>
        <item x="936"/>
        <item x="902"/>
        <item x="584"/>
        <item x="217"/>
        <item x="743"/>
        <item x="639"/>
        <item x="705"/>
        <item x="432"/>
        <item x="77"/>
        <item x="322"/>
        <item x="204"/>
        <item x="942"/>
        <item x="503"/>
        <item x="262"/>
        <item x="128"/>
        <item x="30"/>
        <item x="697"/>
        <item x="155"/>
        <item x="7"/>
        <item x="461"/>
        <item x="726"/>
        <item x="131"/>
        <item x="375"/>
        <item x="707"/>
        <item x="206"/>
        <item x="395"/>
        <item x="361"/>
        <item x="200"/>
        <item x="787"/>
        <item x="343"/>
        <item x="315"/>
        <item x="158"/>
        <item x="70"/>
        <item x="385"/>
        <item x="344"/>
        <item x="505"/>
        <item x="189"/>
        <item x="500"/>
        <item x="591"/>
        <item x="144"/>
        <item x="86"/>
        <item x="365"/>
        <item x="66"/>
        <item x="190"/>
        <item x="159"/>
        <item x="145"/>
        <item x="28"/>
        <item x="776"/>
        <item x="506"/>
        <item x="819"/>
        <item x="756"/>
        <item x="830"/>
        <item x="915"/>
        <item x="273"/>
        <item x="63"/>
        <item x="493"/>
        <item x="770"/>
        <item x="391"/>
        <item x="1"/>
        <item x="501"/>
        <item x="546"/>
        <item x="724"/>
        <item x="434"/>
        <item x="672"/>
        <item x="136"/>
        <item x="712"/>
        <item x="62"/>
        <item x="849"/>
        <item x="219"/>
        <item x="96"/>
        <item x="786"/>
        <item x="522"/>
        <item x="76"/>
        <item x="935"/>
        <item x="80"/>
        <item x="695"/>
        <item x="213"/>
        <item x="537"/>
        <item x="781"/>
        <item x="637"/>
        <item x="777"/>
        <item x="572"/>
        <item x="482"/>
        <item x="518"/>
        <item x="890"/>
        <item x="37"/>
        <item x="552"/>
        <item x="203"/>
        <item x="894"/>
        <item x="399"/>
        <item x="110"/>
        <item x="183"/>
        <item x="104"/>
        <item x="723"/>
        <item x="625"/>
        <item x="485"/>
        <item x="338"/>
        <item x="542"/>
        <item x="114"/>
        <item x="195"/>
        <item x="13"/>
        <item x="390"/>
        <item x="515"/>
        <item x="607"/>
        <item x="282"/>
        <item x="304"/>
        <item x="739"/>
        <item x="685"/>
        <item x="499"/>
        <item x="618"/>
        <item x="236"/>
        <item x="708"/>
        <item x="555"/>
        <item x="85"/>
        <item x="35"/>
        <item x="242"/>
        <item x="207"/>
        <item x="480"/>
        <item x="769"/>
        <item x="185"/>
        <item x="403"/>
        <item x="113"/>
        <item x="852"/>
        <item x="799"/>
        <item x="603"/>
        <item x="601"/>
        <item x="510"/>
        <item x="82"/>
        <item x="675"/>
        <item x="871"/>
        <item x="667"/>
        <item x="820"/>
        <item x="371"/>
        <item x="887"/>
        <item x="64"/>
        <item x="462"/>
        <item x="577"/>
        <item x="413"/>
        <item x="94"/>
        <item x="224"/>
        <item x="658"/>
        <item x="928"/>
        <item x="687"/>
        <item x="410"/>
        <item x="362"/>
        <item x="16"/>
        <item x="205"/>
        <item x="557"/>
        <item x="424"/>
        <item x="593"/>
        <item x="443"/>
        <item x="924"/>
        <item x="75"/>
        <item x="467"/>
        <item x="632"/>
        <item x="516"/>
        <item x="748"/>
        <item x="827"/>
        <item x="588"/>
        <item x="562"/>
        <item x="807"/>
        <item x="814"/>
        <item x="54"/>
        <item x="95"/>
        <item x="133"/>
        <item x="126"/>
        <item x="241"/>
        <item x="585"/>
        <item x="843"/>
        <item x="351"/>
        <item x="645"/>
        <item x="143"/>
        <item x="864"/>
        <item x="619"/>
        <item x="38"/>
        <item x="228"/>
        <item x="706"/>
        <item x="412"/>
        <item x="150"/>
        <item x="90"/>
        <item x="384"/>
        <item x="600"/>
        <item x="788"/>
        <item x="719"/>
        <item x="119"/>
        <item x="583"/>
        <item x="653"/>
        <item x="177"/>
        <item x="9"/>
        <item x="471"/>
        <item x="747"/>
        <item x="897"/>
        <item x="418"/>
        <item x="368"/>
        <item x="551"/>
        <item x="850"/>
        <item x="223"/>
        <item x="255"/>
        <item x="903"/>
        <item x="380"/>
        <item x="197"/>
        <item x="388"/>
        <item x="484"/>
        <item x="817"/>
        <item x="759"/>
        <item x="567"/>
        <item x="470"/>
        <item x="301"/>
        <item x="10"/>
        <item x="134"/>
        <item x="230"/>
        <item x="67"/>
        <item x="571"/>
        <item x="744"/>
        <item x="259"/>
        <item x="486"/>
        <item x="544"/>
        <item x="594"/>
        <item x="452"/>
        <item x="893"/>
        <item x="199"/>
        <item x="232"/>
        <item x="300"/>
        <item x="464"/>
        <item x="771"/>
        <item x="108"/>
        <item x="938"/>
        <item x="834"/>
        <item x="526"/>
        <item x="762"/>
        <item x="519"/>
        <item x="674"/>
        <item x="844"/>
        <item x="341"/>
        <item x="50"/>
        <item x="513"/>
        <item x="92"/>
        <item x="877"/>
        <item x="425"/>
        <item x="841"/>
        <item x="531"/>
        <item x="313"/>
        <item x="922"/>
        <item x="824"/>
        <item x="717"/>
        <item x="336"/>
        <item x="369"/>
        <item x="718"/>
        <item x="226"/>
        <item x="790"/>
        <item x="275"/>
        <item x="52"/>
        <item x="477"/>
        <item x="260"/>
        <item x="243"/>
        <item x="429"/>
        <item x="848"/>
        <item x="775"/>
        <item x="845"/>
        <item x="316"/>
        <item x="39"/>
        <item x="881"/>
        <item x="51"/>
        <item x="826"/>
        <item x="560"/>
        <item x="564"/>
        <item x="49"/>
        <item x="668"/>
        <item x="711"/>
        <item x="854"/>
        <item x="633"/>
        <item x="460"/>
        <item x="656"/>
        <item x="454"/>
        <item x="512"/>
        <item x="345"/>
        <item x="112"/>
        <item x="323"/>
        <item x="312"/>
        <item x="291"/>
        <item x="211"/>
        <item x="458"/>
        <item x="106"/>
        <item x="147"/>
        <item x="171"/>
        <item x="335"/>
        <item x="879"/>
        <item x="453"/>
        <item x="357"/>
        <item x="318"/>
        <item x="263"/>
        <item x="909"/>
        <item x="699"/>
        <item x="532"/>
        <item x="394"/>
        <item x="680"/>
        <item x="733"/>
        <item x="165"/>
        <item x="912"/>
        <item x="540"/>
        <item x="73"/>
        <item x="256"/>
        <item x="431"/>
        <item x="554"/>
        <item x="36"/>
        <item x="859"/>
        <item x="753"/>
        <item x="565"/>
        <item x="914"/>
        <item x="530"/>
        <item x="172"/>
        <item x="528"/>
        <item x="778"/>
        <item x="700"/>
        <item x="186"/>
        <item x="630"/>
        <item x="543"/>
        <item x="21"/>
        <item x="246"/>
        <item x="261"/>
        <item x="855"/>
        <item x="638"/>
        <item x="663"/>
        <item x="839"/>
        <item x="127"/>
        <item x="704"/>
        <item x="553"/>
        <item x="870"/>
        <item x="229"/>
        <item x="311"/>
        <item x="53"/>
        <item x="27"/>
        <item x="624"/>
        <item x="61"/>
        <item x="269"/>
        <item x="334"/>
        <item x="548"/>
        <item x="216"/>
        <item x="233"/>
        <item x="811"/>
        <item x="397"/>
        <item x="257"/>
        <item x="536"/>
        <item x="55"/>
        <item x="146"/>
        <item x="541"/>
        <item x="417"/>
        <item x="166"/>
        <item x="836"/>
        <item x="869"/>
        <item x="287"/>
        <item x="673"/>
        <item x="842"/>
        <item x="400"/>
        <item x="714"/>
        <item x="215"/>
        <item x="547"/>
        <item x="876"/>
        <item x="286"/>
        <item x="354"/>
        <item x="387"/>
        <item x="939"/>
        <item x="652"/>
        <item x="24"/>
        <item x="6"/>
        <item x="728"/>
        <item x="611"/>
        <item x="521"/>
        <item x="31"/>
        <item x="665"/>
        <item x="280"/>
        <item x="688"/>
        <item x="290"/>
        <item x="535"/>
        <item x="408"/>
        <item x="451"/>
        <item x="815"/>
        <item x="896"/>
        <item x="20"/>
        <item x="253"/>
        <item x="713"/>
        <item x="26"/>
        <item x="252"/>
        <item x="684"/>
        <item x="370"/>
        <item x="795"/>
        <item x="238"/>
        <item x="97"/>
        <item x="766"/>
        <item x="101"/>
        <item x="785"/>
        <item x="636"/>
        <item x="816"/>
        <item x="450"/>
        <item x="690"/>
        <item x="179"/>
        <item x="731"/>
        <item x="175"/>
        <item x="11"/>
        <item x="910"/>
        <item x="57"/>
        <item x="201"/>
        <item x="502"/>
        <item x="306"/>
        <item x="899"/>
        <item x="404"/>
        <item x="426"/>
        <item x="768"/>
        <item x="657"/>
        <item x="176"/>
        <item x="692"/>
        <item x="227"/>
        <item x="772"/>
        <item x="292"/>
        <item x="115"/>
        <item x="829"/>
        <item x="596"/>
        <item x="598"/>
        <item x="780"/>
        <item x="270"/>
        <item x="514"/>
        <item x="582"/>
        <item x="727"/>
        <item x="488"/>
        <item x="764"/>
        <item x="858"/>
        <item x="170"/>
        <item x="930"/>
        <item x="377"/>
        <item x="363"/>
        <item x="575"/>
        <item x="419"/>
        <item x="406"/>
        <item x="98"/>
        <item x="319"/>
        <item x="279"/>
        <item x="558"/>
        <item x="626"/>
        <item x="415"/>
        <item x="56"/>
        <item x="606"/>
        <item x="760"/>
        <item x="702"/>
        <item x="360"/>
        <item x="578"/>
        <item x="43"/>
        <item x="592"/>
        <item x="430"/>
        <item x="906"/>
        <item x="330"/>
        <item x="231"/>
        <item x="358"/>
        <item x="8"/>
        <item x="520"/>
        <item x="608"/>
        <item x="440"/>
        <item x="643"/>
        <item x="720"/>
        <item x="754"/>
        <item x="905"/>
        <item x="356"/>
        <item x="5"/>
        <item x="212"/>
        <item x="932"/>
        <item x="386"/>
        <item x="840"/>
        <item x="327"/>
        <item x="310"/>
        <item x="46"/>
        <item x="898"/>
        <item x="545"/>
        <item x="857"/>
        <item x="416"/>
        <item x="120"/>
        <item x="196"/>
        <item x="296"/>
        <item x="921"/>
        <item x="797"/>
        <item x="602"/>
        <item x="248"/>
        <item x="209"/>
        <item x="616"/>
        <item x="88"/>
        <item x="437"/>
        <item x="105"/>
        <item x="168"/>
        <item x="794"/>
        <item x="210"/>
        <item x="828"/>
        <item x="806"/>
        <item x="285"/>
        <item x="433"/>
        <item x="118"/>
        <item x="487"/>
        <item x="299"/>
        <item x="328"/>
        <item x="398"/>
        <item x="597"/>
        <item x="40"/>
        <item x="746"/>
        <item x="444"/>
        <item x="202"/>
        <item x="696"/>
        <item x="590"/>
        <item x="3"/>
        <item x="441"/>
        <item x="694"/>
        <item x="873"/>
        <item x="33"/>
        <item x="469"/>
        <item x="181"/>
        <item x="609"/>
        <item x="17"/>
        <item x="372"/>
        <item x="366"/>
        <item x="691"/>
        <item x="89"/>
        <item x="244"/>
        <item x="103"/>
        <item x="245"/>
        <item x="32"/>
        <item x="927"/>
        <item x="264"/>
        <item x="14"/>
        <item x="835"/>
        <item x="891"/>
        <item x="125"/>
        <item x="783"/>
        <item x="498"/>
        <item x="373"/>
        <item x="901"/>
        <item x="737"/>
        <item x="908"/>
        <item x="169"/>
        <item x="507"/>
        <item x="122"/>
        <item x="615"/>
        <item x="324"/>
        <item x="84"/>
        <item x="268"/>
        <item x="919"/>
        <item x="907"/>
        <item x="917"/>
        <item x="326"/>
        <item x="349"/>
        <item x="886"/>
        <item x="445"/>
        <item x="258"/>
        <item x="148"/>
        <item x="655"/>
        <item x="742"/>
        <item x="654"/>
        <item x="497"/>
        <item x="666"/>
        <item x="579"/>
        <item x="529"/>
        <item x="763"/>
        <item x="428"/>
        <item x="167"/>
        <item x="846"/>
        <item x="348"/>
        <item x="22"/>
        <item x="641"/>
        <item x="121"/>
        <item x="192"/>
        <item x="293"/>
        <item x="184"/>
        <item x="809"/>
        <item x="221"/>
        <item x="559"/>
        <item x="107"/>
        <item x="475"/>
        <item x="448"/>
        <item x="382"/>
        <item x="178"/>
        <item x="272"/>
        <item x="605"/>
        <item x="757"/>
        <item x="508"/>
        <item x="716"/>
        <item x="678"/>
        <item x="812"/>
        <item x="681"/>
        <item x="456"/>
        <item x="237"/>
        <item x="208"/>
        <item x="267"/>
        <item x="721"/>
        <item x="800"/>
        <item x="198"/>
        <item x="173"/>
        <item x="289"/>
        <item x="333"/>
        <item x="0"/>
        <item x="182"/>
        <item x="882"/>
        <item x="459"/>
        <item x="612"/>
        <item x="99"/>
        <item x="511"/>
        <item x="161"/>
        <item x="931"/>
        <item x="623"/>
        <item x="2"/>
        <item x="750"/>
        <item x="117"/>
        <item x="87"/>
        <item x="124"/>
        <item x="773"/>
        <item x="402"/>
        <item x="599"/>
        <item x="481"/>
        <item x="309"/>
        <item x="884"/>
        <item x="904"/>
        <item x="307"/>
        <item x="449"/>
        <item x="710"/>
        <item x="566"/>
        <item x="698"/>
        <item x="644"/>
        <item x="913"/>
        <item x="266"/>
        <item x="135"/>
        <item x="730"/>
        <item x="325"/>
        <item x="83"/>
        <item x="701"/>
        <item x="569"/>
        <item x="755"/>
        <item x="703"/>
        <item x="71"/>
        <item x="352"/>
        <item x="162"/>
        <item x="640"/>
        <item x="457"/>
        <item x="342"/>
        <item x="58"/>
        <item x="825"/>
        <item x="661"/>
        <item x="239"/>
        <item x="278"/>
        <item x="308"/>
        <item x="670"/>
        <item x="376"/>
        <item x="568"/>
        <item x="137"/>
        <item x="381"/>
        <item x="647"/>
        <item x="65"/>
        <item x="297"/>
        <item x="620"/>
        <item x="401"/>
        <item x="465"/>
        <item x="867"/>
        <item x="617"/>
        <item x="191"/>
        <item x="109"/>
        <item x="539"/>
        <item x="439"/>
        <item x="803"/>
        <item x="732"/>
        <item x="214"/>
        <item x="79"/>
        <item x="47"/>
        <item x="389"/>
        <item x="374"/>
        <item x="157"/>
        <item x="749"/>
        <item x="765"/>
        <item x="741"/>
        <item x="761"/>
        <item x="838"/>
        <item x="631"/>
        <item x="194"/>
        <item x="379"/>
        <item x="478"/>
        <item x="29"/>
        <item x="138"/>
        <item x="68"/>
        <item x="492"/>
        <item x="752"/>
        <item x="534"/>
        <item x="874"/>
        <item x="277"/>
        <item x="581"/>
        <item x="472"/>
        <item x="93"/>
        <item x="533"/>
        <item x="796"/>
        <item x="294"/>
        <item x="682"/>
        <item x="642"/>
        <item x="805"/>
        <item x="832"/>
        <item x="455"/>
        <item x="925"/>
        <item x="476"/>
        <item x="895"/>
        <item x="774"/>
        <item x="317"/>
        <item x="491"/>
        <item x="570"/>
        <item x="888"/>
        <item x="872"/>
        <item x="222"/>
        <item x="580"/>
        <item x="407"/>
        <item x="875"/>
        <item x="517"/>
        <item x="862"/>
        <item x="81"/>
        <item x="622"/>
        <item x="736"/>
        <item x="78"/>
        <item x="130"/>
        <item x="735"/>
        <item x="123"/>
        <item x="823"/>
        <item x="821"/>
        <item x="496"/>
        <item x="188"/>
        <item x="392"/>
        <item x="538"/>
        <item x="671"/>
        <item x="329"/>
        <item x="59"/>
        <item x="646"/>
        <item x="234"/>
        <item x="149"/>
        <item x="801"/>
        <item x="422"/>
        <item x="649"/>
        <item x="164"/>
        <item x="367"/>
        <item x="421"/>
        <item x="187"/>
        <item x="709"/>
        <item x="220"/>
        <item x="782"/>
        <item x="627"/>
        <item x="355"/>
        <item x="669"/>
        <item x="23"/>
        <item x="305"/>
        <item x="745"/>
        <item x="863"/>
        <item x="18"/>
        <item x="676"/>
        <item x="111"/>
        <item x="320"/>
        <item x="740"/>
        <item x="283"/>
        <item x="72"/>
        <item x="463"/>
        <item x="254"/>
        <item x="274"/>
        <item x="860"/>
        <item x="865"/>
        <item x="802"/>
        <item x="154"/>
        <item x="405"/>
        <item x="791"/>
        <item x="523"/>
        <item x="353"/>
        <item x="628"/>
        <item x="789"/>
        <item x="880"/>
        <item x="483"/>
        <item x="933"/>
        <item x="822"/>
        <item x="288"/>
        <item x="524"/>
        <item x="634"/>
        <item x="751"/>
        <item x="74"/>
        <item x="438"/>
        <item x="589"/>
        <item x="813"/>
        <item x="129"/>
        <item x="44"/>
        <item x="393"/>
        <item x="635"/>
        <item x="180"/>
        <item x="249"/>
        <item x="779"/>
        <item x="414"/>
        <item x="793"/>
        <item x="153"/>
        <item x="281"/>
        <item x="34"/>
        <item x="15"/>
        <item x="818"/>
        <item x="265"/>
        <item t="default"/>
      </items>
    </pivotField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Cost" fld="16" baseField="0" baseItem="0"/>
  </dataFields>
  <chartFormats count="3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F2BF8-777F-4220-B326-2CB7268975E7}" name="PivotTable1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5">
  <location ref="AF3:AG48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 sortType="descending">
      <items count="325">
        <item x="263"/>
        <item x="162"/>
        <item x="243"/>
        <item x="313"/>
        <item x="92"/>
        <item x="298"/>
        <item x="58"/>
        <item x="194"/>
        <item x="16"/>
        <item x="54"/>
        <item x="318"/>
        <item x="7"/>
        <item x="272"/>
        <item x="129"/>
        <item x="218"/>
        <item x="295"/>
        <item x="157"/>
        <item x="90"/>
        <item x="120"/>
        <item x="155"/>
        <item x="191"/>
        <item x="126"/>
        <item x="121"/>
        <item x="248"/>
        <item x="36"/>
        <item x="127"/>
        <item x="209"/>
        <item x="84"/>
        <item x="20"/>
        <item x="136"/>
        <item x="160"/>
        <item x="202"/>
        <item x="285"/>
        <item x="196"/>
        <item x="71"/>
        <item x="63"/>
        <item x="69"/>
        <item x="251"/>
        <item x="205"/>
        <item x="279"/>
        <item x="23"/>
        <item x="215"/>
        <item x="233"/>
        <item x="214"/>
        <item x="188"/>
        <item x="252"/>
        <item x="125"/>
        <item x="4"/>
        <item x="45"/>
        <item x="303"/>
        <item x="142"/>
        <item x="289"/>
        <item x="46"/>
        <item x="287"/>
        <item x="8"/>
        <item x="65"/>
        <item x="49"/>
        <item x="116"/>
        <item x="75"/>
        <item x="32"/>
        <item x="267"/>
        <item x="320"/>
        <item x="59"/>
        <item x="280"/>
        <item x="172"/>
        <item x="152"/>
        <item x="212"/>
        <item x="40"/>
        <item x="173"/>
        <item x="159"/>
        <item x="270"/>
        <item x="123"/>
        <item x="29"/>
        <item x="151"/>
        <item x="94"/>
        <item x="309"/>
        <item x="52"/>
        <item x="321"/>
        <item x="225"/>
        <item x="210"/>
        <item x="85"/>
        <item x="181"/>
        <item x="245"/>
        <item x="180"/>
        <item x="31"/>
        <item x="286"/>
        <item x="195"/>
        <item x="304"/>
        <item x="269"/>
        <item x="204"/>
        <item x="124"/>
        <item x="185"/>
        <item x="153"/>
        <item x="10"/>
        <item x="258"/>
        <item x="88"/>
        <item x="86"/>
        <item x="221"/>
        <item x="42"/>
        <item x="300"/>
        <item x="105"/>
        <item x="101"/>
        <item x="131"/>
        <item x="226"/>
        <item x="253"/>
        <item x="35"/>
        <item x="11"/>
        <item x="250"/>
        <item x="200"/>
        <item x="242"/>
        <item x="271"/>
        <item x="134"/>
        <item x="163"/>
        <item x="148"/>
        <item x="268"/>
        <item x="203"/>
        <item x="193"/>
        <item x="239"/>
        <item x="43"/>
        <item x="19"/>
        <item x="97"/>
        <item x="234"/>
        <item x="147"/>
        <item x="190"/>
        <item x="18"/>
        <item x="264"/>
        <item x="13"/>
        <item x="262"/>
        <item x="156"/>
        <item x="183"/>
        <item x="78"/>
        <item x="132"/>
        <item x="256"/>
        <item x="67"/>
        <item x="317"/>
        <item x="111"/>
        <item x="50"/>
        <item x="189"/>
        <item x="216"/>
        <item x="122"/>
        <item x="241"/>
        <item x="30"/>
        <item x="143"/>
        <item x="282"/>
        <item x="91"/>
        <item x="112"/>
        <item x="211"/>
        <item x="25"/>
        <item x="14"/>
        <item x="60"/>
        <item x="302"/>
        <item x="310"/>
        <item x="115"/>
        <item x="231"/>
        <item x="299"/>
        <item x="288"/>
        <item x="260"/>
        <item x="228"/>
        <item x="82"/>
        <item x="235"/>
        <item x="6"/>
        <item x="178"/>
        <item x="81"/>
        <item x="95"/>
        <item x="1"/>
        <item x="145"/>
        <item x="76"/>
        <item x="146"/>
        <item x="230"/>
        <item x="291"/>
        <item x="306"/>
        <item x="301"/>
        <item x="79"/>
        <item x="109"/>
        <item x="89"/>
        <item x="247"/>
        <item x="117"/>
        <item x="168"/>
        <item x="139"/>
        <item x="284"/>
        <item x="64"/>
        <item x="110"/>
        <item x="254"/>
        <item x="219"/>
        <item x="167"/>
        <item x="275"/>
        <item x="229"/>
        <item x="208"/>
        <item x="164"/>
        <item x="223"/>
        <item x="158"/>
        <item x="240"/>
        <item x="99"/>
        <item x="24"/>
        <item x="232"/>
        <item x="41"/>
        <item x="103"/>
        <item x="93"/>
        <item x="12"/>
        <item x="244"/>
        <item x="166"/>
        <item x="236"/>
        <item x="322"/>
        <item x="305"/>
        <item x="255"/>
        <item x="133"/>
        <item x="77"/>
        <item x="0"/>
        <item x="293"/>
        <item x="170"/>
        <item x="83"/>
        <item x="292"/>
        <item x="53"/>
        <item x="74"/>
        <item x="176"/>
        <item x="118"/>
        <item x="259"/>
        <item x="206"/>
        <item x="113"/>
        <item x="108"/>
        <item x="199"/>
        <item x="261"/>
        <item x="227"/>
        <item x="192"/>
        <item x="107"/>
        <item x="22"/>
        <item x="98"/>
        <item x="315"/>
        <item x="177"/>
        <item x="9"/>
        <item x="184"/>
        <item x="44"/>
        <item x="5"/>
        <item x="2"/>
        <item x="144"/>
        <item x="154"/>
        <item x="150"/>
        <item x="51"/>
        <item x="294"/>
        <item x="135"/>
        <item x="171"/>
        <item x="238"/>
        <item x="198"/>
        <item x="141"/>
        <item x="47"/>
        <item x="257"/>
        <item x="15"/>
        <item x="27"/>
        <item x="61"/>
        <item x="312"/>
        <item x="17"/>
        <item x="62"/>
        <item x="311"/>
        <item x="87"/>
        <item x="56"/>
        <item x="182"/>
        <item x="281"/>
        <item x="26"/>
        <item x="265"/>
        <item x="119"/>
        <item x="319"/>
        <item x="57"/>
        <item x="169"/>
        <item x="283"/>
        <item x="137"/>
        <item x="104"/>
        <item x="174"/>
        <item x="307"/>
        <item x="3"/>
        <item x="37"/>
        <item x="28"/>
        <item x="186"/>
        <item x="237"/>
        <item x="187"/>
        <item x="201"/>
        <item x="68"/>
        <item x="273"/>
        <item x="21"/>
        <item x="130"/>
        <item x="222"/>
        <item x="34"/>
        <item x="179"/>
        <item x="246"/>
        <item x="220"/>
        <item x="266"/>
        <item x="48"/>
        <item x="96"/>
        <item x="316"/>
        <item x="128"/>
        <item x="323"/>
        <item x="278"/>
        <item x="161"/>
        <item x="38"/>
        <item x="66"/>
        <item x="224"/>
        <item x="175"/>
        <item x="213"/>
        <item x="138"/>
        <item x="276"/>
        <item x="290"/>
        <item x="39"/>
        <item x="314"/>
        <item x="70"/>
        <item x="277"/>
        <item x="308"/>
        <item x="207"/>
        <item x="249"/>
        <item x="297"/>
        <item x="80"/>
        <item x="33"/>
        <item x="100"/>
        <item x="106"/>
        <item x="296"/>
        <item x="140"/>
        <item x="73"/>
        <item x="72"/>
        <item x="197"/>
        <item x="217"/>
        <item x="165"/>
        <item x="114"/>
        <item x="102"/>
        <item x="274"/>
        <item x="149"/>
        <item x="55"/>
        <item t="default"/>
      </items>
    </pivotField>
    <pivotField axis="axisRow" showAll="0">
      <items count="45">
        <item x="19"/>
        <item x="16"/>
        <item x="38"/>
        <item x="1"/>
        <item x="22"/>
        <item x="29"/>
        <item x="13"/>
        <item x="39"/>
        <item x="2"/>
        <item x="32"/>
        <item x="42"/>
        <item x="10"/>
        <item x="14"/>
        <item x="23"/>
        <item x="43"/>
        <item x="0"/>
        <item x="28"/>
        <item x="40"/>
        <item x="31"/>
        <item x="12"/>
        <item x="11"/>
        <item x="35"/>
        <item x="25"/>
        <item x="36"/>
        <item x="8"/>
        <item x="33"/>
        <item x="37"/>
        <item x="30"/>
        <item x="27"/>
        <item x="15"/>
        <item x="3"/>
        <item x="24"/>
        <item x="26"/>
        <item x="21"/>
        <item x="9"/>
        <item x="34"/>
        <item x="20"/>
        <item x="41"/>
        <item x="18"/>
        <item x="5"/>
        <item x="7"/>
        <item x="17"/>
        <item x="4"/>
        <item x="6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8">
        <item x="12"/>
        <item x="6"/>
        <item x="8"/>
        <item x="5"/>
        <item x="0"/>
        <item x="9"/>
        <item x="16"/>
        <item x="10"/>
        <item x="13"/>
        <item x="3"/>
        <item x="1"/>
        <item x="14"/>
        <item x="4"/>
        <item x="11"/>
        <item x="7"/>
        <item x="15"/>
        <item x="2"/>
        <item t="default"/>
      </items>
    </pivotField>
    <pivotField showAll="0" sortType="descending">
      <items count="944">
        <item x="346"/>
        <item x="218"/>
        <item x="798"/>
        <item x="729"/>
        <item x="614"/>
        <item x="284"/>
        <item x="383"/>
        <item x="116"/>
        <item x="715"/>
        <item x="911"/>
        <item x="629"/>
        <item x="298"/>
        <item x="587"/>
        <item x="359"/>
        <item x="561"/>
        <item x="340"/>
        <item x="423"/>
        <item x="549"/>
        <item x="650"/>
        <item x="411"/>
        <item x="853"/>
        <item x="784"/>
        <item x="302"/>
        <item x="576"/>
        <item x="926"/>
        <item x="683"/>
        <item x="738"/>
        <item x="364"/>
        <item x="42"/>
        <item x="693"/>
        <item x="303"/>
        <item x="831"/>
        <item x="247"/>
        <item x="604"/>
        <item x="613"/>
        <item x="163"/>
        <item x="337"/>
        <item x="156"/>
        <item x="235"/>
        <item x="686"/>
        <item x="4"/>
        <item x="276"/>
        <item x="142"/>
        <item x="610"/>
        <item x="100"/>
        <item x="934"/>
        <item x="677"/>
        <item x="725"/>
        <item x="60"/>
        <item x="856"/>
        <item x="878"/>
        <item x="679"/>
        <item x="250"/>
        <item x="509"/>
        <item x="889"/>
        <item x="490"/>
        <item x="550"/>
        <item x="140"/>
        <item x="574"/>
        <item x="69"/>
        <item x="473"/>
        <item x="525"/>
        <item x="810"/>
        <item x="489"/>
        <item x="929"/>
        <item x="664"/>
        <item x="321"/>
        <item x="160"/>
        <item x="920"/>
        <item x="837"/>
        <item x="900"/>
        <item x="892"/>
        <item x="792"/>
        <item x="436"/>
        <item x="174"/>
        <item x="734"/>
        <item x="556"/>
        <item x="861"/>
        <item x="586"/>
        <item x="295"/>
        <item x="314"/>
        <item x="378"/>
        <item x="442"/>
        <item x="427"/>
        <item x="494"/>
        <item x="573"/>
        <item x="102"/>
        <item x="689"/>
        <item x="918"/>
        <item x="479"/>
        <item x="339"/>
        <item x="420"/>
        <item x="466"/>
        <item x="446"/>
        <item x="866"/>
        <item x="332"/>
        <item x="350"/>
        <item x="468"/>
        <item x="595"/>
        <item x="141"/>
        <item x="151"/>
        <item x="12"/>
        <item x="923"/>
        <item x="722"/>
        <item x="139"/>
        <item x="937"/>
        <item x="495"/>
        <item x="347"/>
        <item x="435"/>
        <item x="885"/>
        <item x="474"/>
        <item x="758"/>
        <item x="847"/>
        <item x="916"/>
        <item x="851"/>
        <item x="193"/>
        <item x="833"/>
        <item x="868"/>
        <item x="25"/>
        <item x="19"/>
        <item x="240"/>
        <item x="504"/>
        <item x="48"/>
        <item x="563"/>
        <item x="941"/>
        <item x="767"/>
        <item x="659"/>
        <item x="409"/>
        <item x="396"/>
        <item x="41"/>
        <item x="152"/>
        <item x="132"/>
        <item x="940"/>
        <item x="251"/>
        <item x="660"/>
        <item x="45"/>
        <item x="225"/>
        <item x="883"/>
        <item x="527"/>
        <item x="662"/>
        <item x="271"/>
        <item x="621"/>
        <item x="808"/>
        <item x="331"/>
        <item x="447"/>
        <item x="804"/>
        <item x="648"/>
        <item x="651"/>
        <item x="91"/>
        <item x="936"/>
        <item x="902"/>
        <item x="584"/>
        <item x="217"/>
        <item x="743"/>
        <item x="639"/>
        <item x="705"/>
        <item x="432"/>
        <item x="77"/>
        <item x="322"/>
        <item x="204"/>
        <item x="942"/>
        <item x="503"/>
        <item x="262"/>
        <item x="128"/>
        <item x="30"/>
        <item x="697"/>
        <item x="155"/>
        <item x="7"/>
        <item x="461"/>
        <item x="726"/>
        <item x="131"/>
        <item x="375"/>
        <item x="707"/>
        <item x="206"/>
        <item x="395"/>
        <item x="361"/>
        <item x="200"/>
        <item x="787"/>
        <item x="343"/>
        <item x="315"/>
        <item x="158"/>
        <item x="70"/>
        <item x="385"/>
        <item x="344"/>
        <item x="505"/>
        <item x="189"/>
        <item x="500"/>
        <item x="591"/>
        <item x="144"/>
        <item x="86"/>
        <item x="365"/>
        <item x="66"/>
        <item x="190"/>
        <item x="159"/>
        <item x="145"/>
        <item x="28"/>
        <item x="776"/>
        <item x="506"/>
        <item x="819"/>
        <item x="756"/>
        <item x="830"/>
        <item x="915"/>
        <item x="273"/>
        <item x="63"/>
        <item x="493"/>
        <item x="770"/>
        <item x="391"/>
        <item x="1"/>
        <item x="501"/>
        <item x="546"/>
        <item x="724"/>
        <item x="434"/>
        <item x="672"/>
        <item x="136"/>
        <item x="712"/>
        <item x="62"/>
        <item x="849"/>
        <item x="219"/>
        <item x="96"/>
        <item x="786"/>
        <item x="522"/>
        <item x="76"/>
        <item x="935"/>
        <item x="80"/>
        <item x="695"/>
        <item x="213"/>
        <item x="537"/>
        <item x="781"/>
        <item x="637"/>
        <item x="777"/>
        <item x="572"/>
        <item x="482"/>
        <item x="518"/>
        <item x="890"/>
        <item x="37"/>
        <item x="552"/>
        <item x="203"/>
        <item x="894"/>
        <item x="399"/>
        <item x="110"/>
        <item x="183"/>
        <item x="104"/>
        <item x="723"/>
        <item x="625"/>
        <item x="485"/>
        <item x="338"/>
        <item x="542"/>
        <item x="114"/>
        <item x="195"/>
        <item x="13"/>
        <item x="390"/>
        <item x="515"/>
        <item x="607"/>
        <item x="282"/>
        <item x="304"/>
        <item x="739"/>
        <item x="685"/>
        <item x="499"/>
        <item x="618"/>
        <item x="236"/>
        <item x="708"/>
        <item x="555"/>
        <item x="85"/>
        <item x="35"/>
        <item x="242"/>
        <item x="207"/>
        <item x="480"/>
        <item x="769"/>
        <item x="185"/>
        <item x="403"/>
        <item x="113"/>
        <item x="852"/>
        <item x="799"/>
        <item x="603"/>
        <item x="601"/>
        <item x="510"/>
        <item x="82"/>
        <item x="675"/>
        <item x="871"/>
        <item x="667"/>
        <item x="820"/>
        <item x="371"/>
        <item x="887"/>
        <item x="64"/>
        <item x="462"/>
        <item x="577"/>
        <item x="413"/>
        <item x="94"/>
        <item x="224"/>
        <item x="658"/>
        <item x="928"/>
        <item x="687"/>
        <item x="410"/>
        <item x="362"/>
        <item x="16"/>
        <item x="205"/>
        <item x="557"/>
        <item x="424"/>
        <item x="593"/>
        <item x="443"/>
        <item x="924"/>
        <item x="75"/>
        <item x="467"/>
        <item x="632"/>
        <item x="516"/>
        <item x="748"/>
        <item x="827"/>
        <item x="588"/>
        <item x="562"/>
        <item x="807"/>
        <item x="814"/>
        <item x="54"/>
        <item x="95"/>
        <item x="133"/>
        <item x="126"/>
        <item x="241"/>
        <item x="585"/>
        <item x="843"/>
        <item x="351"/>
        <item x="645"/>
        <item x="143"/>
        <item x="864"/>
        <item x="619"/>
        <item x="38"/>
        <item x="228"/>
        <item x="706"/>
        <item x="412"/>
        <item x="150"/>
        <item x="90"/>
        <item x="384"/>
        <item x="600"/>
        <item x="788"/>
        <item x="719"/>
        <item x="119"/>
        <item x="583"/>
        <item x="653"/>
        <item x="177"/>
        <item x="9"/>
        <item x="471"/>
        <item x="747"/>
        <item x="897"/>
        <item x="418"/>
        <item x="368"/>
        <item x="551"/>
        <item x="850"/>
        <item x="223"/>
        <item x="255"/>
        <item x="903"/>
        <item x="380"/>
        <item x="197"/>
        <item x="388"/>
        <item x="484"/>
        <item x="817"/>
        <item x="759"/>
        <item x="567"/>
        <item x="470"/>
        <item x="301"/>
        <item x="10"/>
        <item x="134"/>
        <item x="230"/>
        <item x="67"/>
        <item x="571"/>
        <item x="744"/>
        <item x="259"/>
        <item x="486"/>
        <item x="544"/>
        <item x="594"/>
        <item x="452"/>
        <item x="893"/>
        <item x="199"/>
        <item x="232"/>
        <item x="300"/>
        <item x="464"/>
        <item x="771"/>
        <item x="108"/>
        <item x="938"/>
        <item x="834"/>
        <item x="526"/>
        <item x="762"/>
        <item x="519"/>
        <item x="674"/>
        <item x="844"/>
        <item x="341"/>
        <item x="50"/>
        <item x="513"/>
        <item x="92"/>
        <item x="877"/>
        <item x="425"/>
        <item x="841"/>
        <item x="531"/>
        <item x="313"/>
        <item x="922"/>
        <item x="824"/>
        <item x="717"/>
        <item x="336"/>
        <item x="369"/>
        <item x="718"/>
        <item x="226"/>
        <item x="790"/>
        <item x="275"/>
        <item x="52"/>
        <item x="477"/>
        <item x="260"/>
        <item x="243"/>
        <item x="429"/>
        <item x="848"/>
        <item x="775"/>
        <item x="845"/>
        <item x="316"/>
        <item x="39"/>
        <item x="881"/>
        <item x="51"/>
        <item x="826"/>
        <item x="560"/>
        <item x="564"/>
        <item x="49"/>
        <item x="668"/>
        <item x="711"/>
        <item x="854"/>
        <item x="633"/>
        <item x="460"/>
        <item x="656"/>
        <item x="454"/>
        <item x="512"/>
        <item x="345"/>
        <item x="112"/>
        <item x="323"/>
        <item x="312"/>
        <item x="291"/>
        <item x="211"/>
        <item x="458"/>
        <item x="106"/>
        <item x="147"/>
        <item x="171"/>
        <item x="335"/>
        <item x="879"/>
        <item x="453"/>
        <item x="357"/>
        <item x="318"/>
        <item x="263"/>
        <item x="909"/>
        <item x="699"/>
        <item x="532"/>
        <item x="394"/>
        <item x="680"/>
        <item x="733"/>
        <item x="165"/>
        <item x="912"/>
        <item x="540"/>
        <item x="73"/>
        <item x="256"/>
        <item x="431"/>
        <item x="554"/>
        <item x="36"/>
        <item x="859"/>
        <item x="753"/>
        <item x="565"/>
        <item x="914"/>
        <item x="530"/>
        <item x="172"/>
        <item x="528"/>
        <item x="778"/>
        <item x="700"/>
        <item x="186"/>
        <item x="630"/>
        <item x="543"/>
        <item x="21"/>
        <item x="246"/>
        <item x="261"/>
        <item x="855"/>
        <item x="638"/>
        <item x="663"/>
        <item x="839"/>
        <item x="127"/>
        <item x="704"/>
        <item x="553"/>
        <item x="870"/>
        <item x="229"/>
        <item x="311"/>
        <item x="53"/>
        <item x="27"/>
        <item x="624"/>
        <item x="61"/>
        <item x="269"/>
        <item x="334"/>
        <item x="548"/>
        <item x="216"/>
        <item x="233"/>
        <item x="811"/>
        <item x="397"/>
        <item x="257"/>
        <item x="536"/>
        <item x="55"/>
        <item x="146"/>
        <item x="541"/>
        <item x="417"/>
        <item x="166"/>
        <item x="836"/>
        <item x="869"/>
        <item x="287"/>
        <item x="673"/>
        <item x="842"/>
        <item x="400"/>
        <item x="714"/>
        <item x="215"/>
        <item x="547"/>
        <item x="876"/>
        <item x="286"/>
        <item x="354"/>
        <item x="387"/>
        <item x="939"/>
        <item x="652"/>
        <item x="24"/>
        <item x="6"/>
        <item x="728"/>
        <item x="611"/>
        <item x="521"/>
        <item x="31"/>
        <item x="665"/>
        <item x="280"/>
        <item x="688"/>
        <item x="290"/>
        <item x="535"/>
        <item x="408"/>
        <item x="451"/>
        <item x="815"/>
        <item x="896"/>
        <item x="20"/>
        <item x="253"/>
        <item x="713"/>
        <item x="26"/>
        <item x="252"/>
        <item x="684"/>
        <item x="370"/>
        <item x="795"/>
        <item x="238"/>
        <item x="97"/>
        <item x="766"/>
        <item x="101"/>
        <item x="785"/>
        <item x="636"/>
        <item x="816"/>
        <item x="450"/>
        <item x="690"/>
        <item x="179"/>
        <item x="731"/>
        <item x="175"/>
        <item x="11"/>
        <item x="910"/>
        <item x="57"/>
        <item x="201"/>
        <item x="502"/>
        <item x="306"/>
        <item x="899"/>
        <item x="404"/>
        <item x="426"/>
        <item x="768"/>
        <item x="657"/>
        <item x="176"/>
        <item x="692"/>
        <item x="227"/>
        <item x="772"/>
        <item x="292"/>
        <item x="115"/>
        <item x="829"/>
        <item x="596"/>
        <item x="598"/>
        <item x="780"/>
        <item x="270"/>
        <item x="514"/>
        <item x="582"/>
        <item x="727"/>
        <item x="488"/>
        <item x="764"/>
        <item x="858"/>
        <item x="170"/>
        <item x="930"/>
        <item x="377"/>
        <item x="363"/>
        <item x="575"/>
        <item x="419"/>
        <item x="406"/>
        <item x="98"/>
        <item x="319"/>
        <item x="279"/>
        <item x="558"/>
        <item x="626"/>
        <item x="415"/>
        <item x="56"/>
        <item x="606"/>
        <item x="760"/>
        <item x="702"/>
        <item x="360"/>
        <item x="578"/>
        <item x="43"/>
        <item x="592"/>
        <item x="430"/>
        <item x="906"/>
        <item x="330"/>
        <item x="231"/>
        <item x="358"/>
        <item x="8"/>
        <item x="520"/>
        <item x="608"/>
        <item x="440"/>
        <item x="643"/>
        <item x="720"/>
        <item x="754"/>
        <item x="905"/>
        <item x="356"/>
        <item x="5"/>
        <item x="212"/>
        <item x="932"/>
        <item x="386"/>
        <item x="840"/>
        <item x="327"/>
        <item x="310"/>
        <item x="46"/>
        <item x="898"/>
        <item x="545"/>
        <item x="857"/>
        <item x="416"/>
        <item x="120"/>
        <item x="196"/>
        <item x="296"/>
        <item x="921"/>
        <item x="797"/>
        <item x="602"/>
        <item x="248"/>
        <item x="209"/>
        <item x="616"/>
        <item x="88"/>
        <item x="437"/>
        <item x="105"/>
        <item x="168"/>
        <item x="794"/>
        <item x="210"/>
        <item x="828"/>
        <item x="806"/>
        <item x="285"/>
        <item x="433"/>
        <item x="118"/>
        <item x="487"/>
        <item x="299"/>
        <item x="328"/>
        <item x="398"/>
        <item x="597"/>
        <item x="40"/>
        <item x="746"/>
        <item x="444"/>
        <item x="202"/>
        <item x="696"/>
        <item x="590"/>
        <item x="3"/>
        <item x="441"/>
        <item x="694"/>
        <item x="873"/>
        <item x="33"/>
        <item x="469"/>
        <item x="181"/>
        <item x="609"/>
        <item x="17"/>
        <item x="372"/>
        <item x="366"/>
        <item x="691"/>
        <item x="89"/>
        <item x="244"/>
        <item x="103"/>
        <item x="245"/>
        <item x="32"/>
        <item x="927"/>
        <item x="264"/>
        <item x="14"/>
        <item x="835"/>
        <item x="891"/>
        <item x="125"/>
        <item x="783"/>
        <item x="498"/>
        <item x="373"/>
        <item x="901"/>
        <item x="737"/>
        <item x="908"/>
        <item x="169"/>
        <item x="507"/>
        <item x="122"/>
        <item x="615"/>
        <item x="324"/>
        <item x="84"/>
        <item x="268"/>
        <item x="919"/>
        <item x="907"/>
        <item x="917"/>
        <item x="326"/>
        <item x="349"/>
        <item x="886"/>
        <item x="445"/>
        <item x="258"/>
        <item x="148"/>
        <item x="655"/>
        <item x="742"/>
        <item x="654"/>
        <item x="497"/>
        <item x="666"/>
        <item x="579"/>
        <item x="529"/>
        <item x="763"/>
        <item x="428"/>
        <item x="167"/>
        <item x="846"/>
        <item x="348"/>
        <item x="22"/>
        <item x="641"/>
        <item x="121"/>
        <item x="192"/>
        <item x="293"/>
        <item x="184"/>
        <item x="809"/>
        <item x="221"/>
        <item x="559"/>
        <item x="107"/>
        <item x="475"/>
        <item x="448"/>
        <item x="382"/>
        <item x="178"/>
        <item x="272"/>
        <item x="605"/>
        <item x="757"/>
        <item x="508"/>
        <item x="716"/>
        <item x="678"/>
        <item x="812"/>
        <item x="681"/>
        <item x="456"/>
        <item x="237"/>
        <item x="208"/>
        <item x="267"/>
        <item x="721"/>
        <item x="800"/>
        <item x="198"/>
        <item x="173"/>
        <item x="289"/>
        <item x="333"/>
        <item x="0"/>
        <item x="182"/>
        <item x="882"/>
        <item x="459"/>
        <item x="612"/>
        <item x="99"/>
        <item x="511"/>
        <item x="161"/>
        <item x="931"/>
        <item x="623"/>
        <item x="2"/>
        <item x="750"/>
        <item x="117"/>
        <item x="87"/>
        <item x="124"/>
        <item x="773"/>
        <item x="402"/>
        <item x="599"/>
        <item x="481"/>
        <item x="309"/>
        <item x="884"/>
        <item x="904"/>
        <item x="307"/>
        <item x="449"/>
        <item x="710"/>
        <item x="566"/>
        <item x="698"/>
        <item x="644"/>
        <item x="913"/>
        <item x="266"/>
        <item x="135"/>
        <item x="730"/>
        <item x="325"/>
        <item x="83"/>
        <item x="701"/>
        <item x="569"/>
        <item x="755"/>
        <item x="703"/>
        <item x="71"/>
        <item x="352"/>
        <item x="162"/>
        <item x="640"/>
        <item x="457"/>
        <item x="342"/>
        <item x="58"/>
        <item x="825"/>
        <item x="661"/>
        <item x="239"/>
        <item x="278"/>
        <item x="308"/>
        <item x="670"/>
        <item x="376"/>
        <item x="568"/>
        <item x="137"/>
        <item x="381"/>
        <item x="647"/>
        <item x="65"/>
        <item x="297"/>
        <item x="620"/>
        <item x="401"/>
        <item x="465"/>
        <item x="867"/>
        <item x="617"/>
        <item x="191"/>
        <item x="109"/>
        <item x="539"/>
        <item x="439"/>
        <item x="803"/>
        <item x="732"/>
        <item x="214"/>
        <item x="79"/>
        <item x="47"/>
        <item x="389"/>
        <item x="374"/>
        <item x="157"/>
        <item x="749"/>
        <item x="765"/>
        <item x="741"/>
        <item x="761"/>
        <item x="838"/>
        <item x="631"/>
        <item x="194"/>
        <item x="379"/>
        <item x="478"/>
        <item x="29"/>
        <item x="138"/>
        <item x="68"/>
        <item x="492"/>
        <item x="752"/>
        <item x="534"/>
        <item x="874"/>
        <item x="277"/>
        <item x="581"/>
        <item x="472"/>
        <item x="93"/>
        <item x="533"/>
        <item x="796"/>
        <item x="294"/>
        <item x="682"/>
        <item x="642"/>
        <item x="805"/>
        <item x="832"/>
        <item x="455"/>
        <item x="925"/>
        <item x="476"/>
        <item x="895"/>
        <item x="774"/>
        <item x="317"/>
        <item x="491"/>
        <item x="570"/>
        <item x="888"/>
        <item x="872"/>
        <item x="222"/>
        <item x="580"/>
        <item x="407"/>
        <item x="875"/>
        <item x="517"/>
        <item x="862"/>
        <item x="81"/>
        <item x="622"/>
        <item x="736"/>
        <item x="78"/>
        <item x="130"/>
        <item x="735"/>
        <item x="123"/>
        <item x="823"/>
        <item x="821"/>
        <item x="496"/>
        <item x="188"/>
        <item x="392"/>
        <item x="538"/>
        <item x="671"/>
        <item x="329"/>
        <item x="59"/>
        <item x="646"/>
        <item x="234"/>
        <item x="149"/>
        <item x="801"/>
        <item x="422"/>
        <item x="649"/>
        <item x="164"/>
        <item x="367"/>
        <item x="421"/>
        <item x="187"/>
        <item x="709"/>
        <item x="220"/>
        <item x="782"/>
        <item x="627"/>
        <item x="355"/>
        <item x="669"/>
        <item x="23"/>
        <item x="305"/>
        <item x="745"/>
        <item x="863"/>
        <item x="18"/>
        <item x="676"/>
        <item x="111"/>
        <item x="320"/>
        <item x="740"/>
        <item x="283"/>
        <item x="72"/>
        <item x="463"/>
        <item x="254"/>
        <item x="274"/>
        <item x="860"/>
        <item x="865"/>
        <item x="802"/>
        <item x="154"/>
        <item x="405"/>
        <item x="791"/>
        <item x="523"/>
        <item x="353"/>
        <item x="628"/>
        <item x="789"/>
        <item x="880"/>
        <item x="483"/>
        <item x="933"/>
        <item x="822"/>
        <item x="288"/>
        <item x="524"/>
        <item x="634"/>
        <item x="751"/>
        <item x="74"/>
        <item x="438"/>
        <item x="589"/>
        <item x="813"/>
        <item x="129"/>
        <item x="44"/>
        <item x="393"/>
        <item x="635"/>
        <item x="180"/>
        <item x="249"/>
        <item x="779"/>
        <item x="414"/>
        <item x="793"/>
        <item x="153"/>
        <item x="281"/>
        <item x="34"/>
        <item x="15"/>
        <item x="818"/>
        <item x="265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name="Sum of Profit" fld="15" baseField="0" baseItem="0"/>
  </dataFields>
  <chartFormats count="3"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8163D-F99E-4B28-8BCE-387A4173E4CE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H3:I21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 sortType="descending">
      <items count="325">
        <item x="263"/>
        <item x="162"/>
        <item x="243"/>
        <item x="313"/>
        <item x="92"/>
        <item x="298"/>
        <item x="58"/>
        <item x="194"/>
        <item x="16"/>
        <item x="54"/>
        <item x="318"/>
        <item x="7"/>
        <item x="272"/>
        <item x="129"/>
        <item x="218"/>
        <item x="295"/>
        <item x="157"/>
        <item x="90"/>
        <item x="120"/>
        <item x="155"/>
        <item x="191"/>
        <item x="126"/>
        <item x="121"/>
        <item x="248"/>
        <item x="36"/>
        <item x="127"/>
        <item x="209"/>
        <item x="84"/>
        <item x="20"/>
        <item x="136"/>
        <item x="160"/>
        <item x="202"/>
        <item x="285"/>
        <item x="196"/>
        <item x="71"/>
        <item x="63"/>
        <item x="69"/>
        <item x="251"/>
        <item x="205"/>
        <item x="279"/>
        <item x="23"/>
        <item x="215"/>
        <item x="233"/>
        <item x="214"/>
        <item x="188"/>
        <item x="252"/>
        <item x="125"/>
        <item x="4"/>
        <item x="45"/>
        <item x="303"/>
        <item x="142"/>
        <item x="289"/>
        <item x="46"/>
        <item x="287"/>
        <item x="8"/>
        <item x="65"/>
        <item x="49"/>
        <item x="116"/>
        <item x="75"/>
        <item x="32"/>
        <item x="267"/>
        <item x="320"/>
        <item x="59"/>
        <item x="280"/>
        <item x="172"/>
        <item x="152"/>
        <item x="212"/>
        <item x="40"/>
        <item x="173"/>
        <item x="159"/>
        <item x="270"/>
        <item x="123"/>
        <item x="29"/>
        <item x="151"/>
        <item x="94"/>
        <item x="309"/>
        <item x="52"/>
        <item x="321"/>
        <item x="225"/>
        <item x="210"/>
        <item x="85"/>
        <item x="181"/>
        <item x="245"/>
        <item x="180"/>
        <item x="31"/>
        <item x="286"/>
        <item x="195"/>
        <item x="304"/>
        <item x="269"/>
        <item x="204"/>
        <item x="124"/>
        <item x="185"/>
        <item x="153"/>
        <item x="10"/>
        <item x="258"/>
        <item x="88"/>
        <item x="86"/>
        <item x="221"/>
        <item x="42"/>
        <item x="300"/>
        <item x="105"/>
        <item x="101"/>
        <item x="131"/>
        <item x="226"/>
        <item x="253"/>
        <item x="35"/>
        <item x="11"/>
        <item x="250"/>
        <item x="200"/>
        <item x="242"/>
        <item x="271"/>
        <item x="134"/>
        <item x="163"/>
        <item x="148"/>
        <item x="268"/>
        <item x="203"/>
        <item x="193"/>
        <item x="239"/>
        <item x="43"/>
        <item x="19"/>
        <item x="97"/>
        <item x="234"/>
        <item x="147"/>
        <item x="190"/>
        <item x="18"/>
        <item x="264"/>
        <item x="13"/>
        <item x="262"/>
        <item x="156"/>
        <item x="183"/>
        <item x="78"/>
        <item x="132"/>
        <item x="256"/>
        <item x="67"/>
        <item x="317"/>
        <item x="111"/>
        <item x="50"/>
        <item x="189"/>
        <item x="216"/>
        <item x="122"/>
        <item x="241"/>
        <item x="30"/>
        <item x="143"/>
        <item x="282"/>
        <item x="91"/>
        <item x="112"/>
        <item x="211"/>
        <item x="25"/>
        <item x="14"/>
        <item x="60"/>
        <item x="302"/>
        <item x="310"/>
        <item x="115"/>
        <item x="231"/>
        <item x="299"/>
        <item x="288"/>
        <item x="260"/>
        <item x="228"/>
        <item x="82"/>
        <item x="235"/>
        <item x="6"/>
        <item x="178"/>
        <item x="81"/>
        <item x="95"/>
        <item x="1"/>
        <item x="145"/>
        <item x="76"/>
        <item x="146"/>
        <item x="230"/>
        <item x="291"/>
        <item x="306"/>
        <item x="301"/>
        <item x="79"/>
        <item x="109"/>
        <item x="89"/>
        <item x="247"/>
        <item x="117"/>
        <item x="168"/>
        <item x="139"/>
        <item x="284"/>
        <item x="64"/>
        <item x="110"/>
        <item x="254"/>
        <item x="219"/>
        <item x="167"/>
        <item x="275"/>
        <item x="229"/>
        <item x="208"/>
        <item x="164"/>
        <item x="223"/>
        <item x="158"/>
        <item x="240"/>
        <item x="99"/>
        <item x="24"/>
        <item x="232"/>
        <item x="41"/>
        <item x="103"/>
        <item x="93"/>
        <item x="12"/>
        <item x="244"/>
        <item x="166"/>
        <item x="236"/>
        <item x="322"/>
        <item x="305"/>
        <item x="255"/>
        <item x="133"/>
        <item x="77"/>
        <item x="0"/>
        <item x="293"/>
        <item x="170"/>
        <item x="83"/>
        <item x="292"/>
        <item x="53"/>
        <item x="74"/>
        <item x="176"/>
        <item x="118"/>
        <item x="259"/>
        <item x="206"/>
        <item x="113"/>
        <item x="108"/>
        <item x="199"/>
        <item x="261"/>
        <item x="227"/>
        <item x="192"/>
        <item x="107"/>
        <item x="22"/>
        <item x="98"/>
        <item x="315"/>
        <item x="177"/>
        <item x="9"/>
        <item x="184"/>
        <item x="44"/>
        <item x="5"/>
        <item x="2"/>
        <item x="144"/>
        <item x="154"/>
        <item x="150"/>
        <item x="51"/>
        <item x="294"/>
        <item x="135"/>
        <item x="171"/>
        <item x="238"/>
        <item x="198"/>
        <item x="141"/>
        <item x="47"/>
        <item x="257"/>
        <item x="15"/>
        <item x="27"/>
        <item x="61"/>
        <item x="312"/>
        <item x="17"/>
        <item x="62"/>
        <item x="311"/>
        <item x="87"/>
        <item x="56"/>
        <item x="182"/>
        <item x="281"/>
        <item x="26"/>
        <item x="265"/>
        <item x="119"/>
        <item x="319"/>
        <item x="57"/>
        <item x="169"/>
        <item x="283"/>
        <item x="137"/>
        <item x="104"/>
        <item x="174"/>
        <item x="307"/>
        <item x="3"/>
        <item x="37"/>
        <item x="28"/>
        <item x="186"/>
        <item x="237"/>
        <item x="187"/>
        <item x="201"/>
        <item x="68"/>
        <item x="273"/>
        <item x="21"/>
        <item x="130"/>
        <item x="222"/>
        <item x="34"/>
        <item x="179"/>
        <item x="246"/>
        <item x="220"/>
        <item x="266"/>
        <item x="48"/>
        <item x="96"/>
        <item x="316"/>
        <item x="128"/>
        <item x="323"/>
        <item x="278"/>
        <item x="161"/>
        <item x="38"/>
        <item x="66"/>
        <item x="224"/>
        <item x="175"/>
        <item x="213"/>
        <item x="138"/>
        <item x="276"/>
        <item x="290"/>
        <item x="39"/>
        <item x="314"/>
        <item x="70"/>
        <item x="277"/>
        <item x="308"/>
        <item x="207"/>
        <item x="249"/>
        <item x="297"/>
        <item x="80"/>
        <item x="33"/>
        <item x="100"/>
        <item x="106"/>
        <item x="296"/>
        <item x="140"/>
        <item x="73"/>
        <item x="72"/>
        <item x="197"/>
        <item x="217"/>
        <item x="165"/>
        <item x="114"/>
        <item x="102"/>
        <item x="274"/>
        <item x="149"/>
        <item x="55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axis="axisRow" dataField="1" showAll="0">
      <items count="18">
        <item x="12"/>
        <item x="6"/>
        <item x="8"/>
        <item x="5"/>
        <item x="0"/>
        <item x="9"/>
        <item x="16"/>
        <item x="10"/>
        <item x="13"/>
        <item x="3"/>
        <item x="1"/>
        <item x="14"/>
        <item x="4"/>
        <item x="11"/>
        <item x="7"/>
        <item x="15"/>
        <item x="2"/>
        <item t="default"/>
      </items>
    </pivotField>
    <pivotField showAll="0" sortType="descending">
      <items count="944">
        <item x="346"/>
        <item x="218"/>
        <item x="798"/>
        <item x="729"/>
        <item x="614"/>
        <item x="284"/>
        <item x="383"/>
        <item x="116"/>
        <item x="715"/>
        <item x="911"/>
        <item x="629"/>
        <item x="298"/>
        <item x="587"/>
        <item x="359"/>
        <item x="561"/>
        <item x="340"/>
        <item x="423"/>
        <item x="549"/>
        <item x="650"/>
        <item x="411"/>
        <item x="853"/>
        <item x="784"/>
        <item x="302"/>
        <item x="576"/>
        <item x="926"/>
        <item x="683"/>
        <item x="738"/>
        <item x="364"/>
        <item x="42"/>
        <item x="693"/>
        <item x="303"/>
        <item x="831"/>
        <item x="247"/>
        <item x="604"/>
        <item x="613"/>
        <item x="163"/>
        <item x="337"/>
        <item x="156"/>
        <item x="235"/>
        <item x="686"/>
        <item x="4"/>
        <item x="276"/>
        <item x="142"/>
        <item x="610"/>
        <item x="100"/>
        <item x="934"/>
        <item x="677"/>
        <item x="725"/>
        <item x="60"/>
        <item x="856"/>
        <item x="878"/>
        <item x="679"/>
        <item x="250"/>
        <item x="509"/>
        <item x="889"/>
        <item x="490"/>
        <item x="550"/>
        <item x="140"/>
        <item x="574"/>
        <item x="69"/>
        <item x="473"/>
        <item x="525"/>
        <item x="810"/>
        <item x="489"/>
        <item x="929"/>
        <item x="664"/>
        <item x="321"/>
        <item x="160"/>
        <item x="920"/>
        <item x="837"/>
        <item x="900"/>
        <item x="892"/>
        <item x="792"/>
        <item x="436"/>
        <item x="174"/>
        <item x="734"/>
        <item x="556"/>
        <item x="861"/>
        <item x="586"/>
        <item x="295"/>
        <item x="314"/>
        <item x="378"/>
        <item x="442"/>
        <item x="427"/>
        <item x="494"/>
        <item x="573"/>
        <item x="102"/>
        <item x="689"/>
        <item x="918"/>
        <item x="479"/>
        <item x="339"/>
        <item x="420"/>
        <item x="466"/>
        <item x="446"/>
        <item x="866"/>
        <item x="332"/>
        <item x="350"/>
        <item x="468"/>
        <item x="595"/>
        <item x="141"/>
        <item x="151"/>
        <item x="12"/>
        <item x="923"/>
        <item x="722"/>
        <item x="139"/>
        <item x="937"/>
        <item x="495"/>
        <item x="347"/>
        <item x="435"/>
        <item x="885"/>
        <item x="474"/>
        <item x="758"/>
        <item x="847"/>
        <item x="916"/>
        <item x="851"/>
        <item x="193"/>
        <item x="833"/>
        <item x="868"/>
        <item x="25"/>
        <item x="19"/>
        <item x="240"/>
        <item x="504"/>
        <item x="48"/>
        <item x="563"/>
        <item x="941"/>
        <item x="767"/>
        <item x="659"/>
        <item x="409"/>
        <item x="396"/>
        <item x="41"/>
        <item x="152"/>
        <item x="132"/>
        <item x="940"/>
        <item x="251"/>
        <item x="660"/>
        <item x="45"/>
        <item x="225"/>
        <item x="883"/>
        <item x="527"/>
        <item x="662"/>
        <item x="271"/>
        <item x="621"/>
        <item x="808"/>
        <item x="331"/>
        <item x="447"/>
        <item x="804"/>
        <item x="648"/>
        <item x="651"/>
        <item x="91"/>
        <item x="936"/>
        <item x="902"/>
        <item x="584"/>
        <item x="217"/>
        <item x="743"/>
        <item x="639"/>
        <item x="705"/>
        <item x="432"/>
        <item x="77"/>
        <item x="322"/>
        <item x="204"/>
        <item x="942"/>
        <item x="503"/>
        <item x="262"/>
        <item x="128"/>
        <item x="30"/>
        <item x="697"/>
        <item x="155"/>
        <item x="7"/>
        <item x="461"/>
        <item x="726"/>
        <item x="131"/>
        <item x="375"/>
        <item x="707"/>
        <item x="206"/>
        <item x="395"/>
        <item x="361"/>
        <item x="200"/>
        <item x="787"/>
        <item x="343"/>
        <item x="315"/>
        <item x="158"/>
        <item x="70"/>
        <item x="385"/>
        <item x="344"/>
        <item x="505"/>
        <item x="189"/>
        <item x="500"/>
        <item x="591"/>
        <item x="144"/>
        <item x="86"/>
        <item x="365"/>
        <item x="66"/>
        <item x="190"/>
        <item x="159"/>
        <item x="145"/>
        <item x="28"/>
        <item x="776"/>
        <item x="506"/>
        <item x="819"/>
        <item x="756"/>
        <item x="830"/>
        <item x="915"/>
        <item x="273"/>
        <item x="63"/>
        <item x="493"/>
        <item x="770"/>
        <item x="391"/>
        <item x="1"/>
        <item x="501"/>
        <item x="546"/>
        <item x="724"/>
        <item x="434"/>
        <item x="672"/>
        <item x="136"/>
        <item x="712"/>
        <item x="62"/>
        <item x="849"/>
        <item x="219"/>
        <item x="96"/>
        <item x="786"/>
        <item x="522"/>
        <item x="76"/>
        <item x="935"/>
        <item x="80"/>
        <item x="695"/>
        <item x="213"/>
        <item x="537"/>
        <item x="781"/>
        <item x="637"/>
        <item x="777"/>
        <item x="572"/>
        <item x="482"/>
        <item x="518"/>
        <item x="890"/>
        <item x="37"/>
        <item x="552"/>
        <item x="203"/>
        <item x="894"/>
        <item x="399"/>
        <item x="110"/>
        <item x="183"/>
        <item x="104"/>
        <item x="723"/>
        <item x="625"/>
        <item x="485"/>
        <item x="338"/>
        <item x="542"/>
        <item x="114"/>
        <item x="195"/>
        <item x="13"/>
        <item x="390"/>
        <item x="515"/>
        <item x="607"/>
        <item x="282"/>
        <item x="304"/>
        <item x="739"/>
        <item x="685"/>
        <item x="499"/>
        <item x="618"/>
        <item x="236"/>
        <item x="708"/>
        <item x="555"/>
        <item x="85"/>
        <item x="35"/>
        <item x="242"/>
        <item x="207"/>
        <item x="480"/>
        <item x="769"/>
        <item x="185"/>
        <item x="403"/>
        <item x="113"/>
        <item x="852"/>
        <item x="799"/>
        <item x="603"/>
        <item x="601"/>
        <item x="510"/>
        <item x="82"/>
        <item x="675"/>
        <item x="871"/>
        <item x="667"/>
        <item x="820"/>
        <item x="371"/>
        <item x="887"/>
        <item x="64"/>
        <item x="462"/>
        <item x="577"/>
        <item x="413"/>
        <item x="94"/>
        <item x="224"/>
        <item x="658"/>
        <item x="928"/>
        <item x="687"/>
        <item x="410"/>
        <item x="362"/>
        <item x="16"/>
        <item x="205"/>
        <item x="557"/>
        <item x="424"/>
        <item x="593"/>
        <item x="443"/>
        <item x="924"/>
        <item x="75"/>
        <item x="467"/>
        <item x="632"/>
        <item x="516"/>
        <item x="748"/>
        <item x="827"/>
        <item x="588"/>
        <item x="562"/>
        <item x="807"/>
        <item x="814"/>
        <item x="54"/>
        <item x="95"/>
        <item x="133"/>
        <item x="126"/>
        <item x="241"/>
        <item x="585"/>
        <item x="843"/>
        <item x="351"/>
        <item x="645"/>
        <item x="143"/>
        <item x="864"/>
        <item x="619"/>
        <item x="38"/>
        <item x="228"/>
        <item x="706"/>
        <item x="412"/>
        <item x="150"/>
        <item x="90"/>
        <item x="384"/>
        <item x="600"/>
        <item x="788"/>
        <item x="719"/>
        <item x="119"/>
        <item x="583"/>
        <item x="653"/>
        <item x="177"/>
        <item x="9"/>
        <item x="471"/>
        <item x="747"/>
        <item x="897"/>
        <item x="418"/>
        <item x="368"/>
        <item x="551"/>
        <item x="850"/>
        <item x="223"/>
        <item x="255"/>
        <item x="903"/>
        <item x="380"/>
        <item x="197"/>
        <item x="388"/>
        <item x="484"/>
        <item x="817"/>
        <item x="759"/>
        <item x="567"/>
        <item x="470"/>
        <item x="301"/>
        <item x="10"/>
        <item x="134"/>
        <item x="230"/>
        <item x="67"/>
        <item x="571"/>
        <item x="744"/>
        <item x="259"/>
        <item x="486"/>
        <item x="544"/>
        <item x="594"/>
        <item x="452"/>
        <item x="893"/>
        <item x="199"/>
        <item x="232"/>
        <item x="300"/>
        <item x="464"/>
        <item x="771"/>
        <item x="108"/>
        <item x="938"/>
        <item x="834"/>
        <item x="526"/>
        <item x="762"/>
        <item x="519"/>
        <item x="674"/>
        <item x="844"/>
        <item x="341"/>
        <item x="50"/>
        <item x="513"/>
        <item x="92"/>
        <item x="877"/>
        <item x="425"/>
        <item x="841"/>
        <item x="531"/>
        <item x="313"/>
        <item x="922"/>
        <item x="824"/>
        <item x="717"/>
        <item x="336"/>
        <item x="369"/>
        <item x="718"/>
        <item x="226"/>
        <item x="790"/>
        <item x="275"/>
        <item x="52"/>
        <item x="477"/>
        <item x="260"/>
        <item x="243"/>
        <item x="429"/>
        <item x="848"/>
        <item x="775"/>
        <item x="845"/>
        <item x="316"/>
        <item x="39"/>
        <item x="881"/>
        <item x="51"/>
        <item x="826"/>
        <item x="560"/>
        <item x="564"/>
        <item x="49"/>
        <item x="668"/>
        <item x="711"/>
        <item x="854"/>
        <item x="633"/>
        <item x="460"/>
        <item x="656"/>
        <item x="454"/>
        <item x="512"/>
        <item x="345"/>
        <item x="112"/>
        <item x="323"/>
        <item x="312"/>
        <item x="291"/>
        <item x="211"/>
        <item x="458"/>
        <item x="106"/>
        <item x="147"/>
        <item x="171"/>
        <item x="335"/>
        <item x="879"/>
        <item x="453"/>
        <item x="357"/>
        <item x="318"/>
        <item x="263"/>
        <item x="909"/>
        <item x="699"/>
        <item x="532"/>
        <item x="394"/>
        <item x="680"/>
        <item x="733"/>
        <item x="165"/>
        <item x="912"/>
        <item x="540"/>
        <item x="73"/>
        <item x="256"/>
        <item x="431"/>
        <item x="554"/>
        <item x="36"/>
        <item x="859"/>
        <item x="753"/>
        <item x="565"/>
        <item x="914"/>
        <item x="530"/>
        <item x="172"/>
        <item x="528"/>
        <item x="778"/>
        <item x="700"/>
        <item x="186"/>
        <item x="630"/>
        <item x="543"/>
        <item x="21"/>
        <item x="246"/>
        <item x="261"/>
        <item x="855"/>
        <item x="638"/>
        <item x="663"/>
        <item x="839"/>
        <item x="127"/>
        <item x="704"/>
        <item x="553"/>
        <item x="870"/>
        <item x="229"/>
        <item x="311"/>
        <item x="53"/>
        <item x="27"/>
        <item x="624"/>
        <item x="61"/>
        <item x="269"/>
        <item x="334"/>
        <item x="548"/>
        <item x="216"/>
        <item x="233"/>
        <item x="811"/>
        <item x="397"/>
        <item x="257"/>
        <item x="536"/>
        <item x="55"/>
        <item x="146"/>
        <item x="541"/>
        <item x="417"/>
        <item x="166"/>
        <item x="836"/>
        <item x="869"/>
        <item x="287"/>
        <item x="673"/>
        <item x="842"/>
        <item x="400"/>
        <item x="714"/>
        <item x="215"/>
        <item x="547"/>
        <item x="876"/>
        <item x="286"/>
        <item x="354"/>
        <item x="387"/>
        <item x="939"/>
        <item x="652"/>
        <item x="24"/>
        <item x="6"/>
        <item x="728"/>
        <item x="611"/>
        <item x="521"/>
        <item x="31"/>
        <item x="665"/>
        <item x="280"/>
        <item x="688"/>
        <item x="290"/>
        <item x="535"/>
        <item x="408"/>
        <item x="451"/>
        <item x="815"/>
        <item x="896"/>
        <item x="20"/>
        <item x="253"/>
        <item x="713"/>
        <item x="26"/>
        <item x="252"/>
        <item x="684"/>
        <item x="370"/>
        <item x="795"/>
        <item x="238"/>
        <item x="97"/>
        <item x="766"/>
        <item x="101"/>
        <item x="785"/>
        <item x="636"/>
        <item x="816"/>
        <item x="450"/>
        <item x="690"/>
        <item x="179"/>
        <item x="731"/>
        <item x="175"/>
        <item x="11"/>
        <item x="910"/>
        <item x="57"/>
        <item x="201"/>
        <item x="502"/>
        <item x="306"/>
        <item x="899"/>
        <item x="404"/>
        <item x="426"/>
        <item x="768"/>
        <item x="657"/>
        <item x="176"/>
        <item x="692"/>
        <item x="227"/>
        <item x="772"/>
        <item x="292"/>
        <item x="115"/>
        <item x="829"/>
        <item x="596"/>
        <item x="598"/>
        <item x="780"/>
        <item x="270"/>
        <item x="514"/>
        <item x="582"/>
        <item x="727"/>
        <item x="488"/>
        <item x="764"/>
        <item x="858"/>
        <item x="170"/>
        <item x="930"/>
        <item x="377"/>
        <item x="363"/>
        <item x="575"/>
        <item x="419"/>
        <item x="406"/>
        <item x="98"/>
        <item x="319"/>
        <item x="279"/>
        <item x="558"/>
        <item x="626"/>
        <item x="415"/>
        <item x="56"/>
        <item x="606"/>
        <item x="760"/>
        <item x="702"/>
        <item x="360"/>
        <item x="578"/>
        <item x="43"/>
        <item x="592"/>
        <item x="430"/>
        <item x="906"/>
        <item x="330"/>
        <item x="231"/>
        <item x="358"/>
        <item x="8"/>
        <item x="520"/>
        <item x="608"/>
        <item x="440"/>
        <item x="643"/>
        <item x="720"/>
        <item x="754"/>
        <item x="905"/>
        <item x="356"/>
        <item x="5"/>
        <item x="212"/>
        <item x="932"/>
        <item x="386"/>
        <item x="840"/>
        <item x="327"/>
        <item x="310"/>
        <item x="46"/>
        <item x="898"/>
        <item x="545"/>
        <item x="857"/>
        <item x="416"/>
        <item x="120"/>
        <item x="196"/>
        <item x="296"/>
        <item x="921"/>
        <item x="797"/>
        <item x="602"/>
        <item x="248"/>
        <item x="209"/>
        <item x="616"/>
        <item x="88"/>
        <item x="437"/>
        <item x="105"/>
        <item x="168"/>
        <item x="794"/>
        <item x="210"/>
        <item x="828"/>
        <item x="806"/>
        <item x="285"/>
        <item x="433"/>
        <item x="118"/>
        <item x="487"/>
        <item x="299"/>
        <item x="328"/>
        <item x="398"/>
        <item x="597"/>
        <item x="40"/>
        <item x="746"/>
        <item x="444"/>
        <item x="202"/>
        <item x="696"/>
        <item x="590"/>
        <item x="3"/>
        <item x="441"/>
        <item x="694"/>
        <item x="873"/>
        <item x="33"/>
        <item x="469"/>
        <item x="181"/>
        <item x="609"/>
        <item x="17"/>
        <item x="372"/>
        <item x="366"/>
        <item x="691"/>
        <item x="89"/>
        <item x="244"/>
        <item x="103"/>
        <item x="245"/>
        <item x="32"/>
        <item x="927"/>
        <item x="264"/>
        <item x="14"/>
        <item x="835"/>
        <item x="891"/>
        <item x="125"/>
        <item x="783"/>
        <item x="498"/>
        <item x="373"/>
        <item x="901"/>
        <item x="737"/>
        <item x="908"/>
        <item x="169"/>
        <item x="507"/>
        <item x="122"/>
        <item x="615"/>
        <item x="324"/>
        <item x="84"/>
        <item x="268"/>
        <item x="919"/>
        <item x="907"/>
        <item x="917"/>
        <item x="326"/>
        <item x="349"/>
        <item x="886"/>
        <item x="445"/>
        <item x="258"/>
        <item x="148"/>
        <item x="655"/>
        <item x="742"/>
        <item x="654"/>
        <item x="497"/>
        <item x="666"/>
        <item x="579"/>
        <item x="529"/>
        <item x="763"/>
        <item x="428"/>
        <item x="167"/>
        <item x="846"/>
        <item x="348"/>
        <item x="22"/>
        <item x="641"/>
        <item x="121"/>
        <item x="192"/>
        <item x="293"/>
        <item x="184"/>
        <item x="809"/>
        <item x="221"/>
        <item x="559"/>
        <item x="107"/>
        <item x="475"/>
        <item x="448"/>
        <item x="382"/>
        <item x="178"/>
        <item x="272"/>
        <item x="605"/>
        <item x="757"/>
        <item x="508"/>
        <item x="716"/>
        <item x="678"/>
        <item x="812"/>
        <item x="681"/>
        <item x="456"/>
        <item x="237"/>
        <item x="208"/>
        <item x="267"/>
        <item x="721"/>
        <item x="800"/>
        <item x="198"/>
        <item x="173"/>
        <item x="289"/>
        <item x="333"/>
        <item x="0"/>
        <item x="182"/>
        <item x="882"/>
        <item x="459"/>
        <item x="612"/>
        <item x="99"/>
        <item x="511"/>
        <item x="161"/>
        <item x="931"/>
        <item x="623"/>
        <item x="2"/>
        <item x="750"/>
        <item x="117"/>
        <item x="87"/>
        <item x="124"/>
        <item x="773"/>
        <item x="402"/>
        <item x="599"/>
        <item x="481"/>
        <item x="309"/>
        <item x="884"/>
        <item x="904"/>
        <item x="307"/>
        <item x="449"/>
        <item x="710"/>
        <item x="566"/>
        <item x="698"/>
        <item x="644"/>
        <item x="913"/>
        <item x="266"/>
        <item x="135"/>
        <item x="730"/>
        <item x="325"/>
        <item x="83"/>
        <item x="701"/>
        <item x="569"/>
        <item x="755"/>
        <item x="703"/>
        <item x="71"/>
        <item x="352"/>
        <item x="162"/>
        <item x="640"/>
        <item x="457"/>
        <item x="342"/>
        <item x="58"/>
        <item x="825"/>
        <item x="661"/>
        <item x="239"/>
        <item x="278"/>
        <item x="308"/>
        <item x="670"/>
        <item x="376"/>
        <item x="568"/>
        <item x="137"/>
        <item x="381"/>
        <item x="647"/>
        <item x="65"/>
        <item x="297"/>
        <item x="620"/>
        <item x="401"/>
        <item x="465"/>
        <item x="867"/>
        <item x="617"/>
        <item x="191"/>
        <item x="109"/>
        <item x="539"/>
        <item x="439"/>
        <item x="803"/>
        <item x="732"/>
        <item x="214"/>
        <item x="79"/>
        <item x="47"/>
        <item x="389"/>
        <item x="374"/>
        <item x="157"/>
        <item x="749"/>
        <item x="765"/>
        <item x="741"/>
        <item x="761"/>
        <item x="838"/>
        <item x="631"/>
        <item x="194"/>
        <item x="379"/>
        <item x="478"/>
        <item x="29"/>
        <item x="138"/>
        <item x="68"/>
        <item x="492"/>
        <item x="752"/>
        <item x="534"/>
        <item x="874"/>
        <item x="277"/>
        <item x="581"/>
        <item x="472"/>
        <item x="93"/>
        <item x="533"/>
        <item x="796"/>
        <item x="294"/>
        <item x="682"/>
        <item x="642"/>
        <item x="805"/>
        <item x="832"/>
        <item x="455"/>
        <item x="925"/>
        <item x="476"/>
        <item x="895"/>
        <item x="774"/>
        <item x="317"/>
        <item x="491"/>
        <item x="570"/>
        <item x="888"/>
        <item x="872"/>
        <item x="222"/>
        <item x="580"/>
        <item x="407"/>
        <item x="875"/>
        <item x="517"/>
        <item x="862"/>
        <item x="81"/>
        <item x="622"/>
        <item x="736"/>
        <item x="78"/>
        <item x="130"/>
        <item x="735"/>
        <item x="123"/>
        <item x="823"/>
        <item x="821"/>
        <item x="496"/>
        <item x="188"/>
        <item x="392"/>
        <item x="538"/>
        <item x="671"/>
        <item x="329"/>
        <item x="59"/>
        <item x="646"/>
        <item x="234"/>
        <item x="149"/>
        <item x="801"/>
        <item x="422"/>
        <item x="649"/>
        <item x="164"/>
        <item x="367"/>
        <item x="421"/>
        <item x="187"/>
        <item x="709"/>
        <item x="220"/>
        <item x="782"/>
        <item x="627"/>
        <item x="355"/>
        <item x="669"/>
        <item x="23"/>
        <item x="305"/>
        <item x="745"/>
        <item x="863"/>
        <item x="18"/>
        <item x="676"/>
        <item x="111"/>
        <item x="320"/>
        <item x="740"/>
        <item x="283"/>
        <item x="72"/>
        <item x="463"/>
        <item x="254"/>
        <item x="274"/>
        <item x="860"/>
        <item x="865"/>
        <item x="802"/>
        <item x="154"/>
        <item x="405"/>
        <item x="791"/>
        <item x="523"/>
        <item x="353"/>
        <item x="628"/>
        <item x="789"/>
        <item x="880"/>
        <item x="483"/>
        <item x="933"/>
        <item x="822"/>
        <item x="288"/>
        <item x="524"/>
        <item x="634"/>
        <item x="751"/>
        <item x="74"/>
        <item x="438"/>
        <item x="589"/>
        <item x="813"/>
        <item x="129"/>
        <item x="44"/>
        <item x="393"/>
        <item x="635"/>
        <item x="180"/>
        <item x="249"/>
        <item x="779"/>
        <item x="414"/>
        <item x="793"/>
        <item x="153"/>
        <item x="281"/>
        <item x="34"/>
        <item x="15"/>
        <item x="818"/>
        <item x="265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Sub-Category" fld="10" subtotal="count" baseField="10" baseItem="6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10D87-A94A-43C9-8955-25AB3056B3B5}" name="PivotTable1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3">
  <location ref="AL3:AM8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 sortType="descending">
      <items count="325">
        <item x="263"/>
        <item x="162"/>
        <item x="243"/>
        <item x="313"/>
        <item x="92"/>
        <item x="298"/>
        <item x="58"/>
        <item x="194"/>
        <item x="16"/>
        <item x="54"/>
        <item x="318"/>
        <item x="7"/>
        <item x="272"/>
        <item x="129"/>
        <item x="218"/>
        <item x="295"/>
        <item x="157"/>
        <item x="90"/>
        <item x="120"/>
        <item x="155"/>
        <item x="191"/>
        <item x="126"/>
        <item x="121"/>
        <item x="248"/>
        <item x="36"/>
        <item x="127"/>
        <item x="209"/>
        <item x="84"/>
        <item x="20"/>
        <item x="136"/>
        <item x="160"/>
        <item x="202"/>
        <item x="285"/>
        <item x="196"/>
        <item x="71"/>
        <item x="63"/>
        <item x="69"/>
        <item x="251"/>
        <item x="205"/>
        <item x="279"/>
        <item x="23"/>
        <item x="215"/>
        <item x="233"/>
        <item x="214"/>
        <item x="188"/>
        <item x="252"/>
        <item x="125"/>
        <item x="4"/>
        <item x="45"/>
        <item x="303"/>
        <item x="142"/>
        <item x="289"/>
        <item x="46"/>
        <item x="287"/>
        <item x="8"/>
        <item x="65"/>
        <item x="49"/>
        <item x="116"/>
        <item x="75"/>
        <item x="32"/>
        <item x="267"/>
        <item x="320"/>
        <item x="59"/>
        <item x="280"/>
        <item x="172"/>
        <item x="152"/>
        <item x="212"/>
        <item x="40"/>
        <item x="173"/>
        <item x="159"/>
        <item x="270"/>
        <item x="123"/>
        <item x="29"/>
        <item x="151"/>
        <item x="94"/>
        <item x="309"/>
        <item x="52"/>
        <item x="321"/>
        <item x="225"/>
        <item x="210"/>
        <item x="85"/>
        <item x="181"/>
        <item x="245"/>
        <item x="180"/>
        <item x="31"/>
        <item x="286"/>
        <item x="195"/>
        <item x="304"/>
        <item x="269"/>
        <item x="204"/>
        <item x="124"/>
        <item x="185"/>
        <item x="153"/>
        <item x="10"/>
        <item x="258"/>
        <item x="88"/>
        <item x="86"/>
        <item x="221"/>
        <item x="42"/>
        <item x="300"/>
        <item x="105"/>
        <item x="101"/>
        <item x="131"/>
        <item x="226"/>
        <item x="253"/>
        <item x="35"/>
        <item x="11"/>
        <item x="250"/>
        <item x="200"/>
        <item x="242"/>
        <item x="271"/>
        <item x="134"/>
        <item x="163"/>
        <item x="148"/>
        <item x="268"/>
        <item x="203"/>
        <item x="193"/>
        <item x="239"/>
        <item x="43"/>
        <item x="19"/>
        <item x="97"/>
        <item x="234"/>
        <item x="147"/>
        <item x="190"/>
        <item x="18"/>
        <item x="264"/>
        <item x="13"/>
        <item x="262"/>
        <item x="156"/>
        <item x="183"/>
        <item x="78"/>
        <item x="132"/>
        <item x="256"/>
        <item x="67"/>
        <item x="317"/>
        <item x="111"/>
        <item x="50"/>
        <item x="189"/>
        <item x="216"/>
        <item x="122"/>
        <item x="241"/>
        <item x="30"/>
        <item x="143"/>
        <item x="282"/>
        <item x="91"/>
        <item x="112"/>
        <item x="211"/>
        <item x="25"/>
        <item x="14"/>
        <item x="60"/>
        <item x="302"/>
        <item x="310"/>
        <item x="115"/>
        <item x="231"/>
        <item x="299"/>
        <item x="288"/>
        <item x="260"/>
        <item x="228"/>
        <item x="82"/>
        <item x="235"/>
        <item x="6"/>
        <item x="178"/>
        <item x="81"/>
        <item x="95"/>
        <item x="1"/>
        <item x="145"/>
        <item x="76"/>
        <item x="146"/>
        <item x="230"/>
        <item x="291"/>
        <item x="306"/>
        <item x="301"/>
        <item x="79"/>
        <item x="109"/>
        <item x="89"/>
        <item x="247"/>
        <item x="117"/>
        <item x="168"/>
        <item x="139"/>
        <item x="284"/>
        <item x="64"/>
        <item x="110"/>
        <item x="254"/>
        <item x="219"/>
        <item x="167"/>
        <item x="275"/>
        <item x="229"/>
        <item x="208"/>
        <item x="164"/>
        <item x="223"/>
        <item x="158"/>
        <item x="240"/>
        <item x="99"/>
        <item x="24"/>
        <item x="232"/>
        <item x="41"/>
        <item x="103"/>
        <item x="93"/>
        <item x="12"/>
        <item x="244"/>
        <item x="166"/>
        <item x="236"/>
        <item x="322"/>
        <item x="305"/>
        <item x="255"/>
        <item x="133"/>
        <item x="77"/>
        <item x="0"/>
        <item x="293"/>
        <item x="170"/>
        <item x="83"/>
        <item x="292"/>
        <item x="53"/>
        <item x="74"/>
        <item x="176"/>
        <item x="118"/>
        <item x="259"/>
        <item x="206"/>
        <item x="113"/>
        <item x="108"/>
        <item x="199"/>
        <item x="261"/>
        <item x="227"/>
        <item x="192"/>
        <item x="107"/>
        <item x="22"/>
        <item x="98"/>
        <item x="315"/>
        <item x="177"/>
        <item x="9"/>
        <item x="184"/>
        <item x="44"/>
        <item x="5"/>
        <item x="2"/>
        <item x="144"/>
        <item x="154"/>
        <item x="150"/>
        <item x="51"/>
        <item x="294"/>
        <item x="135"/>
        <item x="171"/>
        <item x="238"/>
        <item x="198"/>
        <item x="141"/>
        <item x="47"/>
        <item x="257"/>
        <item x="15"/>
        <item x="27"/>
        <item x="61"/>
        <item x="312"/>
        <item x="17"/>
        <item x="62"/>
        <item x="311"/>
        <item x="87"/>
        <item x="56"/>
        <item x="182"/>
        <item x="281"/>
        <item x="26"/>
        <item x="265"/>
        <item x="119"/>
        <item x="319"/>
        <item x="57"/>
        <item x="169"/>
        <item x="283"/>
        <item x="137"/>
        <item x="104"/>
        <item x="174"/>
        <item x="307"/>
        <item x="3"/>
        <item x="37"/>
        <item x="28"/>
        <item x="186"/>
        <item x="237"/>
        <item x="187"/>
        <item x="201"/>
        <item x="68"/>
        <item x="273"/>
        <item x="21"/>
        <item x="130"/>
        <item x="222"/>
        <item x="34"/>
        <item x="179"/>
        <item x="246"/>
        <item x="220"/>
        <item x="266"/>
        <item x="48"/>
        <item x="96"/>
        <item x="316"/>
        <item x="128"/>
        <item x="323"/>
        <item x="278"/>
        <item x="161"/>
        <item x="38"/>
        <item x="66"/>
        <item x="224"/>
        <item x="175"/>
        <item x="213"/>
        <item x="138"/>
        <item x="276"/>
        <item x="290"/>
        <item x="39"/>
        <item x="314"/>
        <item x="70"/>
        <item x="277"/>
        <item x="308"/>
        <item x="207"/>
        <item x="249"/>
        <item x="297"/>
        <item x="80"/>
        <item x="33"/>
        <item x="100"/>
        <item x="106"/>
        <item x="296"/>
        <item x="140"/>
        <item x="73"/>
        <item x="72"/>
        <item x="197"/>
        <item x="217"/>
        <item x="165"/>
        <item x="114"/>
        <item x="102"/>
        <item x="274"/>
        <item x="149"/>
        <item x="55"/>
        <item t="default"/>
      </items>
    </pivotField>
    <pivotField showAll="0">
      <items count="45">
        <item x="19"/>
        <item x="16"/>
        <item x="38"/>
        <item x="1"/>
        <item x="22"/>
        <item x="29"/>
        <item x="13"/>
        <item x="39"/>
        <item x="2"/>
        <item x="32"/>
        <item x="42"/>
        <item x="10"/>
        <item x="14"/>
        <item x="23"/>
        <item x="43"/>
        <item x="0"/>
        <item x="28"/>
        <item x="40"/>
        <item x="31"/>
        <item x="12"/>
        <item x="11"/>
        <item x="35"/>
        <item x="25"/>
        <item x="36"/>
        <item x="8"/>
        <item x="33"/>
        <item x="37"/>
        <item x="30"/>
        <item x="27"/>
        <item x="15"/>
        <item x="3"/>
        <item x="24"/>
        <item x="26"/>
        <item x="21"/>
        <item x="9"/>
        <item x="34"/>
        <item x="20"/>
        <item x="41"/>
        <item x="18"/>
        <item x="5"/>
        <item x="7"/>
        <item x="17"/>
        <item x="4"/>
        <item x="6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8">
        <item x="12"/>
        <item x="6"/>
        <item x="8"/>
        <item x="5"/>
        <item x="0"/>
        <item x="9"/>
        <item x="16"/>
        <item x="10"/>
        <item x="13"/>
        <item x="3"/>
        <item x="1"/>
        <item x="14"/>
        <item x="4"/>
        <item x="11"/>
        <item x="7"/>
        <item x="15"/>
        <item x="2"/>
        <item t="default"/>
      </items>
    </pivotField>
    <pivotField showAll="0" sortType="descending">
      <items count="944">
        <item x="346"/>
        <item x="218"/>
        <item x="798"/>
        <item x="729"/>
        <item x="614"/>
        <item x="284"/>
        <item x="383"/>
        <item x="116"/>
        <item x="715"/>
        <item x="911"/>
        <item x="629"/>
        <item x="298"/>
        <item x="587"/>
        <item x="359"/>
        <item x="561"/>
        <item x="340"/>
        <item x="423"/>
        <item x="549"/>
        <item x="650"/>
        <item x="411"/>
        <item x="853"/>
        <item x="784"/>
        <item x="302"/>
        <item x="576"/>
        <item x="926"/>
        <item x="683"/>
        <item x="738"/>
        <item x="364"/>
        <item x="42"/>
        <item x="693"/>
        <item x="303"/>
        <item x="831"/>
        <item x="247"/>
        <item x="604"/>
        <item x="613"/>
        <item x="163"/>
        <item x="337"/>
        <item x="156"/>
        <item x="235"/>
        <item x="686"/>
        <item x="4"/>
        <item x="276"/>
        <item x="142"/>
        <item x="610"/>
        <item x="100"/>
        <item x="934"/>
        <item x="677"/>
        <item x="725"/>
        <item x="60"/>
        <item x="856"/>
        <item x="878"/>
        <item x="679"/>
        <item x="250"/>
        <item x="509"/>
        <item x="889"/>
        <item x="490"/>
        <item x="550"/>
        <item x="140"/>
        <item x="574"/>
        <item x="69"/>
        <item x="473"/>
        <item x="525"/>
        <item x="810"/>
        <item x="489"/>
        <item x="929"/>
        <item x="664"/>
        <item x="321"/>
        <item x="160"/>
        <item x="920"/>
        <item x="837"/>
        <item x="900"/>
        <item x="892"/>
        <item x="792"/>
        <item x="436"/>
        <item x="174"/>
        <item x="734"/>
        <item x="556"/>
        <item x="861"/>
        <item x="586"/>
        <item x="295"/>
        <item x="314"/>
        <item x="378"/>
        <item x="442"/>
        <item x="427"/>
        <item x="494"/>
        <item x="573"/>
        <item x="102"/>
        <item x="689"/>
        <item x="918"/>
        <item x="479"/>
        <item x="339"/>
        <item x="420"/>
        <item x="466"/>
        <item x="446"/>
        <item x="866"/>
        <item x="332"/>
        <item x="350"/>
        <item x="468"/>
        <item x="595"/>
        <item x="141"/>
        <item x="151"/>
        <item x="12"/>
        <item x="923"/>
        <item x="722"/>
        <item x="139"/>
        <item x="937"/>
        <item x="495"/>
        <item x="347"/>
        <item x="435"/>
        <item x="885"/>
        <item x="474"/>
        <item x="758"/>
        <item x="847"/>
        <item x="916"/>
        <item x="851"/>
        <item x="193"/>
        <item x="833"/>
        <item x="868"/>
        <item x="25"/>
        <item x="19"/>
        <item x="240"/>
        <item x="504"/>
        <item x="48"/>
        <item x="563"/>
        <item x="941"/>
        <item x="767"/>
        <item x="659"/>
        <item x="409"/>
        <item x="396"/>
        <item x="41"/>
        <item x="152"/>
        <item x="132"/>
        <item x="940"/>
        <item x="251"/>
        <item x="660"/>
        <item x="45"/>
        <item x="225"/>
        <item x="883"/>
        <item x="527"/>
        <item x="662"/>
        <item x="271"/>
        <item x="621"/>
        <item x="808"/>
        <item x="331"/>
        <item x="447"/>
        <item x="804"/>
        <item x="648"/>
        <item x="651"/>
        <item x="91"/>
        <item x="936"/>
        <item x="902"/>
        <item x="584"/>
        <item x="217"/>
        <item x="743"/>
        <item x="639"/>
        <item x="705"/>
        <item x="432"/>
        <item x="77"/>
        <item x="322"/>
        <item x="204"/>
        <item x="942"/>
        <item x="503"/>
        <item x="262"/>
        <item x="128"/>
        <item x="30"/>
        <item x="697"/>
        <item x="155"/>
        <item x="7"/>
        <item x="461"/>
        <item x="726"/>
        <item x="131"/>
        <item x="375"/>
        <item x="707"/>
        <item x="206"/>
        <item x="395"/>
        <item x="361"/>
        <item x="200"/>
        <item x="787"/>
        <item x="343"/>
        <item x="315"/>
        <item x="158"/>
        <item x="70"/>
        <item x="385"/>
        <item x="344"/>
        <item x="505"/>
        <item x="189"/>
        <item x="500"/>
        <item x="591"/>
        <item x="144"/>
        <item x="86"/>
        <item x="365"/>
        <item x="66"/>
        <item x="190"/>
        <item x="159"/>
        <item x="145"/>
        <item x="28"/>
        <item x="776"/>
        <item x="506"/>
        <item x="819"/>
        <item x="756"/>
        <item x="830"/>
        <item x="915"/>
        <item x="273"/>
        <item x="63"/>
        <item x="493"/>
        <item x="770"/>
        <item x="391"/>
        <item x="1"/>
        <item x="501"/>
        <item x="546"/>
        <item x="724"/>
        <item x="434"/>
        <item x="672"/>
        <item x="136"/>
        <item x="712"/>
        <item x="62"/>
        <item x="849"/>
        <item x="219"/>
        <item x="96"/>
        <item x="786"/>
        <item x="522"/>
        <item x="76"/>
        <item x="935"/>
        <item x="80"/>
        <item x="695"/>
        <item x="213"/>
        <item x="537"/>
        <item x="781"/>
        <item x="637"/>
        <item x="777"/>
        <item x="572"/>
        <item x="482"/>
        <item x="518"/>
        <item x="890"/>
        <item x="37"/>
        <item x="552"/>
        <item x="203"/>
        <item x="894"/>
        <item x="399"/>
        <item x="110"/>
        <item x="183"/>
        <item x="104"/>
        <item x="723"/>
        <item x="625"/>
        <item x="485"/>
        <item x="338"/>
        <item x="542"/>
        <item x="114"/>
        <item x="195"/>
        <item x="13"/>
        <item x="390"/>
        <item x="515"/>
        <item x="607"/>
        <item x="282"/>
        <item x="304"/>
        <item x="739"/>
        <item x="685"/>
        <item x="499"/>
        <item x="618"/>
        <item x="236"/>
        <item x="708"/>
        <item x="555"/>
        <item x="85"/>
        <item x="35"/>
        <item x="242"/>
        <item x="207"/>
        <item x="480"/>
        <item x="769"/>
        <item x="185"/>
        <item x="403"/>
        <item x="113"/>
        <item x="852"/>
        <item x="799"/>
        <item x="603"/>
        <item x="601"/>
        <item x="510"/>
        <item x="82"/>
        <item x="675"/>
        <item x="871"/>
        <item x="667"/>
        <item x="820"/>
        <item x="371"/>
        <item x="887"/>
        <item x="64"/>
        <item x="462"/>
        <item x="577"/>
        <item x="413"/>
        <item x="94"/>
        <item x="224"/>
        <item x="658"/>
        <item x="928"/>
        <item x="687"/>
        <item x="410"/>
        <item x="362"/>
        <item x="16"/>
        <item x="205"/>
        <item x="557"/>
        <item x="424"/>
        <item x="593"/>
        <item x="443"/>
        <item x="924"/>
        <item x="75"/>
        <item x="467"/>
        <item x="632"/>
        <item x="516"/>
        <item x="748"/>
        <item x="827"/>
        <item x="588"/>
        <item x="562"/>
        <item x="807"/>
        <item x="814"/>
        <item x="54"/>
        <item x="95"/>
        <item x="133"/>
        <item x="126"/>
        <item x="241"/>
        <item x="585"/>
        <item x="843"/>
        <item x="351"/>
        <item x="645"/>
        <item x="143"/>
        <item x="864"/>
        <item x="619"/>
        <item x="38"/>
        <item x="228"/>
        <item x="706"/>
        <item x="412"/>
        <item x="150"/>
        <item x="90"/>
        <item x="384"/>
        <item x="600"/>
        <item x="788"/>
        <item x="719"/>
        <item x="119"/>
        <item x="583"/>
        <item x="653"/>
        <item x="177"/>
        <item x="9"/>
        <item x="471"/>
        <item x="747"/>
        <item x="897"/>
        <item x="418"/>
        <item x="368"/>
        <item x="551"/>
        <item x="850"/>
        <item x="223"/>
        <item x="255"/>
        <item x="903"/>
        <item x="380"/>
        <item x="197"/>
        <item x="388"/>
        <item x="484"/>
        <item x="817"/>
        <item x="759"/>
        <item x="567"/>
        <item x="470"/>
        <item x="301"/>
        <item x="10"/>
        <item x="134"/>
        <item x="230"/>
        <item x="67"/>
        <item x="571"/>
        <item x="744"/>
        <item x="259"/>
        <item x="486"/>
        <item x="544"/>
        <item x="594"/>
        <item x="452"/>
        <item x="893"/>
        <item x="199"/>
        <item x="232"/>
        <item x="300"/>
        <item x="464"/>
        <item x="771"/>
        <item x="108"/>
        <item x="938"/>
        <item x="834"/>
        <item x="526"/>
        <item x="762"/>
        <item x="519"/>
        <item x="674"/>
        <item x="844"/>
        <item x="341"/>
        <item x="50"/>
        <item x="513"/>
        <item x="92"/>
        <item x="877"/>
        <item x="425"/>
        <item x="841"/>
        <item x="531"/>
        <item x="313"/>
        <item x="922"/>
        <item x="824"/>
        <item x="717"/>
        <item x="336"/>
        <item x="369"/>
        <item x="718"/>
        <item x="226"/>
        <item x="790"/>
        <item x="275"/>
        <item x="52"/>
        <item x="477"/>
        <item x="260"/>
        <item x="243"/>
        <item x="429"/>
        <item x="848"/>
        <item x="775"/>
        <item x="845"/>
        <item x="316"/>
        <item x="39"/>
        <item x="881"/>
        <item x="51"/>
        <item x="826"/>
        <item x="560"/>
        <item x="564"/>
        <item x="49"/>
        <item x="668"/>
        <item x="711"/>
        <item x="854"/>
        <item x="633"/>
        <item x="460"/>
        <item x="656"/>
        <item x="454"/>
        <item x="512"/>
        <item x="345"/>
        <item x="112"/>
        <item x="323"/>
        <item x="312"/>
        <item x="291"/>
        <item x="211"/>
        <item x="458"/>
        <item x="106"/>
        <item x="147"/>
        <item x="171"/>
        <item x="335"/>
        <item x="879"/>
        <item x="453"/>
        <item x="357"/>
        <item x="318"/>
        <item x="263"/>
        <item x="909"/>
        <item x="699"/>
        <item x="532"/>
        <item x="394"/>
        <item x="680"/>
        <item x="733"/>
        <item x="165"/>
        <item x="912"/>
        <item x="540"/>
        <item x="73"/>
        <item x="256"/>
        <item x="431"/>
        <item x="554"/>
        <item x="36"/>
        <item x="859"/>
        <item x="753"/>
        <item x="565"/>
        <item x="914"/>
        <item x="530"/>
        <item x="172"/>
        <item x="528"/>
        <item x="778"/>
        <item x="700"/>
        <item x="186"/>
        <item x="630"/>
        <item x="543"/>
        <item x="21"/>
        <item x="246"/>
        <item x="261"/>
        <item x="855"/>
        <item x="638"/>
        <item x="663"/>
        <item x="839"/>
        <item x="127"/>
        <item x="704"/>
        <item x="553"/>
        <item x="870"/>
        <item x="229"/>
        <item x="311"/>
        <item x="53"/>
        <item x="27"/>
        <item x="624"/>
        <item x="61"/>
        <item x="269"/>
        <item x="334"/>
        <item x="548"/>
        <item x="216"/>
        <item x="233"/>
        <item x="811"/>
        <item x="397"/>
        <item x="257"/>
        <item x="536"/>
        <item x="55"/>
        <item x="146"/>
        <item x="541"/>
        <item x="417"/>
        <item x="166"/>
        <item x="836"/>
        <item x="869"/>
        <item x="287"/>
        <item x="673"/>
        <item x="842"/>
        <item x="400"/>
        <item x="714"/>
        <item x="215"/>
        <item x="547"/>
        <item x="876"/>
        <item x="286"/>
        <item x="354"/>
        <item x="387"/>
        <item x="939"/>
        <item x="652"/>
        <item x="24"/>
        <item x="6"/>
        <item x="728"/>
        <item x="611"/>
        <item x="521"/>
        <item x="31"/>
        <item x="665"/>
        <item x="280"/>
        <item x="688"/>
        <item x="290"/>
        <item x="535"/>
        <item x="408"/>
        <item x="451"/>
        <item x="815"/>
        <item x="896"/>
        <item x="20"/>
        <item x="253"/>
        <item x="713"/>
        <item x="26"/>
        <item x="252"/>
        <item x="684"/>
        <item x="370"/>
        <item x="795"/>
        <item x="238"/>
        <item x="97"/>
        <item x="766"/>
        <item x="101"/>
        <item x="785"/>
        <item x="636"/>
        <item x="816"/>
        <item x="450"/>
        <item x="690"/>
        <item x="179"/>
        <item x="731"/>
        <item x="175"/>
        <item x="11"/>
        <item x="910"/>
        <item x="57"/>
        <item x="201"/>
        <item x="502"/>
        <item x="306"/>
        <item x="899"/>
        <item x="404"/>
        <item x="426"/>
        <item x="768"/>
        <item x="657"/>
        <item x="176"/>
        <item x="692"/>
        <item x="227"/>
        <item x="772"/>
        <item x="292"/>
        <item x="115"/>
        <item x="829"/>
        <item x="596"/>
        <item x="598"/>
        <item x="780"/>
        <item x="270"/>
        <item x="514"/>
        <item x="582"/>
        <item x="727"/>
        <item x="488"/>
        <item x="764"/>
        <item x="858"/>
        <item x="170"/>
        <item x="930"/>
        <item x="377"/>
        <item x="363"/>
        <item x="575"/>
        <item x="419"/>
        <item x="406"/>
        <item x="98"/>
        <item x="319"/>
        <item x="279"/>
        <item x="558"/>
        <item x="626"/>
        <item x="415"/>
        <item x="56"/>
        <item x="606"/>
        <item x="760"/>
        <item x="702"/>
        <item x="360"/>
        <item x="578"/>
        <item x="43"/>
        <item x="592"/>
        <item x="430"/>
        <item x="906"/>
        <item x="330"/>
        <item x="231"/>
        <item x="358"/>
        <item x="8"/>
        <item x="520"/>
        <item x="608"/>
        <item x="440"/>
        <item x="643"/>
        <item x="720"/>
        <item x="754"/>
        <item x="905"/>
        <item x="356"/>
        <item x="5"/>
        <item x="212"/>
        <item x="932"/>
        <item x="386"/>
        <item x="840"/>
        <item x="327"/>
        <item x="310"/>
        <item x="46"/>
        <item x="898"/>
        <item x="545"/>
        <item x="857"/>
        <item x="416"/>
        <item x="120"/>
        <item x="196"/>
        <item x="296"/>
        <item x="921"/>
        <item x="797"/>
        <item x="602"/>
        <item x="248"/>
        <item x="209"/>
        <item x="616"/>
        <item x="88"/>
        <item x="437"/>
        <item x="105"/>
        <item x="168"/>
        <item x="794"/>
        <item x="210"/>
        <item x="828"/>
        <item x="806"/>
        <item x="285"/>
        <item x="433"/>
        <item x="118"/>
        <item x="487"/>
        <item x="299"/>
        <item x="328"/>
        <item x="398"/>
        <item x="597"/>
        <item x="40"/>
        <item x="746"/>
        <item x="444"/>
        <item x="202"/>
        <item x="696"/>
        <item x="590"/>
        <item x="3"/>
        <item x="441"/>
        <item x="694"/>
        <item x="873"/>
        <item x="33"/>
        <item x="469"/>
        <item x="181"/>
        <item x="609"/>
        <item x="17"/>
        <item x="372"/>
        <item x="366"/>
        <item x="691"/>
        <item x="89"/>
        <item x="244"/>
        <item x="103"/>
        <item x="245"/>
        <item x="32"/>
        <item x="927"/>
        <item x="264"/>
        <item x="14"/>
        <item x="835"/>
        <item x="891"/>
        <item x="125"/>
        <item x="783"/>
        <item x="498"/>
        <item x="373"/>
        <item x="901"/>
        <item x="737"/>
        <item x="908"/>
        <item x="169"/>
        <item x="507"/>
        <item x="122"/>
        <item x="615"/>
        <item x="324"/>
        <item x="84"/>
        <item x="268"/>
        <item x="919"/>
        <item x="907"/>
        <item x="917"/>
        <item x="326"/>
        <item x="349"/>
        <item x="886"/>
        <item x="445"/>
        <item x="258"/>
        <item x="148"/>
        <item x="655"/>
        <item x="742"/>
        <item x="654"/>
        <item x="497"/>
        <item x="666"/>
        <item x="579"/>
        <item x="529"/>
        <item x="763"/>
        <item x="428"/>
        <item x="167"/>
        <item x="846"/>
        <item x="348"/>
        <item x="22"/>
        <item x="641"/>
        <item x="121"/>
        <item x="192"/>
        <item x="293"/>
        <item x="184"/>
        <item x="809"/>
        <item x="221"/>
        <item x="559"/>
        <item x="107"/>
        <item x="475"/>
        <item x="448"/>
        <item x="382"/>
        <item x="178"/>
        <item x="272"/>
        <item x="605"/>
        <item x="757"/>
        <item x="508"/>
        <item x="716"/>
        <item x="678"/>
        <item x="812"/>
        <item x="681"/>
        <item x="456"/>
        <item x="237"/>
        <item x="208"/>
        <item x="267"/>
        <item x="721"/>
        <item x="800"/>
        <item x="198"/>
        <item x="173"/>
        <item x="289"/>
        <item x="333"/>
        <item x="0"/>
        <item x="182"/>
        <item x="882"/>
        <item x="459"/>
        <item x="612"/>
        <item x="99"/>
        <item x="511"/>
        <item x="161"/>
        <item x="931"/>
        <item x="623"/>
        <item x="2"/>
        <item x="750"/>
        <item x="117"/>
        <item x="87"/>
        <item x="124"/>
        <item x="773"/>
        <item x="402"/>
        <item x="599"/>
        <item x="481"/>
        <item x="309"/>
        <item x="884"/>
        <item x="904"/>
        <item x="307"/>
        <item x="449"/>
        <item x="710"/>
        <item x="566"/>
        <item x="698"/>
        <item x="644"/>
        <item x="913"/>
        <item x="266"/>
        <item x="135"/>
        <item x="730"/>
        <item x="325"/>
        <item x="83"/>
        <item x="701"/>
        <item x="569"/>
        <item x="755"/>
        <item x="703"/>
        <item x="71"/>
        <item x="352"/>
        <item x="162"/>
        <item x="640"/>
        <item x="457"/>
        <item x="342"/>
        <item x="58"/>
        <item x="825"/>
        <item x="661"/>
        <item x="239"/>
        <item x="278"/>
        <item x="308"/>
        <item x="670"/>
        <item x="376"/>
        <item x="568"/>
        <item x="137"/>
        <item x="381"/>
        <item x="647"/>
        <item x="65"/>
        <item x="297"/>
        <item x="620"/>
        <item x="401"/>
        <item x="465"/>
        <item x="867"/>
        <item x="617"/>
        <item x="191"/>
        <item x="109"/>
        <item x="539"/>
        <item x="439"/>
        <item x="803"/>
        <item x="732"/>
        <item x="214"/>
        <item x="79"/>
        <item x="47"/>
        <item x="389"/>
        <item x="374"/>
        <item x="157"/>
        <item x="749"/>
        <item x="765"/>
        <item x="741"/>
        <item x="761"/>
        <item x="838"/>
        <item x="631"/>
        <item x="194"/>
        <item x="379"/>
        <item x="478"/>
        <item x="29"/>
        <item x="138"/>
        <item x="68"/>
        <item x="492"/>
        <item x="752"/>
        <item x="534"/>
        <item x="874"/>
        <item x="277"/>
        <item x="581"/>
        <item x="472"/>
        <item x="93"/>
        <item x="533"/>
        <item x="796"/>
        <item x="294"/>
        <item x="682"/>
        <item x="642"/>
        <item x="805"/>
        <item x="832"/>
        <item x="455"/>
        <item x="925"/>
        <item x="476"/>
        <item x="895"/>
        <item x="774"/>
        <item x="317"/>
        <item x="491"/>
        <item x="570"/>
        <item x="888"/>
        <item x="872"/>
        <item x="222"/>
        <item x="580"/>
        <item x="407"/>
        <item x="875"/>
        <item x="517"/>
        <item x="862"/>
        <item x="81"/>
        <item x="622"/>
        <item x="736"/>
        <item x="78"/>
        <item x="130"/>
        <item x="735"/>
        <item x="123"/>
        <item x="823"/>
        <item x="821"/>
        <item x="496"/>
        <item x="188"/>
        <item x="392"/>
        <item x="538"/>
        <item x="671"/>
        <item x="329"/>
        <item x="59"/>
        <item x="646"/>
        <item x="234"/>
        <item x="149"/>
        <item x="801"/>
        <item x="422"/>
        <item x="649"/>
        <item x="164"/>
        <item x="367"/>
        <item x="421"/>
        <item x="187"/>
        <item x="709"/>
        <item x="220"/>
        <item x="782"/>
        <item x="627"/>
        <item x="355"/>
        <item x="669"/>
        <item x="23"/>
        <item x="305"/>
        <item x="745"/>
        <item x="863"/>
        <item x="18"/>
        <item x="676"/>
        <item x="111"/>
        <item x="320"/>
        <item x="740"/>
        <item x="283"/>
        <item x="72"/>
        <item x="463"/>
        <item x="254"/>
        <item x="274"/>
        <item x="860"/>
        <item x="865"/>
        <item x="802"/>
        <item x="154"/>
        <item x="405"/>
        <item x="791"/>
        <item x="523"/>
        <item x="353"/>
        <item x="628"/>
        <item x="789"/>
        <item x="880"/>
        <item x="483"/>
        <item x="933"/>
        <item x="822"/>
        <item x="288"/>
        <item x="524"/>
        <item x="634"/>
        <item x="751"/>
        <item x="74"/>
        <item x="438"/>
        <item x="589"/>
        <item x="813"/>
        <item x="129"/>
        <item x="44"/>
        <item x="393"/>
        <item x="635"/>
        <item x="180"/>
        <item x="249"/>
        <item x="779"/>
        <item x="414"/>
        <item x="793"/>
        <item x="153"/>
        <item x="281"/>
        <item x="34"/>
        <item x="15"/>
        <item x="818"/>
        <item x="265"/>
        <item t="default"/>
      </items>
    </pivotField>
    <pivotField dataField="1"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2" baseField="0" baseItem="0"/>
  </dataFields>
  <chartFormats count="1">
    <chartFormat chart="5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47C5E-AA89-4C03-ABE7-A61C2DA5C4D3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7">
  <location ref="T3:U328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axis="axisRow" showAll="0" sortType="descending">
      <items count="325">
        <item x="263"/>
        <item x="162"/>
        <item x="243"/>
        <item x="313"/>
        <item x="92"/>
        <item x="298"/>
        <item x="58"/>
        <item x="194"/>
        <item x="16"/>
        <item x="54"/>
        <item x="318"/>
        <item x="7"/>
        <item x="272"/>
        <item x="129"/>
        <item x="218"/>
        <item x="295"/>
        <item x="157"/>
        <item x="90"/>
        <item x="120"/>
        <item x="155"/>
        <item x="191"/>
        <item x="126"/>
        <item x="121"/>
        <item x="248"/>
        <item x="36"/>
        <item x="127"/>
        <item x="209"/>
        <item x="84"/>
        <item x="20"/>
        <item x="136"/>
        <item x="160"/>
        <item x="202"/>
        <item x="285"/>
        <item x="196"/>
        <item x="71"/>
        <item x="63"/>
        <item x="69"/>
        <item x="251"/>
        <item x="205"/>
        <item x="279"/>
        <item x="23"/>
        <item x="215"/>
        <item x="233"/>
        <item x="214"/>
        <item x="188"/>
        <item x="252"/>
        <item x="125"/>
        <item x="4"/>
        <item x="45"/>
        <item x="303"/>
        <item x="142"/>
        <item x="289"/>
        <item x="46"/>
        <item x="287"/>
        <item x="8"/>
        <item x="65"/>
        <item x="49"/>
        <item x="116"/>
        <item x="75"/>
        <item x="32"/>
        <item x="267"/>
        <item x="320"/>
        <item x="59"/>
        <item x="280"/>
        <item x="172"/>
        <item x="152"/>
        <item x="212"/>
        <item x="40"/>
        <item x="173"/>
        <item x="159"/>
        <item x="270"/>
        <item x="123"/>
        <item x="29"/>
        <item x="151"/>
        <item x="94"/>
        <item x="309"/>
        <item x="52"/>
        <item x="321"/>
        <item x="225"/>
        <item x="210"/>
        <item x="85"/>
        <item x="181"/>
        <item x="245"/>
        <item x="180"/>
        <item x="31"/>
        <item x="286"/>
        <item x="195"/>
        <item x="304"/>
        <item x="269"/>
        <item x="204"/>
        <item x="124"/>
        <item x="185"/>
        <item x="153"/>
        <item x="10"/>
        <item x="258"/>
        <item x="88"/>
        <item x="86"/>
        <item x="221"/>
        <item x="42"/>
        <item x="300"/>
        <item x="105"/>
        <item x="101"/>
        <item x="131"/>
        <item x="226"/>
        <item x="253"/>
        <item x="35"/>
        <item x="11"/>
        <item x="250"/>
        <item x="200"/>
        <item x="242"/>
        <item x="271"/>
        <item x="134"/>
        <item x="163"/>
        <item x="148"/>
        <item x="268"/>
        <item x="203"/>
        <item x="193"/>
        <item x="239"/>
        <item x="43"/>
        <item x="19"/>
        <item x="97"/>
        <item x="234"/>
        <item x="147"/>
        <item x="190"/>
        <item x="18"/>
        <item x="264"/>
        <item x="13"/>
        <item x="262"/>
        <item x="156"/>
        <item x="183"/>
        <item x="78"/>
        <item x="132"/>
        <item x="256"/>
        <item x="67"/>
        <item x="317"/>
        <item x="111"/>
        <item x="50"/>
        <item x="189"/>
        <item x="216"/>
        <item x="122"/>
        <item x="241"/>
        <item x="30"/>
        <item x="143"/>
        <item x="282"/>
        <item x="91"/>
        <item x="112"/>
        <item x="211"/>
        <item x="25"/>
        <item x="14"/>
        <item x="60"/>
        <item x="302"/>
        <item x="310"/>
        <item x="115"/>
        <item x="231"/>
        <item x="299"/>
        <item x="288"/>
        <item x="260"/>
        <item x="228"/>
        <item x="82"/>
        <item x="235"/>
        <item x="6"/>
        <item x="178"/>
        <item x="81"/>
        <item x="95"/>
        <item x="1"/>
        <item x="145"/>
        <item x="76"/>
        <item x="146"/>
        <item x="230"/>
        <item x="291"/>
        <item x="306"/>
        <item x="301"/>
        <item x="79"/>
        <item x="109"/>
        <item x="89"/>
        <item x="247"/>
        <item x="117"/>
        <item x="168"/>
        <item x="139"/>
        <item x="284"/>
        <item x="64"/>
        <item x="110"/>
        <item x="254"/>
        <item x="219"/>
        <item x="167"/>
        <item x="275"/>
        <item x="229"/>
        <item x="208"/>
        <item x="164"/>
        <item x="223"/>
        <item x="158"/>
        <item x="240"/>
        <item x="99"/>
        <item x="24"/>
        <item x="232"/>
        <item x="41"/>
        <item x="103"/>
        <item x="93"/>
        <item x="12"/>
        <item x="244"/>
        <item x="166"/>
        <item x="236"/>
        <item x="322"/>
        <item x="305"/>
        <item x="255"/>
        <item x="133"/>
        <item x="77"/>
        <item x="0"/>
        <item x="293"/>
        <item x="170"/>
        <item x="83"/>
        <item x="292"/>
        <item x="53"/>
        <item x="74"/>
        <item x="176"/>
        <item x="118"/>
        <item x="259"/>
        <item x="206"/>
        <item x="113"/>
        <item x="108"/>
        <item x="199"/>
        <item x="261"/>
        <item x="227"/>
        <item x="192"/>
        <item x="107"/>
        <item x="22"/>
        <item x="98"/>
        <item x="315"/>
        <item x="177"/>
        <item x="9"/>
        <item x="184"/>
        <item x="44"/>
        <item x="5"/>
        <item x="2"/>
        <item x="144"/>
        <item x="154"/>
        <item x="150"/>
        <item x="51"/>
        <item x="294"/>
        <item x="135"/>
        <item x="171"/>
        <item x="238"/>
        <item x="198"/>
        <item x="141"/>
        <item x="47"/>
        <item x="257"/>
        <item x="15"/>
        <item x="27"/>
        <item x="61"/>
        <item x="312"/>
        <item x="17"/>
        <item x="62"/>
        <item x="311"/>
        <item x="87"/>
        <item x="56"/>
        <item x="182"/>
        <item x="281"/>
        <item x="26"/>
        <item x="265"/>
        <item x="119"/>
        <item x="319"/>
        <item x="57"/>
        <item x="169"/>
        <item x="283"/>
        <item x="137"/>
        <item x="104"/>
        <item x="174"/>
        <item x="307"/>
        <item x="3"/>
        <item x="37"/>
        <item x="28"/>
        <item x="186"/>
        <item x="237"/>
        <item x="187"/>
        <item x="201"/>
        <item x="68"/>
        <item x="273"/>
        <item x="21"/>
        <item x="130"/>
        <item x="222"/>
        <item x="34"/>
        <item x="179"/>
        <item x="246"/>
        <item x="220"/>
        <item x="266"/>
        <item x="48"/>
        <item x="96"/>
        <item x="316"/>
        <item x="128"/>
        <item x="323"/>
        <item x="278"/>
        <item x="161"/>
        <item x="38"/>
        <item x="66"/>
        <item x="224"/>
        <item x="175"/>
        <item x="213"/>
        <item x="138"/>
        <item x="276"/>
        <item x="290"/>
        <item x="39"/>
        <item x="314"/>
        <item x="70"/>
        <item x="277"/>
        <item x="308"/>
        <item x="207"/>
        <item x="249"/>
        <item x="297"/>
        <item x="80"/>
        <item x="33"/>
        <item x="100"/>
        <item x="106"/>
        <item x="296"/>
        <item x="140"/>
        <item x="73"/>
        <item x="72"/>
        <item x="197"/>
        <item x="217"/>
        <item x="165"/>
        <item x="114"/>
        <item x="102"/>
        <item x="274"/>
        <item x="149"/>
        <item x="55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8">
        <item x="12"/>
        <item x="6"/>
        <item x="8"/>
        <item x="5"/>
        <item x="0"/>
        <item x="9"/>
        <item x="16"/>
        <item x="10"/>
        <item x="13"/>
        <item x="3"/>
        <item x="1"/>
        <item x="14"/>
        <item x="4"/>
        <item x="11"/>
        <item x="7"/>
        <item x="15"/>
        <item x="2"/>
        <item t="default"/>
      </items>
    </pivotField>
    <pivotField showAll="0" sortType="descending">
      <items count="944">
        <item x="346"/>
        <item x="218"/>
        <item x="798"/>
        <item x="729"/>
        <item x="614"/>
        <item x="284"/>
        <item x="383"/>
        <item x="116"/>
        <item x="715"/>
        <item x="911"/>
        <item x="629"/>
        <item x="298"/>
        <item x="587"/>
        <item x="359"/>
        <item x="561"/>
        <item x="340"/>
        <item x="423"/>
        <item x="549"/>
        <item x="650"/>
        <item x="411"/>
        <item x="853"/>
        <item x="784"/>
        <item x="302"/>
        <item x="576"/>
        <item x="926"/>
        <item x="683"/>
        <item x="738"/>
        <item x="364"/>
        <item x="42"/>
        <item x="693"/>
        <item x="303"/>
        <item x="831"/>
        <item x="247"/>
        <item x="604"/>
        <item x="613"/>
        <item x="163"/>
        <item x="337"/>
        <item x="156"/>
        <item x="235"/>
        <item x="686"/>
        <item x="4"/>
        <item x="276"/>
        <item x="142"/>
        <item x="610"/>
        <item x="100"/>
        <item x="934"/>
        <item x="677"/>
        <item x="725"/>
        <item x="60"/>
        <item x="856"/>
        <item x="878"/>
        <item x="679"/>
        <item x="250"/>
        <item x="509"/>
        <item x="889"/>
        <item x="490"/>
        <item x="550"/>
        <item x="140"/>
        <item x="574"/>
        <item x="69"/>
        <item x="473"/>
        <item x="525"/>
        <item x="810"/>
        <item x="489"/>
        <item x="929"/>
        <item x="664"/>
        <item x="321"/>
        <item x="160"/>
        <item x="920"/>
        <item x="837"/>
        <item x="900"/>
        <item x="892"/>
        <item x="792"/>
        <item x="436"/>
        <item x="174"/>
        <item x="734"/>
        <item x="556"/>
        <item x="861"/>
        <item x="586"/>
        <item x="295"/>
        <item x="314"/>
        <item x="378"/>
        <item x="442"/>
        <item x="427"/>
        <item x="494"/>
        <item x="573"/>
        <item x="102"/>
        <item x="689"/>
        <item x="918"/>
        <item x="479"/>
        <item x="339"/>
        <item x="420"/>
        <item x="466"/>
        <item x="446"/>
        <item x="866"/>
        <item x="332"/>
        <item x="350"/>
        <item x="468"/>
        <item x="595"/>
        <item x="141"/>
        <item x="151"/>
        <item x="12"/>
        <item x="923"/>
        <item x="722"/>
        <item x="139"/>
        <item x="937"/>
        <item x="495"/>
        <item x="347"/>
        <item x="435"/>
        <item x="885"/>
        <item x="474"/>
        <item x="758"/>
        <item x="847"/>
        <item x="916"/>
        <item x="851"/>
        <item x="193"/>
        <item x="833"/>
        <item x="868"/>
        <item x="25"/>
        <item x="19"/>
        <item x="240"/>
        <item x="504"/>
        <item x="48"/>
        <item x="563"/>
        <item x="941"/>
        <item x="767"/>
        <item x="659"/>
        <item x="409"/>
        <item x="396"/>
        <item x="41"/>
        <item x="152"/>
        <item x="132"/>
        <item x="940"/>
        <item x="251"/>
        <item x="660"/>
        <item x="45"/>
        <item x="225"/>
        <item x="883"/>
        <item x="527"/>
        <item x="662"/>
        <item x="271"/>
        <item x="621"/>
        <item x="808"/>
        <item x="331"/>
        <item x="447"/>
        <item x="804"/>
        <item x="648"/>
        <item x="651"/>
        <item x="91"/>
        <item x="936"/>
        <item x="902"/>
        <item x="584"/>
        <item x="217"/>
        <item x="743"/>
        <item x="639"/>
        <item x="705"/>
        <item x="432"/>
        <item x="77"/>
        <item x="322"/>
        <item x="204"/>
        <item x="942"/>
        <item x="503"/>
        <item x="262"/>
        <item x="128"/>
        <item x="30"/>
        <item x="697"/>
        <item x="155"/>
        <item x="7"/>
        <item x="461"/>
        <item x="726"/>
        <item x="131"/>
        <item x="375"/>
        <item x="707"/>
        <item x="206"/>
        <item x="395"/>
        <item x="361"/>
        <item x="200"/>
        <item x="787"/>
        <item x="343"/>
        <item x="315"/>
        <item x="158"/>
        <item x="70"/>
        <item x="385"/>
        <item x="344"/>
        <item x="505"/>
        <item x="189"/>
        <item x="500"/>
        <item x="591"/>
        <item x="144"/>
        <item x="86"/>
        <item x="365"/>
        <item x="66"/>
        <item x="190"/>
        <item x="159"/>
        <item x="145"/>
        <item x="28"/>
        <item x="776"/>
        <item x="506"/>
        <item x="819"/>
        <item x="756"/>
        <item x="830"/>
        <item x="915"/>
        <item x="273"/>
        <item x="63"/>
        <item x="493"/>
        <item x="770"/>
        <item x="391"/>
        <item x="1"/>
        <item x="501"/>
        <item x="546"/>
        <item x="724"/>
        <item x="434"/>
        <item x="672"/>
        <item x="136"/>
        <item x="712"/>
        <item x="62"/>
        <item x="849"/>
        <item x="219"/>
        <item x="96"/>
        <item x="786"/>
        <item x="522"/>
        <item x="76"/>
        <item x="935"/>
        <item x="80"/>
        <item x="695"/>
        <item x="213"/>
        <item x="537"/>
        <item x="781"/>
        <item x="637"/>
        <item x="777"/>
        <item x="572"/>
        <item x="482"/>
        <item x="518"/>
        <item x="890"/>
        <item x="37"/>
        <item x="552"/>
        <item x="203"/>
        <item x="894"/>
        <item x="399"/>
        <item x="110"/>
        <item x="183"/>
        <item x="104"/>
        <item x="723"/>
        <item x="625"/>
        <item x="485"/>
        <item x="338"/>
        <item x="542"/>
        <item x="114"/>
        <item x="195"/>
        <item x="13"/>
        <item x="390"/>
        <item x="515"/>
        <item x="607"/>
        <item x="282"/>
        <item x="304"/>
        <item x="739"/>
        <item x="685"/>
        <item x="499"/>
        <item x="618"/>
        <item x="236"/>
        <item x="708"/>
        <item x="555"/>
        <item x="85"/>
        <item x="35"/>
        <item x="242"/>
        <item x="207"/>
        <item x="480"/>
        <item x="769"/>
        <item x="185"/>
        <item x="403"/>
        <item x="113"/>
        <item x="852"/>
        <item x="799"/>
        <item x="603"/>
        <item x="601"/>
        <item x="510"/>
        <item x="82"/>
        <item x="675"/>
        <item x="871"/>
        <item x="667"/>
        <item x="820"/>
        <item x="371"/>
        <item x="887"/>
        <item x="64"/>
        <item x="462"/>
        <item x="577"/>
        <item x="413"/>
        <item x="94"/>
        <item x="224"/>
        <item x="658"/>
        <item x="928"/>
        <item x="687"/>
        <item x="410"/>
        <item x="362"/>
        <item x="16"/>
        <item x="205"/>
        <item x="557"/>
        <item x="424"/>
        <item x="593"/>
        <item x="443"/>
        <item x="924"/>
        <item x="75"/>
        <item x="467"/>
        <item x="632"/>
        <item x="516"/>
        <item x="748"/>
        <item x="827"/>
        <item x="588"/>
        <item x="562"/>
        <item x="807"/>
        <item x="814"/>
        <item x="54"/>
        <item x="95"/>
        <item x="133"/>
        <item x="126"/>
        <item x="241"/>
        <item x="585"/>
        <item x="843"/>
        <item x="351"/>
        <item x="645"/>
        <item x="143"/>
        <item x="864"/>
        <item x="619"/>
        <item x="38"/>
        <item x="228"/>
        <item x="706"/>
        <item x="412"/>
        <item x="150"/>
        <item x="90"/>
        <item x="384"/>
        <item x="600"/>
        <item x="788"/>
        <item x="719"/>
        <item x="119"/>
        <item x="583"/>
        <item x="653"/>
        <item x="177"/>
        <item x="9"/>
        <item x="471"/>
        <item x="747"/>
        <item x="897"/>
        <item x="418"/>
        <item x="368"/>
        <item x="551"/>
        <item x="850"/>
        <item x="223"/>
        <item x="255"/>
        <item x="903"/>
        <item x="380"/>
        <item x="197"/>
        <item x="388"/>
        <item x="484"/>
        <item x="817"/>
        <item x="759"/>
        <item x="567"/>
        <item x="470"/>
        <item x="301"/>
        <item x="10"/>
        <item x="134"/>
        <item x="230"/>
        <item x="67"/>
        <item x="571"/>
        <item x="744"/>
        <item x="259"/>
        <item x="486"/>
        <item x="544"/>
        <item x="594"/>
        <item x="452"/>
        <item x="893"/>
        <item x="199"/>
        <item x="232"/>
        <item x="300"/>
        <item x="464"/>
        <item x="771"/>
        <item x="108"/>
        <item x="938"/>
        <item x="834"/>
        <item x="526"/>
        <item x="762"/>
        <item x="519"/>
        <item x="674"/>
        <item x="844"/>
        <item x="341"/>
        <item x="50"/>
        <item x="513"/>
        <item x="92"/>
        <item x="877"/>
        <item x="425"/>
        <item x="841"/>
        <item x="531"/>
        <item x="313"/>
        <item x="922"/>
        <item x="824"/>
        <item x="717"/>
        <item x="336"/>
        <item x="369"/>
        <item x="718"/>
        <item x="226"/>
        <item x="790"/>
        <item x="275"/>
        <item x="52"/>
        <item x="477"/>
        <item x="260"/>
        <item x="243"/>
        <item x="429"/>
        <item x="848"/>
        <item x="775"/>
        <item x="845"/>
        <item x="316"/>
        <item x="39"/>
        <item x="881"/>
        <item x="51"/>
        <item x="826"/>
        <item x="560"/>
        <item x="564"/>
        <item x="49"/>
        <item x="668"/>
        <item x="711"/>
        <item x="854"/>
        <item x="633"/>
        <item x="460"/>
        <item x="656"/>
        <item x="454"/>
        <item x="512"/>
        <item x="345"/>
        <item x="112"/>
        <item x="323"/>
        <item x="312"/>
        <item x="291"/>
        <item x="211"/>
        <item x="458"/>
        <item x="106"/>
        <item x="147"/>
        <item x="171"/>
        <item x="335"/>
        <item x="879"/>
        <item x="453"/>
        <item x="357"/>
        <item x="318"/>
        <item x="263"/>
        <item x="909"/>
        <item x="699"/>
        <item x="532"/>
        <item x="394"/>
        <item x="680"/>
        <item x="733"/>
        <item x="165"/>
        <item x="912"/>
        <item x="540"/>
        <item x="73"/>
        <item x="256"/>
        <item x="431"/>
        <item x="554"/>
        <item x="36"/>
        <item x="859"/>
        <item x="753"/>
        <item x="565"/>
        <item x="914"/>
        <item x="530"/>
        <item x="172"/>
        <item x="528"/>
        <item x="778"/>
        <item x="700"/>
        <item x="186"/>
        <item x="630"/>
        <item x="543"/>
        <item x="21"/>
        <item x="246"/>
        <item x="261"/>
        <item x="855"/>
        <item x="638"/>
        <item x="663"/>
        <item x="839"/>
        <item x="127"/>
        <item x="704"/>
        <item x="553"/>
        <item x="870"/>
        <item x="229"/>
        <item x="311"/>
        <item x="53"/>
        <item x="27"/>
        <item x="624"/>
        <item x="61"/>
        <item x="269"/>
        <item x="334"/>
        <item x="548"/>
        <item x="216"/>
        <item x="233"/>
        <item x="811"/>
        <item x="397"/>
        <item x="257"/>
        <item x="536"/>
        <item x="55"/>
        <item x="146"/>
        <item x="541"/>
        <item x="417"/>
        <item x="166"/>
        <item x="836"/>
        <item x="869"/>
        <item x="287"/>
        <item x="673"/>
        <item x="842"/>
        <item x="400"/>
        <item x="714"/>
        <item x="215"/>
        <item x="547"/>
        <item x="876"/>
        <item x="286"/>
        <item x="354"/>
        <item x="387"/>
        <item x="939"/>
        <item x="652"/>
        <item x="24"/>
        <item x="6"/>
        <item x="728"/>
        <item x="611"/>
        <item x="521"/>
        <item x="31"/>
        <item x="665"/>
        <item x="280"/>
        <item x="688"/>
        <item x="290"/>
        <item x="535"/>
        <item x="408"/>
        <item x="451"/>
        <item x="815"/>
        <item x="896"/>
        <item x="20"/>
        <item x="253"/>
        <item x="713"/>
        <item x="26"/>
        <item x="252"/>
        <item x="684"/>
        <item x="370"/>
        <item x="795"/>
        <item x="238"/>
        <item x="97"/>
        <item x="766"/>
        <item x="101"/>
        <item x="785"/>
        <item x="636"/>
        <item x="816"/>
        <item x="450"/>
        <item x="690"/>
        <item x="179"/>
        <item x="731"/>
        <item x="175"/>
        <item x="11"/>
        <item x="910"/>
        <item x="57"/>
        <item x="201"/>
        <item x="502"/>
        <item x="306"/>
        <item x="899"/>
        <item x="404"/>
        <item x="426"/>
        <item x="768"/>
        <item x="657"/>
        <item x="176"/>
        <item x="692"/>
        <item x="227"/>
        <item x="772"/>
        <item x="292"/>
        <item x="115"/>
        <item x="829"/>
        <item x="596"/>
        <item x="598"/>
        <item x="780"/>
        <item x="270"/>
        <item x="514"/>
        <item x="582"/>
        <item x="727"/>
        <item x="488"/>
        <item x="764"/>
        <item x="858"/>
        <item x="170"/>
        <item x="930"/>
        <item x="377"/>
        <item x="363"/>
        <item x="575"/>
        <item x="419"/>
        <item x="406"/>
        <item x="98"/>
        <item x="319"/>
        <item x="279"/>
        <item x="558"/>
        <item x="626"/>
        <item x="415"/>
        <item x="56"/>
        <item x="606"/>
        <item x="760"/>
        <item x="702"/>
        <item x="360"/>
        <item x="578"/>
        <item x="43"/>
        <item x="592"/>
        <item x="430"/>
        <item x="906"/>
        <item x="330"/>
        <item x="231"/>
        <item x="358"/>
        <item x="8"/>
        <item x="520"/>
        <item x="608"/>
        <item x="440"/>
        <item x="643"/>
        <item x="720"/>
        <item x="754"/>
        <item x="905"/>
        <item x="356"/>
        <item x="5"/>
        <item x="212"/>
        <item x="932"/>
        <item x="386"/>
        <item x="840"/>
        <item x="327"/>
        <item x="310"/>
        <item x="46"/>
        <item x="898"/>
        <item x="545"/>
        <item x="857"/>
        <item x="416"/>
        <item x="120"/>
        <item x="196"/>
        <item x="296"/>
        <item x="921"/>
        <item x="797"/>
        <item x="602"/>
        <item x="248"/>
        <item x="209"/>
        <item x="616"/>
        <item x="88"/>
        <item x="437"/>
        <item x="105"/>
        <item x="168"/>
        <item x="794"/>
        <item x="210"/>
        <item x="828"/>
        <item x="806"/>
        <item x="285"/>
        <item x="433"/>
        <item x="118"/>
        <item x="487"/>
        <item x="299"/>
        <item x="328"/>
        <item x="398"/>
        <item x="597"/>
        <item x="40"/>
        <item x="746"/>
        <item x="444"/>
        <item x="202"/>
        <item x="696"/>
        <item x="590"/>
        <item x="3"/>
        <item x="441"/>
        <item x="694"/>
        <item x="873"/>
        <item x="33"/>
        <item x="469"/>
        <item x="181"/>
        <item x="609"/>
        <item x="17"/>
        <item x="372"/>
        <item x="366"/>
        <item x="691"/>
        <item x="89"/>
        <item x="244"/>
        <item x="103"/>
        <item x="245"/>
        <item x="32"/>
        <item x="927"/>
        <item x="264"/>
        <item x="14"/>
        <item x="835"/>
        <item x="891"/>
        <item x="125"/>
        <item x="783"/>
        <item x="498"/>
        <item x="373"/>
        <item x="901"/>
        <item x="737"/>
        <item x="908"/>
        <item x="169"/>
        <item x="507"/>
        <item x="122"/>
        <item x="615"/>
        <item x="324"/>
        <item x="84"/>
        <item x="268"/>
        <item x="919"/>
        <item x="907"/>
        <item x="917"/>
        <item x="326"/>
        <item x="349"/>
        <item x="886"/>
        <item x="445"/>
        <item x="258"/>
        <item x="148"/>
        <item x="655"/>
        <item x="742"/>
        <item x="654"/>
        <item x="497"/>
        <item x="666"/>
        <item x="579"/>
        <item x="529"/>
        <item x="763"/>
        <item x="428"/>
        <item x="167"/>
        <item x="846"/>
        <item x="348"/>
        <item x="22"/>
        <item x="641"/>
        <item x="121"/>
        <item x="192"/>
        <item x="293"/>
        <item x="184"/>
        <item x="809"/>
        <item x="221"/>
        <item x="559"/>
        <item x="107"/>
        <item x="475"/>
        <item x="448"/>
        <item x="382"/>
        <item x="178"/>
        <item x="272"/>
        <item x="605"/>
        <item x="757"/>
        <item x="508"/>
        <item x="716"/>
        <item x="678"/>
        <item x="812"/>
        <item x="681"/>
        <item x="456"/>
        <item x="237"/>
        <item x="208"/>
        <item x="267"/>
        <item x="721"/>
        <item x="800"/>
        <item x="198"/>
        <item x="173"/>
        <item x="289"/>
        <item x="333"/>
        <item x="0"/>
        <item x="182"/>
        <item x="882"/>
        <item x="459"/>
        <item x="612"/>
        <item x="99"/>
        <item x="511"/>
        <item x="161"/>
        <item x="931"/>
        <item x="623"/>
        <item x="2"/>
        <item x="750"/>
        <item x="117"/>
        <item x="87"/>
        <item x="124"/>
        <item x="773"/>
        <item x="402"/>
        <item x="599"/>
        <item x="481"/>
        <item x="309"/>
        <item x="884"/>
        <item x="904"/>
        <item x="307"/>
        <item x="449"/>
        <item x="710"/>
        <item x="566"/>
        <item x="698"/>
        <item x="644"/>
        <item x="913"/>
        <item x="266"/>
        <item x="135"/>
        <item x="730"/>
        <item x="325"/>
        <item x="83"/>
        <item x="701"/>
        <item x="569"/>
        <item x="755"/>
        <item x="703"/>
        <item x="71"/>
        <item x="352"/>
        <item x="162"/>
        <item x="640"/>
        <item x="457"/>
        <item x="342"/>
        <item x="58"/>
        <item x="825"/>
        <item x="661"/>
        <item x="239"/>
        <item x="278"/>
        <item x="308"/>
        <item x="670"/>
        <item x="376"/>
        <item x="568"/>
        <item x="137"/>
        <item x="381"/>
        <item x="647"/>
        <item x="65"/>
        <item x="297"/>
        <item x="620"/>
        <item x="401"/>
        <item x="465"/>
        <item x="867"/>
        <item x="617"/>
        <item x="191"/>
        <item x="109"/>
        <item x="539"/>
        <item x="439"/>
        <item x="803"/>
        <item x="732"/>
        <item x="214"/>
        <item x="79"/>
        <item x="47"/>
        <item x="389"/>
        <item x="374"/>
        <item x="157"/>
        <item x="749"/>
        <item x="765"/>
        <item x="741"/>
        <item x="761"/>
        <item x="838"/>
        <item x="631"/>
        <item x="194"/>
        <item x="379"/>
        <item x="478"/>
        <item x="29"/>
        <item x="138"/>
        <item x="68"/>
        <item x="492"/>
        <item x="752"/>
        <item x="534"/>
        <item x="874"/>
        <item x="277"/>
        <item x="581"/>
        <item x="472"/>
        <item x="93"/>
        <item x="533"/>
        <item x="796"/>
        <item x="294"/>
        <item x="682"/>
        <item x="642"/>
        <item x="805"/>
        <item x="832"/>
        <item x="455"/>
        <item x="925"/>
        <item x="476"/>
        <item x="895"/>
        <item x="774"/>
        <item x="317"/>
        <item x="491"/>
        <item x="570"/>
        <item x="888"/>
        <item x="872"/>
        <item x="222"/>
        <item x="580"/>
        <item x="407"/>
        <item x="875"/>
        <item x="517"/>
        <item x="862"/>
        <item x="81"/>
        <item x="622"/>
        <item x="736"/>
        <item x="78"/>
        <item x="130"/>
        <item x="735"/>
        <item x="123"/>
        <item x="823"/>
        <item x="821"/>
        <item x="496"/>
        <item x="188"/>
        <item x="392"/>
        <item x="538"/>
        <item x="671"/>
        <item x="329"/>
        <item x="59"/>
        <item x="646"/>
        <item x="234"/>
        <item x="149"/>
        <item x="801"/>
        <item x="422"/>
        <item x="649"/>
        <item x="164"/>
        <item x="367"/>
        <item x="421"/>
        <item x="187"/>
        <item x="709"/>
        <item x="220"/>
        <item x="782"/>
        <item x="627"/>
        <item x="355"/>
        <item x="669"/>
        <item x="23"/>
        <item x="305"/>
        <item x="745"/>
        <item x="863"/>
        <item x="18"/>
        <item x="676"/>
        <item x="111"/>
        <item x="320"/>
        <item x="740"/>
        <item x="283"/>
        <item x="72"/>
        <item x="463"/>
        <item x="254"/>
        <item x="274"/>
        <item x="860"/>
        <item x="865"/>
        <item x="802"/>
        <item x="154"/>
        <item x="405"/>
        <item x="791"/>
        <item x="523"/>
        <item x="353"/>
        <item x="628"/>
        <item x="789"/>
        <item x="880"/>
        <item x="483"/>
        <item x="933"/>
        <item x="822"/>
        <item x="288"/>
        <item x="524"/>
        <item x="634"/>
        <item x="751"/>
        <item x="74"/>
        <item x="438"/>
        <item x="589"/>
        <item x="813"/>
        <item x="129"/>
        <item x="44"/>
        <item x="393"/>
        <item x="635"/>
        <item x="180"/>
        <item x="249"/>
        <item x="779"/>
        <item x="414"/>
        <item x="793"/>
        <item x="153"/>
        <item x="281"/>
        <item x="34"/>
        <item x="15"/>
        <item x="818"/>
        <item x="265"/>
        <item t="default"/>
      </items>
    </pivotField>
    <pivotField dataField="1"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3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 t="grand">
      <x/>
    </i>
  </rowItems>
  <colItems count="1">
    <i/>
  </colItems>
  <dataFields count="1">
    <dataField name="Sum of Sales" fld="12" baseField="0" baseItem="0"/>
  </dataFields>
  <chartFormats count="4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19"/>
          </reference>
        </references>
      </pivotArea>
    </chartFormat>
    <chartFormat chart="3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FA057-46E2-419B-BBDA-D1560B62125C}" name="PivotTable1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0">
  <location ref="AI3:AJ8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 sortType="descending">
      <items count="325">
        <item x="263"/>
        <item x="162"/>
        <item x="243"/>
        <item x="313"/>
        <item x="92"/>
        <item x="298"/>
        <item x="58"/>
        <item x="194"/>
        <item x="16"/>
        <item x="54"/>
        <item x="318"/>
        <item x="7"/>
        <item x="272"/>
        <item x="129"/>
        <item x="218"/>
        <item x="295"/>
        <item x="157"/>
        <item x="90"/>
        <item x="120"/>
        <item x="155"/>
        <item x="191"/>
        <item x="126"/>
        <item x="121"/>
        <item x="248"/>
        <item x="36"/>
        <item x="127"/>
        <item x="209"/>
        <item x="84"/>
        <item x="20"/>
        <item x="136"/>
        <item x="160"/>
        <item x="202"/>
        <item x="285"/>
        <item x="196"/>
        <item x="71"/>
        <item x="63"/>
        <item x="69"/>
        <item x="251"/>
        <item x="205"/>
        <item x="279"/>
        <item x="23"/>
        <item x="215"/>
        <item x="233"/>
        <item x="214"/>
        <item x="188"/>
        <item x="252"/>
        <item x="125"/>
        <item x="4"/>
        <item x="45"/>
        <item x="303"/>
        <item x="142"/>
        <item x="289"/>
        <item x="46"/>
        <item x="287"/>
        <item x="8"/>
        <item x="65"/>
        <item x="49"/>
        <item x="116"/>
        <item x="75"/>
        <item x="32"/>
        <item x="267"/>
        <item x="320"/>
        <item x="59"/>
        <item x="280"/>
        <item x="172"/>
        <item x="152"/>
        <item x="212"/>
        <item x="40"/>
        <item x="173"/>
        <item x="159"/>
        <item x="270"/>
        <item x="123"/>
        <item x="29"/>
        <item x="151"/>
        <item x="94"/>
        <item x="309"/>
        <item x="52"/>
        <item x="321"/>
        <item x="225"/>
        <item x="210"/>
        <item x="85"/>
        <item x="181"/>
        <item x="245"/>
        <item x="180"/>
        <item x="31"/>
        <item x="286"/>
        <item x="195"/>
        <item x="304"/>
        <item x="269"/>
        <item x="204"/>
        <item x="124"/>
        <item x="185"/>
        <item x="153"/>
        <item x="10"/>
        <item x="258"/>
        <item x="88"/>
        <item x="86"/>
        <item x="221"/>
        <item x="42"/>
        <item x="300"/>
        <item x="105"/>
        <item x="101"/>
        <item x="131"/>
        <item x="226"/>
        <item x="253"/>
        <item x="35"/>
        <item x="11"/>
        <item x="250"/>
        <item x="200"/>
        <item x="242"/>
        <item x="271"/>
        <item x="134"/>
        <item x="163"/>
        <item x="148"/>
        <item x="268"/>
        <item x="203"/>
        <item x="193"/>
        <item x="239"/>
        <item x="43"/>
        <item x="19"/>
        <item x="97"/>
        <item x="234"/>
        <item x="147"/>
        <item x="190"/>
        <item x="18"/>
        <item x="264"/>
        <item x="13"/>
        <item x="262"/>
        <item x="156"/>
        <item x="183"/>
        <item x="78"/>
        <item x="132"/>
        <item x="256"/>
        <item x="67"/>
        <item x="317"/>
        <item x="111"/>
        <item x="50"/>
        <item x="189"/>
        <item x="216"/>
        <item x="122"/>
        <item x="241"/>
        <item x="30"/>
        <item x="143"/>
        <item x="282"/>
        <item x="91"/>
        <item x="112"/>
        <item x="211"/>
        <item x="25"/>
        <item x="14"/>
        <item x="60"/>
        <item x="302"/>
        <item x="310"/>
        <item x="115"/>
        <item x="231"/>
        <item x="299"/>
        <item x="288"/>
        <item x="260"/>
        <item x="228"/>
        <item x="82"/>
        <item x="235"/>
        <item x="6"/>
        <item x="178"/>
        <item x="81"/>
        <item x="95"/>
        <item x="1"/>
        <item x="145"/>
        <item x="76"/>
        <item x="146"/>
        <item x="230"/>
        <item x="291"/>
        <item x="306"/>
        <item x="301"/>
        <item x="79"/>
        <item x="109"/>
        <item x="89"/>
        <item x="247"/>
        <item x="117"/>
        <item x="168"/>
        <item x="139"/>
        <item x="284"/>
        <item x="64"/>
        <item x="110"/>
        <item x="254"/>
        <item x="219"/>
        <item x="167"/>
        <item x="275"/>
        <item x="229"/>
        <item x="208"/>
        <item x="164"/>
        <item x="223"/>
        <item x="158"/>
        <item x="240"/>
        <item x="99"/>
        <item x="24"/>
        <item x="232"/>
        <item x="41"/>
        <item x="103"/>
        <item x="93"/>
        <item x="12"/>
        <item x="244"/>
        <item x="166"/>
        <item x="236"/>
        <item x="322"/>
        <item x="305"/>
        <item x="255"/>
        <item x="133"/>
        <item x="77"/>
        <item x="0"/>
        <item x="293"/>
        <item x="170"/>
        <item x="83"/>
        <item x="292"/>
        <item x="53"/>
        <item x="74"/>
        <item x="176"/>
        <item x="118"/>
        <item x="259"/>
        <item x="206"/>
        <item x="113"/>
        <item x="108"/>
        <item x="199"/>
        <item x="261"/>
        <item x="227"/>
        <item x="192"/>
        <item x="107"/>
        <item x="22"/>
        <item x="98"/>
        <item x="315"/>
        <item x="177"/>
        <item x="9"/>
        <item x="184"/>
        <item x="44"/>
        <item x="5"/>
        <item x="2"/>
        <item x="144"/>
        <item x="154"/>
        <item x="150"/>
        <item x="51"/>
        <item x="294"/>
        <item x="135"/>
        <item x="171"/>
        <item x="238"/>
        <item x="198"/>
        <item x="141"/>
        <item x="47"/>
        <item x="257"/>
        <item x="15"/>
        <item x="27"/>
        <item x="61"/>
        <item x="312"/>
        <item x="17"/>
        <item x="62"/>
        <item x="311"/>
        <item x="87"/>
        <item x="56"/>
        <item x="182"/>
        <item x="281"/>
        <item x="26"/>
        <item x="265"/>
        <item x="119"/>
        <item x="319"/>
        <item x="57"/>
        <item x="169"/>
        <item x="283"/>
        <item x="137"/>
        <item x="104"/>
        <item x="174"/>
        <item x="307"/>
        <item x="3"/>
        <item x="37"/>
        <item x="28"/>
        <item x="186"/>
        <item x="237"/>
        <item x="187"/>
        <item x="201"/>
        <item x="68"/>
        <item x="273"/>
        <item x="21"/>
        <item x="130"/>
        <item x="222"/>
        <item x="34"/>
        <item x="179"/>
        <item x="246"/>
        <item x="220"/>
        <item x="266"/>
        <item x="48"/>
        <item x="96"/>
        <item x="316"/>
        <item x="128"/>
        <item x="323"/>
        <item x="278"/>
        <item x="161"/>
        <item x="38"/>
        <item x="66"/>
        <item x="224"/>
        <item x="175"/>
        <item x="213"/>
        <item x="138"/>
        <item x="276"/>
        <item x="290"/>
        <item x="39"/>
        <item x="314"/>
        <item x="70"/>
        <item x="277"/>
        <item x="308"/>
        <item x="207"/>
        <item x="249"/>
        <item x="297"/>
        <item x="80"/>
        <item x="33"/>
        <item x="100"/>
        <item x="106"/>
        <item x="296"/>
        <item x="140"/>
        <item x="73"/>
        <item x="72"/>
        <item x="197"/>
        <item x="217"/>
        <item x="165"/>
        <item x="114"/>
        <item x="102"/>
        <item x="274"/>
        <item x="149"/>
        <item x="55"/>
        <item t="default"/>
      </items>
    </pivotField>
    <pivotField showAll="0">
      <items count="45">
        <item x="19"/>
        <item x="16"/>
        <item x="38"/>
        <item x="1"/>
        <item x="22"/>
        <item x="29"/>
        <item x="13"/>
        <item x="39"/>
        <item x="2"/>
        <item x="32"/>
        <item x="42"/>
        <item x="10"/>
        <item x="14"/>
        <item x="23"/>
        <item x="43"/>
        <item x="0"/>
        <item x="28"/>
        <item x="40"/>
        <item x="31"/>
        <item x="12"/>
        <item x="11"/>
        <item x="35"/>
        <item x="25"/>
        <item x="36"/>
        <item x="8"/>
        <item x="33"/>
        <item x="37"/>
        <item x="30"/>
        <item x="27"/>
        <item x="15"/>
        <item x="3"/>
        <item x="24"/>
        <item x="26"/>
        <item x="21"/>
        <item x="9"/>
        <item x="34"/>
        <item x="20"/>
        <item x="41"/>
        <item x="18"/>
        <item x="5"/>
        <item x="7"/>
        <item x="17"/>
        <item x="4"/>
        <item x="6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8">
        <item x="12"/>
        <item x="6"/>
        <item x="8"/>
        <item x="5"/>
        <item x="0"/>
        <item x="9"/>
        <item x="16"/>
        <item x="10"/>
        <item x="13"/>
        <item x="3"/>
        <item x="1"/>
        <item x="14"/>
        <item x="4"/>
        <item x="11"/>
        <item x="7"/>
        <item x="15"/>
        <item x="2"/>
        <item t="default"/>
      </items>
    </pivotField>
    <pivotField showAll="0" sortType="descending">
      <items count="944">
        <item x="346"/>
        <item x="218"/>
        <item x="798"/>
        <item x="729"/>
        <item x="614"/>
        <item x="284"/>
        <item x="383"/>
        <item x="116"/>
        <item x="715"/>
        <item x="911"/>
        <item x="629"/>
        <item x="298"/>
        <item x="587"/>
        <item x="359"/>
        <item x="561"/>
        <item x="340"/>
        <item x="423"/>
        <item x="549"/>
        <item x="650"/>
        <item x="411"/>
        <item x="853"/>
        <item x="784"/>
        <item x="302"/>
        <item x="576"/>
        <item x="926"/>
        <item x="683"/>
        <item x="738"/>
        <item x="364"/>
        <item x="42"/>
        <item x="693"/>
        <item x="303"/>
        <item x="831"/>
        <item x="247"/>
        <item x="604"/>
        <item x="613"/>
        <item x="163"/>
        <item x="337"/>
        <item x="156"/>
        <item x="235"/>
        <item x="686"/>
        <item x="4"/>
        <item x="276"/>
        <item x="142"/>
        <item x="610"/>
        <item x="100"/>
        <item x="934"/>
        <item x="677"/>
        <item x="725"/>
        <item x="60"/>
        <item x="856"/>
        <item x="878"/>
        <item x="679"/>
        <item x="250"/>
        <item x="509"/>
        <item x="889"/>
        <item x="490"/>
        <item x="550"/>
        <item x="140"/>
        <item x="574"/>
        <item x="69"/>
        <item x="473"/>
        <item x="525"/>
        <item x="810"/>
        <item x="489"/>
        <item x="929"/>
        <item x="664"/>
        <item x="321"/>
        <item x="160"/>
        <item x="920"/>
        <item x="837"/>
        <item x="900"/>
        <item x="892"/>
        <item x="792"/>
        <item x="436"/>
        <item x="174"/>
        <item x="734"/>
        <item x="556"/>
        <item x="861"/>
        <item x="586"/>
        <item x="295"/>
        <item x="314"/>
        <item x="378"/>
        <item x="442"/>
        <item x="427"/>
        <item x="494"/>
        <item x="573"/>
        <item x="102"/>
        <item x="689"/>
        <item x="918"/>
        <item x="479"/>
        <item x="339"/>
        <item x="420"/>
        <item x="466"/>
        <item x="446"/>
        <item x="866"/>
        <item x="332"/>
        <item x="350"/>
        <item x="468"/>
        <item x="595"/>
        <item x="141"/>
        <item x="151"/>
        <item x="12"/>
        <item x="923"/>
        <item x="722"/>
        <item x="139"/>
        <item x="937"/>
        <item x="495"/>
        <item x="347"/>
        <item x="435"/>
        <item x="885"/>
        <item x="474"/>
        <item x="758"/>
        <item x="847"/>
        <item x="916"/>
        <item x="851"/>
        <item x="193"/>
        <item x="833"/>
        <item x="868"/>
        <item x="25"/>
        <item x="19"/>
        <item x="240"/>
        <item x="504"/>
        <item x="48"/>
        <item x="563"/>
        <item x="941"/>
        <item x="767"/>
        <item x="659"/>
        <item x="409"/>
        <item x="396"/>
        <item x="41"/>
        <item x="152"/>
        <item x="132"/>
        <item x="940"/>
        <item x="251"/>
        <item x="660"/>
        <item x="45"/>
        <item x="225"/>
        <item x="883"/>
        <item x="527"/>
        <item x="662"/>
        <item x="271"/>
        <item x="621"/>
        <item x="808"/>
        <item x="331"/>
        <item x="447"/>
        <item x="804"/>
        <item x="648"/>
        <item x="651"/>
        <item x="91"/>
        <item x="936"/>
        <item x="902"/>
        <item x="584"/>
        <item x="217"/>
        <item x="743"/>
        <item x="639"/>
        <item x="705"/>
        <item x="432"/>
        <item x="77"/>
        <item x="322"/>
        <item x="204"/>
        <item x="942"/>
        <item x="503"/>
        <item x="262"/>
        <item x="128"/>
        <item x="30"/>
        <item x="697"/>
        <item x="155"/>
        <item x="7"/>
        <item x="461"/>
        <item x="726"/>
        <item x="131"/>
        <item x="375"/>
        <item x="707"/>
        <item x="206"/>
        <item x="395"/>
        <item x="361"/>
        <item x="200"/>
        <item x="787"/>
        <item x="343"/>
        <item x="315"/>
        <item x="158"/>
        <item x="70"/>
        <item x="385"/>
        <item x="344"/>
        <item x="505"/>
        <item x="189"/>
        <item x="500"/>
        <item x="591"/>
        <item x="144"/>
        <item x="86"/>
        <item x="365"/>
        <item x="66"/>
        <item x="190"/>
        <item x="159"/>
        <item x="145"/>
        <item x="28"/>
        <item x="776"/>
        <item x="506"/>
        <item x="819"/>
        <item x="756"/>
        <item x="830"/>
        <item x="915"/>
        <item x="273"/>
        <item x="63"/>
        <item x="493"/>
        <item x="770"/>
        <item x="391"/>
        <item x="1"/>
        <item x="501"/>
        <item x="546"/>
        <item x="724"/>
        <item x="434"/>
        <item x="672"/>
        <item x="136"/>
        <item x="712"/>
        <item x="62"/>
        <item x="849"/>
        <item x="219"/>
        <item x="96"/>
        <item x="786"/>
        <item x="522"/>
        <item x="76"/>
        <item x="935"/>
        <item x="80"/>
        <item x="695"/>
        <item x="213"/>
        <item x="537"/>
        <item x="781"/>
        <item x="637"/>
        <item x="777"/>
        <item x="572"/>
        <item x="482"/>
        <item x="518"/>
        <item x="890"/>
        <item x="37"/>
        <item x="552"/>
        <item x="203"/>
        <item x="894"/>
        <item x="399"/>
        <item x="110"/>
        <item x="183"/>
        <item x="104"/>
        <item x="723"/>
        <item x="625"/>
        <item x="485"/>
        <item x="338"/>
        <item x="542"/>
        <item x="114"/>
        <item x="195"/>
        <item x="13"/>
        <item x="390"/>
        <item x="515"/>
        <item x="607"/>
        <item x="282"/>
        <item x="304"/>
        <item x="739"/>
        <item x="685"/>
        <item x="499"/>
        <item x="618"/>
        <item x="236"/>
        <item x="708"/>
        <item x="555"/>
        <item x="85"/>
        <item x="35"/>
        <item x="242"/>
        <item x="207"/>
        <item x="480"/>
        <item x="769"/>
        <item x="185"/>
        <item x="403"/>
        <item x="113"/>
        <item x="852"/>
        <item x="799"/>
        <item x="603"/>
        <item x="601"/>
        <item x="510"/>
        <item x="82"/>
        <item x="675"/>
        <item x="871"/>
        <item x="667"/>
        <item x="820"/>
        <item x="371"/>
        <item x="887"/>
        <item x="64"/>
        <item x="462"/>
        <item x="577"/>
        <item x="413"/>
        <item x="94"/>
        <item x="224"/>
        <item x="658"/>
        <item x="928"/>
        <item x="687"/>
        <item x="410"/>
        <item x="362"/>
        <item x="16"/>
        <item x="205"/>
        <item x="557"/>
        <item x="424"/>
        <item x="593"/>
        <item x="443"/>
        <item x="924"/>
        <item x="75"/>
        <item x="467"/>
        <item x="632"/>
        <item x="516"/>
        <item x="748"/>
        <item x="827"/>
        <item x="588"/>
        <item x="562"/>
        <item x="807"/>
        <item x="814"/>
        <item x="54"/>
        <item x="95"/>
        <item x="133"/>
        <item x="126"/>
        <item x="241"/>
        <item x="585"/>
        <item x="843"/>
        <item x="351"/>
        <item x="645"/>
        <item x="143"/>
        <item x="864"/>
        <item x="619"/>
        <item x="38"/>
        <item x="228"/>
        <item x="706"/>
        <item x="412"/>
        <item x="150"/>
        <item x="90"/>
        <item x="384"/>
        <item x="600"/>
        <item x="788"/>
        <item x="719"/>
        <item x="119"/>
        <item x="583"/>
        <item x="653"/>
        <item x="177"/>
        <item x="9"/>
        <item x="471"/>
        <item x="747"/>
        <item x="897"/>
        <item x="418"/>
        <item x="368"/>
        <item x="551"/>
        <item x="850"/>
        <item x="223"/>
        <item x="255"/>
        <item x="903"/>
        <item x="380"/>
        <item x="197"/>
        <item x="388"/>
        <item x="484"/>
        <item x="817"/>
        <item x="759"/>
        <item x="567"/>
        <item x="470"/>
        <item x="301"/>
        <item x="10"/>
        <item x="134"/>
        <item x="230"/>
        <item x="67"/>
        <item x="571"/>
        <item x="744"/>
        <item x="259"/>
        <item x="486"/>
        <item x="544"/>
        <item x="594"/>
        <item x="452"/>
        <item x="893"/>
        <item x="199"/>
        <item x="232"/>
        <item x="300"/>
        <item x="464"/>
        <item x="771"/>
        <item x="108"/>
        <item x="938"/>
        <item x="834"/>
        <item x="526"/>
        <item x="762"/>
        <item x="519"/>
        <item x="674"/>
        <item x="844"/>
        <item x="341"/>
        <item x="50"/>
        <item x="513"/>
        <item x="92"/>
        <item x="877"/>
        <item x="425"/>
        <item x="841"/>
        <item x="531"/>
        <item x="313"/>
        <item x="922"/>
        <item x="824"/>
        <item x="717"/>
        <item x="336"/>
        <item x="369"/>
        <item x="718"/>
        <item x="226"/>
        <item x="790"/>
        <item x="275"/>
        <item x="52"/>
        <item x="477"/>
        <item x="260"/>
        <item x="243"/>
        <item x="429"/>
        <item x="848"/>
        <item x="775"/>
        <item x="845"/>
        <item x="316"/>
        <item x="39"/>
        <item x="881"/>
        <item x="51"/>
        <item x="826"/>
        <item x="560"/>
        <item x="564"/>
        <item x="49"/>
        <item x="668"/>
        <item x="711"/>
        <item x="854"/>
        <item x="633"/>
        <item x="460"/>
        <item x="656"/>
        <item x="454"/>
        <item x="512"/>
        <item x="345"/>
        <item x="112"/>
        <item x="323"/>
        <item x="312"/>
        <item x="291"/>
        <item x="211"/>
        <item x="458"/>
        <item x="106"/>
        <item x="147"/>
        <item x="171"/>
        <item x="335"/>
        <item x="879"/>
        <item x="453"/>
        <item x="357"/>
        <item x="318"/>
        <item x="263"/>
        <item x="909"/>
        <item x="699"/>
        <item x="532"/>
        <item x="394"/>
        <item x="680"/>
        <item x="733"/>
        <item x="165"/>
        <item x="912"/>
        <item x="540"/>
        <item x="73"/>
        <item x="256"/>
        <item x="431"/>
        <item x="554"/>
        <item x="36"/>
        <item x="859"/>
        <item x="753"/>
        <item x="565"/>
        <item x="914"/>
        <item x="530"/>
        <item x="172"/>
        <item x="528"/>
        <item x="778"/>
        <item x="700"/>
        <item x="186"/>
        <item x="630"/>
        <item x="543"/>
        <item x="21"/>
        <item x="246"/>
        <item x="261"/>
        <item x="855"/>
        <item x="638"/>
        <item x="663"/>
        <item x="839"/>
        <item x="127"/>
        <item x="704"/>
        <item x="553"/>
        <item x="870"/>
        <item x="229"/>
        <item x="311"/>
        <item x="53"/>
        <item x="27"/>
        <item x="624"/>
        <item x="61"/>
        <item x="269"/>
        <item x="334"/>
        <item x="548"/>
        <item x="216"/>
        <item x="233"/>
        <item x="811"/>
        <item x="397"/>
        <item x="257"/>
        <item x="536"/>
        <item x="55"/>
        <item x="146"/>
        <item x="541"/>
        <item x="417"/>
        <item x="166"/>
        <item x="836"/>
        <item x="869"/>
        <item x="287"/>
        <item x="673"/>
        <item x="842"/>
        <item x="400"/>
        <item x="714"/>
        <item x="215"/>
        <item x="547"/>
        <item x="876"/>
        <item x="286"/>
        <item x="354"/>
        <item x="387"/>
        <item x="939"/>
        <item x="652"/>
        <item x="24"/>
        <item x="6"/>
        <item x="728"/>
        <item x="611"/>
        <item x="521"/>
        <item x="31"/>
        <item x="665"/>
        <item x="280"/>
        <item x="688"/>
        <item x="290"/>
        <item x="535"/>
        <item x="408"/>
        <item x="451"/>
        <item x="815"/>
        <item x="896"/>
        <item x="20"/>
        <item x="253"/>
        <item x="713"/>
        <item x="26"/>
        <item x="252"/>
        <item x="684"/>
        <item x="370"/>
        <item x="795"/>
        <item x="238"/>
        <item x="97"/>
        <item x="766"/>
        <item x="101"/>
        <item x="785"/>
        <item x="636"/>
        <item x="816"/>
        <item x="450"/>
        <item x="690"/>
        <item x="179"/>
        <item x="731"/>
        <item x="175"/>
        <item x="11"/>
        <item x="910"/>
        <item x="57"/>
        <item x="201"/>
        <item x="502"/>
        <item x="306"/>
        <item x="899"/>
        <item x="404"/>
        <item x="426"/>
        <item x="768"/>
        <item x="657"/>
        <item x="176"/>
        <item x="692"/>
        <item x="227"/>
        <item x="772"/>
        <item x="292"/>
        <item x="115"/>
        <item x="829"/>
        <item x="596"/>
        <item x="598"/>
        <item x="780"/>
        <item x="270"/>
        <item x="514"/>
        <item x="582"/>
        <item x="727"/>
        <item x="488"/>
        <item x="764"/>
        <item x="858"/>
        <item x="170"/>
        <item x="930"/>
        <item x="377"/>
        <item x="363"/>
        <item x="575"/>
        <item x="419"/>
        <item x="406"/>
        <item x="98"/>
        <item x="319"/>
        <item x="279"/>
        <item x="558"/>
        <item x="626"/>
        <item x="415"/>
        <item x="56"/>
        <item x="606"/>
        <item x="760"/>
        <item x="702"/>
        <item x="360"/>
        <item x="578"/>
        <item x="43"/>
        <item x="592"/>
        <item x="430"/>
        <item x="906"/>
        <item x="330"/>
        <item x="231"/>
        <item x="358"/>
        <item x="8"/>
        <item x="520"/>
        <item x="608"/>
        <item x="440"/>
        <item x="643"/>
        <item x="720"/>
        <item x="754"/>
        <item x="905"/>
        <item x="356"/>
        <item x="5"/>
        <item x="212"/>
        <item x="932"/>
        <item x="386"/>
        <item x="840"/>
        <item x="327"/>
        <item x="310"/>
        <item x="46"/>
        <item x="898"/>
        <item x="545"/>
        <item x="857"/>
        <item x="416"/>
        <item x="120"/>
        <item x="196"/>
        <item x="296"/>
        <item x="921"/>
        <item x="797"/>
        <item x="602"/>
        <item x="248"/>
        <item x="209"/>
        <item x="616"/>
        <item x="88"/>
        <item x="437"/>
        <item x="105"/>
        <item x="168"/>
        <item x="794"/>
        <item x="210"/>
        <item x="828"/>
        <item x="806"/>
        <item x="285"/>
        <item x="433"/>
        <item x="118"/>
        <item x="487"/>
        <item x="299"/>
        <item x="328"/>
        <item x="398"/>
        <item x="597"/>
        <item x="40"/>
        <item x="746"/>
        <item x="444"/>
        <item x="202"/>
        <item x="696"/>
        <item x="590"/>
        <item x="3"/>
        <item x="441"/>
        <item x="694"/>
        <item x="873"/>
        <item x="33"/>
        <item x="469"/>
        <item x="181"/>
        <item x="609"/>
        <item x="17"/>
        <item x="372"/>
        <item x="366"/>
        <item x="691"/>
        <item x="89"/>
        <item x="244"/>
        <item x="103"/>
        <item x="245"/>
        <item x="32"/>
        <item x="927"/>
        <item x="264"/>
        <item x="14"/>
        <item x="835"/>
        <item x="891"/>
        <item x="125"/>
        <item x="783"/>
        <item x="498"/>
        <item x="373"/>
        <item x="901"/>
        <item x="737"/>
        <item x="908"/>
        <item x="169"/>
        <item x="507"/>
        <item x="122"/>
        <item x="615"/>
        <item x="324"/>
        <item x="84"/>
        <item x="268"/>
        <item x="919"/>
        <item x="907"/>
        <item x="917"/>
        <item x="326"/>
        <item x="349"/>
        <item x="886"/>
        <item x="445"/>
        <item x="258"/>
        <item x="148"/>
        <item x="655"/>
        <item x="742"/>
        <item x="654"/>
        <item x="497"/>
        <item x="666"/>
        <item x="579"/>
        <item x="529"/>
        <item x="763"/>
        <item x="428"/>
        <item x="167"/>
        <item x="846"/>
        <item x="348"/>
        <item x="22"/>
        <item x="641"/>
        <item x="121"/>
        <item x="192"/>
        <item x="293"/>
        <item x="184"/>
        <item x="809"/>
        <item x="221"/>
        <item x="559"/>
        <item x="107"/>
        <item x="475"/>
        <item x="448"/>
        <item x="382"/>
        <item x="178"/>
        <item x="272"/>
        <item x="605"/>
        <item x="757"/>
        <item x="508"/>
        <item x="716"/>
        <item x="678"/>
        <item x="812"/>
        <item x="681"/>
        <item x="456"/>
        <item x="237"/>
        <item x="208"/>
        <item x="267"/>
        <item x="721"/>
        <item x="800"/>
        <item x="198"/>
        <item x="173"/>
        <item x="289"/>
        <item x="333"/>
        <item x="0"/>
        <item x="182"/>
        <item x="882"/>
        <item x="459"/>
        <item x="612"/>
        <item x="99"/>
        <item x="511"/>
        <item x="161"/>
        <item x="931"/>
        <item x="623"/>
        <item x="2"/>
        <item x="750"/>
        <item x="117"/>
        <item x="87"/>
        <item x="124"/>
        <item x="773"/>
        <item x="402"/>
        <item x="599"/>
        <item x="481"/>
        <item x="309"/>
        <item x="884"/>
        <item x="904"/>
        <item x="307"/>
        <item x="449"/>
        <item x="710"/>
        <item x="566"/>
        <item x="698"/>
        <item x="644"/>
        <item x="913"/>
        <item x="266"/>
        <item x="135"/>
        <item x="730"/>
        <item x="325"/>
        <item x="83"/>
        <item x="701"/>
        <item x="569"/>
        <item x="755"/>
        <item x="703"/>
        <item x="71"/>
        <item x="352"/>
        <item x="162"/>
        <item x="640"/>
        <item x="457"/>
        <item x="342"/>
        <item x="58"/>
        <item x="825"/>
        <item x="661"/>
        <item x="239"/>
        <item x="278"/>
        <item x="308"/>
        <item x="670"/>
        <item x="376"/>
        <item x="568"/>
        <item x="137"/>
        <item x="381"/>
        <item x="647"/>
        <item x="65"/>
        <item x="297"/>
        <item x="620"/>
        <item x="401"/>
        <item x="465"/>
        <item x="867"/>
        <item x="617"/>
        <item x="191"/>
        <item x="109"/>
        <item x="539"/>
        <item x="439"/>
        <item x="803"/>
        <item x="732"/>
        <item x="214"/>
        <item x="79"/>
        <item x="47"/>
        <item x="389"/>
        <item x="374"/>
        <item x="157"/>
        <item x="749"/>
        <item x="765"/>
        <item x="741"/>
        <item x="761"/>
        <item x="838"/>
        <item x="631"/>
        <item x="194"/>
        <item x="379"/>
        <item x="478"/>
        <item x="29"/>
        <item x="138"/>
        <item x="68"/>
        <item x="492"/>
        <item x="752"/>
        <item x="534"/>
        <item x="874"/>
        <item x="277"/>
        <item x="581"/>
        <item x="472"/>
        <item x="93"/>
        <item x="533"/>
        <item x="796"/>
        <item x="294"/>
        <item x="682"/>
        <item x="642"/>
        <item x="805"/>
        <item x="832"/>
        <item x="455"/>
        <item x="925"/>
        <item x="476"/>
        <item x="895"/>
        <item x="774"/>
        <item x="317"/>
        <item x="491"/>
        <item x="570"/>
        <item x="888"/>
        <item x="872"/>
        <item x="222"/>
        <item x="580"/>
        <item x="407"/>
        <item x="875"/>
        <item x="517"/>
        <item x="862"/>
        <item x="81"/>
        <item x="622"/>
        <item x="736"/>
        <item x="78"/>
        <item x="130"/>
        <item x="735"/>
        <item x="123"/>
        <item x="823"/>
        <item x="821"/>
        <item x="496"/>
        <item x="188"/>
        <item x="392"/>
        <item x="538"/>
        <item x="671"/>
        <item x="329"/>
        <item x="59"/>
        <item x="646"/>
        <item x="234"/>
        <item x="149"/>
        <item x="801"/>
        <item x="422"/>
        <item x="649"/>
        <item x="164"/>
        <item x="367"/>
        <item x="421"/>
        <item x="187"/>
        <item x="709"/>
        <item x="220"/>
        <item x="782"/>
        <item x="627"/>
        <item x="355"/>
        <item x="669"/>
        <item x="23"/>
        <item x="305"/>
        <item x="745"/>
        <item x="863"/>
        <item x="18"/>
        <item x="676"/>
        <item x="111"/>
        <item x="320"/>
        <item x="740"/>
        <item x="283"/>
        <item x="72"/>
        <item x="463"/>
        <item x="254"/>
        <item x="274"/>
        <item x="860"/>
        <item x="865"/>
        <item x="802"/>
        <item x="154"/>
        <item x="405"/>
        <item x="791"/>
        <item x="523"/>
        <item x="353"/>
        <item x="628"/>
        <item x="789"/>
        <item x="880"/>
        <item x="483"/>
        <item x="933"/>
        <item x="822"/>
        <item x="288"/>
        <item x="524"/>
        <item x="634"/>
        <item x="751"/>
        <item x="74"/>
        <item x="438"/>
        <item x="589"/>
        <item x="813"/>
        <item x="129"/>
        <item x="44"/>
        <item x="393"/>
        <item x="635"/>
        <item x="180"/>
        <item x="249"/>
        <item x="779"/>
        <item x="414"/>
        <item x="793"/>
        <item x="153"/>
        <item x="281"/>
        <item x="34"/>
        <item x="15"/>
        <item x="818"/>
        <item x="265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5" baseField="0" baseItem="0"/>
  </dataFields>
  <chartFormats count="4"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CDB24-7FEA-4657-9A48-0FAFD8205BCF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1">
  <location ref="K3:L21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 sortType="descending">
      <items count="325">
        <item x="263"/>
        <item x="162"/>
        <item x="243"/>
        <item x="313"/>
        <item x="92"/>
        <item x="298"/>
        <item x="58"/>
        <item x="194"/>
        <item x="16"/>
        <item x="54"/>
        <item x="318"/>
        <item x="7"/>
        <item x="272"/>
        <item x="129"/>
        <item x="218"/>
        <item x="295"/>
        <item x="157"/>
        <item x="90"/>
        <item x="120"/>
        <item x="155"/>
        <item x="191"/>
        <item x="126"/>
        <item x="121"/>
        <item x="248"/>
        <item x="36"/>
        <item x="127"/>
        <item x="209"/>
        <item x="84"/>
        <item x="20"/>
        <item x="136"/>
        <item x="160"/>
        <item x="202"/>
        <item x="285"/>
        <item x="196"/>
        <item x="71"/>
        <item x="63"/>
        <item x="69"/>
        <item x="251"/>
        <item x="205"/>
        <item x="279"/>
        <item x="23"/>
        <item x="215"/>
        <item x="233"/>
        <item x="214"/>
        <item x="188"/>
        <item x="252"/>
        <item x="125"/>
        <item x="4"/>
        <item x="45"/>
        <item x="303"/>
        <item x="142"/>
        <item x="289"/>
        <item x="46"/>
        <item x="287"/>
        <item x="8"/>
        <item x="65"/>
        <item x="49"/>
        <item x="116"/>
        <item x="75"/>
        <item x="32"/>
        <item x="267"/>
        <item x="320"/>
        <item x="59"/>
        <item x="280"/>
        <item x="172"/>
        <item x="152"/>
        <item x="212"/>
        <item x="40"/>
        <item x="173"/>
        <item x="159"/>
        <item x="270"/>
        <item x="123"/>
        <item x="29"/>
        <item x="151"/>
        <item x="94"/>
        <item x="309"/>
        <item x="52"/>
        <item x="321"/>
        <item x="225"/>
        <item x="210"/>
        <item x="85"/>
        <item x="181"/>
        <item x="245"/>
        <item x="180"/>
        <item x="31"/>
        <item x="286"/>
        <item x="195"/>
        <item x="304"/>
        <item x="269"/>
        <item x="204"/>
        <item x="124"/>
        <item x="185"/>
        <item x="153"/>
        <item x="10"/>
        <item x="258"/>
        <item x="88"/>
        <item x="86"/>
        <item x="221"/>
        <item x="42"/>
        <item x="300"/>
        <item x="105"/>
        <item x="101"/>
        <item x="131"/>
        <item x="226"/>
        <item x="253"/>
        <item x="35"/>
        <item x="11"/>
        <item x="250"/>
        <item x="200"/>
        <item x="242"/>
        <item x="271"/>
        <item x="134"/>
        <item x="163"/>
        <item x="148"/>
        <item x="268"/>
        <item x="203"/>
        <item x="193"/>
        <item x="239"/>
        <item x="43"/>
        <item x="19"/>
        <item x="97"/>
        <item x="234"/>
        <item x="147"/>
        <item x="190"/>
        <item x="18"/>
        <item x="264"/>
        <item x="13"/>
        <item x="262"/>
        <item x="156"/>
        <item x="183"/>
        <item x="78"/>
        <item x="132"/>
        <item x="256"/>
        <item x="67"/>
        <item x="317"/>
        <item x="111"/>
        <item x="50"/>
        <item x="189"/>
        <item x="216"/>
        <item x="122"/>
        <item x="241"/>
        <item x="30"/>
        <item x="143"/>
        <item x="282"/>
        <item x="91"/>
        <item x="112"/>
        <item x="211"/>
        <item x="25"/>
        <item x="14"/>
        <item x="60"/>
        <item x="302"/>
        <item x="310"/>
        <item x="115"/>
        <item x="231"/>
        <item x="299"/>
        <item x="288"/>
        <item x="260"/>
        <item x="228"/>
        <item x="82"/>
        <item x="235"/>
        <item x="6"/>
        <item x="178"/>
        <item x="81"/>
        <item x="95"/>
        <item x="1"/>
        <item x="145"/>
        <item x="76"/>
        <item x="146"/>
        <item x="230"/>
        <item x="291"/>
        <item x="306"/>
        <item x="301"/>
        <item x="79"/>
        <item x="109"/>
        <item x="89"/>
        <item x="247"/>
        <item x="117"/>
        <item x="168"/>
        <item x="139"/>
        <item x="284"/>
        <item x="64"/>
        <item x="110"/>
        <item x="254"/>
        <item x="219"/>
        <item x="167"/>
        <item x="275"/>
        <item x="229"/>
        <item x="208"/>
        <item x="164"/>
        <item x="223"/>
        <item x="158"/>
        <item x="240"/>
        <item x="99"/>
        <item x="24"/>
        <item x="232"/>
        <item x="41"/>
        <item x="103"/>
        <item x="93"/>
        <item x="12"/>
        <item x="244"/>
        <item x="166"/>
        <item x="236"/>
        <item x="322"/>
        <item x="305"/>
        <item x="255"/>
        <item x="133"/>
        <item x="77"/>
        <item x="0"/>
        <item x="293"/>
        <item x="170"/>
        <item x="83"/>
        <item x="292"/>
        <item x="53"/>
        <item x="74"/>
        <item x="176"/>
        <item x="118"/>
        <item x="259"/>
        <item x="206"/>
        <item x="113"/>
        <item x="108"/>
        <item x="199"/>
        <item x="261"/>
        <item x="227"/>
        <item x="192"/>
        <item x="107"/>
        <item x="22"/>
        <item x="98"/>
        <item x="315"/>
        <item x="177"/>
        <item x="9"/>
        <item x="184"/>
        <item x="44"/>
        <item x="5"/>
        <item x="2"/>
        <item x="144"/>
        <item x="154"/>
        <item x="150"/>
        <item x="51"/>
        <item x="294"/>
        <item x="135"/>
        <item x="171"/>
        <item x="238"/>
        <item x="198"/>
        <item x="141"/>
        <item x="47"/>
        <item x="257"/>
        <item x="15"/>
        <item x="27"/>
        <item x="61"/>
        <item x="312"/>
        <item x="17"/>
        <item x="62"/>
        <item x="311"/>
        <item x="87"/>
        <item x="56"/>
        <item x="182"/>
        <item x="281"/>
        <item x="26"/>
        <item x="265"/>
        <item x="119"/>
        <item x="319"/>
        <item x="57"/>
        <item x="169"/>
        <item x="283"/>
        <item x="137"/>
        <item x="104"/>
        <item x="174"/>
        <item x="307"/>
        <item x="3"/>
        <item x="37"/>
        <item x="28"/>
        <item x="186"/>
        <item x="237"/>
        <item x="187"/>
        <item x="201"/>
        <item x="68"/>
        <item x="273"/>
        <item x="21"/>
        <item x="130"/>
        <item x="222"/>
        <item x="34"/>
        <item x="179"/>
        <item x="246"/>
        <item x="220"/>
        <item x="266"/>
        <item x="48"/>
        <item x="96"/>
        <item x="316"/>
        <item x="128"/>
        <item x="323"/>
        <item x="278"/>
        <item x="161"/>
        <item x="38"/>
        <item x="66"/>
        <item x="224"/>
        <item x="175"/>
        <item x="213"/>
        <item x="138"/>
        <item x="276"/>
        <item x="290"/>
        <item x="39"/>
        <item x="314"/>
        <item x="70"/>
        <item x="277"/>
        <item x="308"/>
        <item x="207"/>
        <item x="249"/>
        <item x="297"/>
        <item x="80"/>
        <item x="33"/>
        <item x="100"/>
        <item x="106"/>
        <item x="296"/>
        <item x="140"/>
        <item x="73"/>
        <item x="72"/>
        <item x="197"/>
        <item x="217"/>
        <item x="165"/>
        <item x="114"/>
        <item x="102"/>
        <item x="274"/>
        <item x="149"/>
        <item x="55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18">
        <item x="12"/>
        <item x="6"/>
        <item x="8"/>
        <item x="5"/>
        <item x="0"/>
        <item x="9"/>
        <item x="16"/>
        <item x="10"/>
        <item x="13"/>
        <item x="3"/>
        <item x="1"/>
        <item x="14"/>
        <item x="4"/>
        <item x="11"/>
        <item x="7"/>
        <item x="15"/>
        <item x="2"/>
        <item t="default"/>
      </items>
    </pivotField>
    <pivotField showAll="0" sortType="descending">
      <items count="944">
        <item x="346"/>
        <item x="218"/>
        <item x="798"/>
        <item x="729"/>
        <item x="614"/>
        <item x="284"/>
        <item x="383"/>
        <item x="116"/>
        <item x="715"/>
        <item x="911"/>
        <item x="629"/>
        <item x="298"/>
        <item x="587"/>
        <item x="359"/>
        <item x="561"/>
        <item x="340"/>
        <item x="423"/>
        <item x="549"/>
        <item x="650"/>
        <item x="411"/>
        <item x="853"/>
        <item x="784"/>
        <item x="302"/>
        <item x="576"/>
        <item x="926"/>
        <item x="683"/>
        <item x="738"/>
        <item x="364"/>
        <item x="42"/>
        <item x="693"/>
        <item x="303"/>
        <item x="831"/>
        <item x="247"/>
        <item x="604"/>
        <item x="613"/>
        <item x="163"/>
        <item x="337"/>
        <item x="156"/>
        <item x="235"/>
        <item x="686"/>
        <item x="4"/>
        <item x="276"/>
        <item x="142"/>
        <item x="610"/>
        <item x="100"/>
        <item x="934"/>
        <item x="677"/>
        <item x="725"/>
        <item x="60"/>
        <item x="856"/>
        <item x="878"/>
        <item x="679"/>
        <item x="250"/>
        <item x="509"/>
        <item x="889"/>
        <item x="490"/>
        <item x="550"/>
        <item x="140"/>
        <item x="574"/>
        <item x="69"/>
        <item x="473"/>
        <item x="525"/>
        <item x="810"/>
        <item x="489"/>
        <item x="929"/>
        <item x="664"/>
        <item x="321"/>
        <item x="160"/>
        <item x="920"/>
        <item x="837"/>
        <item x="900"/>
        <item x="892"/>
        <item x="792"/>
        <item x="436"/>
        <item x="174"/>
        <item x="734"/>
        <item x="556"/>
        <item x="861"/>
        <item x="586"/>
        <item x="295"/>
        <item x="314"/>
        <item x="378"/>
        <item x="442"/>
        <item x="427"/>
        <item x="494"/>
        <item x="573"/>
        <item x="102"/>
        <item x="689"/>
        <item x="918"/>
        <item x="479"/>
        <item x="339"/>
        <item x="420"/>
        <item x="466"/>
        <item x="446"/>
        <item x="866"/>
        <item x="332"/>
        <item x="350"/>
        <item x="468"/>
        <item x="595"/>
        <item x="141"/>
        <item x="151"/>
        <item x="12"/>
        <item x="923"/>
        <item x="722"/>
        <item x="139"/>
        <item x="937"/>
        <item x="495"/>
        <item x="347"/>
        <item x="435"/>
        <item x="885"/>
        <item x="474"/>
        <item x="758"/>
        <item x="847"/>
        <item x="916"/>
        <item x="851"/>
        <item x="193"/>
        <item x="833"/>
        <item x="868"/>
        <item x="25"/>
        <item x="19"/>
        <item x="240"/>
        <item x="504"/>
        <item x="48"/>
        <item x="563"/>
        <item x="941"/>
        <item x="767"/>
        <item x="659"/>
        <item x="409"/>
        <item x="396"/>
        <item x="41"/>
        <item x="152"/>
        <item x="132"/>
        <item x="940"/>
        <item x="251"/>
        <item x="660"/>
        <item x="45"/>
        <item x="225"/>
        <item x="883"/>
        <item x="527"/>
        <item x="662"/>
        <item x="271"/>
        <item x="621"/>
        <item x="808"/>
        <item x="331"/>
        <item x="447"/>
        <item x="804"/>
        <item x="648"/>
        <item x="651"/>
        <item x="91"/>
        <item x="936"/>
        <item x="902"/>
        <item x="584"/>
        <item x="217"/>
        <item x="743"/>
        <item x="639"/>
        <item x="705"/>
        <item x="432"/>
        <item x="77"/>
        <item x="322"/>
        <item x="204"/>
        <item x="942"/>
        <item x="503"/>
        <item x="262"/>
        <item x="128"/>
        <item x="30"/>
        <item x="697"/>
        <item x="155"/>
        <item x="7"/>
        <item x="461"/>
        <item x="726"/>
        <item x="131"/>
        <item x="375"/>
        <item x="707"/>
        <item x="206"/>
        <item x="395"/>
        <item x="361"/>
        <item x="200"/>
        <item x="787"/>
        <item x="343"/>
        <item x="315"/>
        <item x="158"/>
        <item x="70"/>
        <item x="385"/>
        <item x="344"/>
        <item x="505"/>
        <item x="189"/>
        <item x="500"/>
        <item x="591"/>
        <item x="144"/>
        <item x="86"/>
        <item x="365"/>
        <item x="66"/>
        <item x="190"/>
        <item x="159"/>
        <item x="145"/>
        <item x="28"/>
        <item x="776"/>
        <item x="506"/>
        <item x="819"/>
        <item x="756"/>
        <item x="830"/>
        <item x="915"/>
        <item x="273"/>
        <item x="63"/>
        <item x="493"/>
        <item x="770"/>
        <item x="391"/>
        <item x="1"/>
        <item x="501"/>
        <item x="546"/>
        <item x="724"/>
        <item x="434"/>
        <item x="672"/>
        <item x="136"/>
        <item x="712"/>
        <item x="62"/>
        <item x="849"/>
        <item x="219"/>
        <item x="96"/>
        <item x="786"/>
        <item x="522"/>
        <item x="76"/>
        <item x="935"/>
        <item x="80"/>
        <item x="695"/>
        <item x="213"/>
        <item x="537"/>
        <item x="781"/>
        <item x="637"/>
        <item x="777"/>
        <item x="572"/>
        <item x="482"/>
        <item x="518"/>
        <item x="890"/>
        <item x="37"/>
        <item x="552"/>
        <item x="203"/>
        <item x="894"/>
        <item x="399"/>
        <item x="110"/>
        <item x="183"/>
        <item x="104"/>
        <item x="723"/>
        <item x="625"/>
        <item x="485"/>
        <item x="338"/>
        <item x="542"/>
        <item x="114"/>
        <item x="195"/>
        <item x="13"/>
        <item x="390"/>
        <item x="515"/>
        <item x="607"/>
        <item x="282"/>
        <item x="304"/>
        <item x="739"/>
        <item x="685"/>
        <item x="499"/>
        <item x="618"/>
        <item x="236"/>
        <item x="708"/>
        <item x="555"/>
        <item x="85"/>
        <item x="35"/>
        <item x="242"/>
        <item x="207"/>
        <item x="480"/>
        <item x="769"/>
        <item x="185"/>
        <item x="403"/>
        <item x="113"/>
        <item x="852"/>
        <item x="799"/>
        <item x="603"/>
        <item x="601"/>
        <item x="510"/>
        <item x="82"/>
        <item x="675"/>
        <item x="871"/>
        <item x="667"/>
        <item x="820"/>
        <item x="371"/>
        <item x="887"/>
        <item x="64"/>
        <item x="462"/>
        <item x="577"/>
        <item x="413"/>
        <item x="94"/>
        <item x="224"/>
        <item x="658"/>
        <item x="928"/>
        <item x="687"/>
        <item x="410"/>
        <item x="362"/>
        <item x="16"/>
        <item x="205"/>
        <item x="557"/>
        <item x="424"/>
        <item x="593"/>
        <item x="443"/>
        <item x="924"/>
        <item x="75"/>
        <item x="467"/>
        <item x="632"/>
        <item x="516"/>
        <item x="748"/>
        <item x="827"/>
        <item x="588"/>
        <item x="562"/>
        <item x="807"/>
        <item x="814"/>
        <item x="54"/>
        <item x="95"/>
        <item x="133"/>
        <item x="126"/>
        <item x="241"/>
        <item x="585"/>
        <item x="843"/>
        <item x="351"/>
        <item x="645"/>
        <item x="143"/>
        <item x="864"/>
        <item x="619"/>
        <item x="38"/>
        <item x="228"/>
        <item x="706"/>
        <item x="412"/>
        <item x="150"/>
        <item x="90"/>
        <item x="384"/>
        <item x="600"/>
        <item x="788"/>
        <item x="719"/>
        <item x="119"/>
        <item x="583"/>
        <item x="653"/>
        <item x="177"/>
        <item x="9"/>
        <item x="471"/>
        <item x="747"/>
        <item x="897"/>
        <item x="418"/>
        <item x="368"/>
        <item x="551"/>
        <item x="850"/>
        <item x="223"/>
        <item x="255"/>
        <item x="903"/>
        <item x="380"/>
        <item x="197"/>
        <item x="388"/>
        <item x="484"/>
        <item x="817"/>
        <item x="759"/>
        <item x="567"/>
        <item x="470"/>
        <item x="301"/>
        <item x="10"/>
        <item x="134"/>
        <item x="230"/>
        <item x="67"/>
        <item x="571"/>
        <item x="744"/>
        <item x="259"/>
        <item x="486"/>
        <item x="544"/>
        <item x="594"/>
        <item x="452"/>
        <item x="893"/>
        <item x="199"/>
        <item x="232"/>
        <item x="300"/>
        <item x="464"/>
        <item x="771"/>
        <item x="108"/>
        <item x="938"/>
        <item x="834"/>
        <item x="526"/>
        <item x="762"/>
        <item x="519"/>
        <item x="674"/>
        <item x="844"/>
        <item x="341"/>
        <item x="50"/>
        <item x="513"/>
        <item x="92"/>
        <item x="877"/>
        <item x="425"/>
        <item x="841"/>
        <item x="531"/>
        <item x="313"/>
        <item x="922"/>
        <item x="824"/>
        <item x="717"/>
        <item x="336"/>
        <item x="369"/>
        <item x="718"/>
        <item x="226"/>
        <item x="790"/>
        <item x="275"/>
        <item x="52"/>
        <item x="477"/>
        <item x="260"/>
        <item x="243"/>
        <item x="429"/>
        <item x="848"/>
        <item x="775"/>
        <item x="845"/>
        <item x="316"/>
        <item x="39"/>
        <item x="881"/>
        <item x="51"/>
        <item x="826"/>
        <item x="560"/>
        <item x="564"/>
        <item x="49"/>
        <item x="668"/>
        <item x="711"/>
        <item x="854"/>
        <item x="633"/>
        <item x="460"/>
        <item x="656"/>
        <item x="454"/>
        <item x="512"/>
        <item x="345"/>
        <item x="112"/>
        <item x="323"/>
        <item x="312"/>
        <item x="291"/>
        <item x="211"/>
        <item x="458"/>
        <item x="106"/>
        <item x="147"/>
        <item x="171"/>
        <item x="335"/>
        <item x="879"/>
        <item x="453"/>
        <item x="357"/>
        <item x="318"/>
        <item x="263"/>
        <item x="909"/>
        <item x="699"/>
        <item x="532"/>
        <item x="394"/>
        <item x="680"/>
        <item x="733"/>
        <item x="165"/>
        <item x="912"/>
        <item x="540"/>
        <item x="73"/>
        <item x="256"/>
        <item x="431"/>
        <item x="554"/>
        <item x="36"/>
        <item x="859"/>
        <item x="753"/>
        <item x="565"/>
        <item x="914"/>
        <item x="530"/>
        <item x="172"/>
        <item x="528"/>
        <item x="778"/>
        <item x="700"/>
        <item x="186"/>
        <item x="630"/>
        <item x="543"/>
        <item x="21"/>
        <item x="246"/>
        <item x="261"/>
        <item x="855"/>
        <item x="638"/>
        <item x="663"/>
        <item x="839"/>
        <item x="127"/>
        <item x="704"/>
        <item x="553"/>
        <item x="870"/>
        <item x="229"/>
        <item x="311"/>
        <item x="53"/>
        <item x="27"/>
        <item x="624"/>
        <item x="61"/>
        <item x="269"/>
        <item x="334"/>
        <item x="548"/>
        <item x="216"/>
        <item x="233"/>
        <item x="811"/>
        <item x="397"/>
        <item x="257"/>
        <item x="536"/>
        <item x="55"/>
        <item x="146"/>
        <item x="541"/>
        <item x="417"/>
        <item x="166"/>
        <item x="836"/>
        <item x="869"/>
        <item x="287"/>
        <item x="673"/>
        <item x="842"/>
        <item x="400"/>
        <item x="714"/>
        <item x="215"/>
        <item x="547"/>
        <item x="876"/>
        <item x="286"/>
        <item x="354"/>
        <item x="387"/>
        <item x="939"/>
        <item x="652"/>
        <item x="24"/>
        <item x="6"/>
        <item x="728"/>
        <item x="611"/>
        <item x="521"/>
        <item x="31"/>
        <item x="665"/>
        <item x="280"/>
        <item x="688"/>
        <item x="290"/>
        <item x="535"/>
        <item x="408"/>
        <item x="451"/>
        <item x="815"/>
        <item x="896"/>
        <item x="20"/>
        <item x="253"/>
        <item x="713"/>
        <item x="26"/>
        <item x="252"/>
        <item x="684"/>
        <item x="370"/>
        <item x="795"/>
        <item x="238"/>
        <item x="97"/>
        <item x="766"/>
        <item x="101"/>
        <item x="785"/>
        <item x="636"/>
        <item x="816"/>
        <item x="450"/>
        <item x="690"/>
        <item x="179"/>
        <item x="731"/>
        <item x="175"/>
        <item x="11"/>
        <item x="910"/>
        <item x="57"/>
        <item x="201"/>
        <item x="502"/>
        <item x="306"/>
        <item x="899"/>
        <item x="404"/>
        <item x="426"/>
        <item x="768"/>
        <item x="657"/>
        <item x="176"/>
        <item x="692"/>
        <item x="227"/>
        <item x="772"/>
        <item x="292"/>
        <item x="115"/>
        <item x="829"/>
        <item x="596"/>
        <item x="598"/>
        <item x="780"/>
        <item x="270"/>
        <item x="514"/>
        <item x="582"/>
        <item x="727"/>
        <item x="488"/>
        <item x="764"/>
        <item x="858"/>
        <item x="170"/>
        <item x="930"/>
        <item x="377"/>
        <item x="363"/>
        <item x="575"/>
        <item x="419"/>
        <item x="406"/>
        <item x="98"/>
        <item x="319"/>
        <item x="279"/>
        <item x="558"/>
        <item x="626"/>
        <item x="415"/>
        <item x="56"/>
        <item x="606"/>
        <item x="760"/>
        <item x="702"/>
        <item x="360"/>
        <item x="578"/>
        <item x="43"/>
        <item x="592"/>
        <item x="430"/>
        <item x="906"/>
        <item x="330"/>
        <item x="231"/>
        <item x="358"/>
        <item x="8"/>
        <item x="520"/>
        <item x="608"/>
        <item x="440"/>
        <item x="643"/>
        <item x="720"/>
        <item x="754"/>
        <item x="905"/>
        <item x="356"/>
        <item x="5"/>
        <item x="212"/>
        <item x="932"/>
        <item x="386"/>
        <item x="840"/>
        <item x="327"/>
        <item x="310"/>
        <item x="46"/>
        <item x="898"/>
        <item x="545"/>
        <item x="857"/>
        <item x="416"/>
        <item x="120"/>
        <item x="196"/>
        <item x="296"/>
        <item x="921"/>
        <item x="797"/>
        <item x="602"/>
        <item x="248"/>
        <item x="209"/>
        <item x="616"/>
        <item x="88"/>
        <item x="437"/>
        <item x="105"/>
        <item x="168"/>
        <item x="794"/>
        <item x="210"/>
        <item x="828"/>
        <item x="806"/>
        <item x="285"/>
        <item x="433"/>
        <item x="118"/>
        <item x="487"/>
        <item x="299"/>
        <item x="328"/>
        <item x="398"/>
        <item x="597"/>
        <item x="40"/>
        <item x="746"/>
        <item x="444"/>
        <item x="202"/>
        <item x="696"/>
        <item x="590"/>
        <item x="3"/>
        <item x="441"/>
        <item x="694"/>
        <item x="873"/>
        <item x="33"/>
        <item x="469"/>
        <item x="181"/>
        <item x="609"/>
        <item x="17"/>
        <item x="372"/>
        <item x="366"/>
        <item x="691"/>
        <item x="89"/>
        <item x="244"/>
        <item x="103"/>
        <item x="245"/>
        <item x="32"/>
        <item x="927"/>
        <item x="264"/>
        <item x="14"/>
        <item x="835"/>
        <item x="891"/>
        <item x="125"/>
        <item x="783"/>
        <item x="498"/>
        <item x="373"/>
        <item x="901"/>
        <item x="737"/>
        <item x="908"/>
        <item x="169"/>
        <item x="507"/>
        <item x="122"/>
        <item x="615"/>
        <item x="324"/>
        <item x="84"/>
        <item x="268"/>
        <item x="919"/>
        <item x="907"/>
        <item x="917"/>
        <item x="326"/>
        <item x="349"/>
        <item x="886"/>
        <item x="445"/>
        <item x="258"/>
        <item x="148"/>
        <item x="655"/>
        <item x="742"/>
        <item x="654"/>
        <item x="497"/>
        <item x="666"/>
        <item x="579"/>
        <item x="529"/>
        <item x="763"/>
        <item x="428"/>
        <item x="167"/>
        <item x="846"/>
        <item x="348"/>
        <item x="22"/>
        <item x="641"/>
        <item x="121"/>
        <item x="192"/>
        <item x="293"/>
        <item x="184"/>
        <item x="809"/>
        <item x="221"/>
        <item x="559"/>
        <item x="107"/>
        <item x="475"/>
        <item x="448"/>
        <item x="382"/>
        <item x="178"/>
        <item x="272"/>
        <item x="605"/>
        <item x="757"/>
        <item x="508"/>
        <item x="716"/>
        <item x="678"/>
        <item x="812"/>
        <item x="681"/>
        <item x="456"/>
        <item x="237"/>
        <item x="208"/>
        <item x="267"/>
        <item x="721"/>
        <item x="800"/>
        <item x="198"/>
        <item x="173"/>
        <item x="289"/>
        <item x="333"/>
        <item x="0"/>
        <item x="182"/>
        <item x="882"/>
        <item x="459"/>
        <item x="612"/>
        <item x="99"/>
        <item x="511"/>
        <item x="161"/>
        <item x="931"/>
        <item x="623"/>
        <item x="2"/>
        <item x="750"/>
        <item x="117"/>
        <item x="87"/>
        <item x="124"/>
        <item x="773"/>
        <item x="402"/>
        <item x="599"/>
        <item x="481"/>
        <item x="309"/>
        <item x="884"/>
        <item x="904"/>
        <item x="307"/>
        <item x="449"/>
        <item x="710"/>
        <item x="566"/>
        <item x="698"/>
        <item x="644"/>
        <item x="913"/>
        <item x="266"/>
        <item x="135"/>
        <item x="730"/>
        <item x="325"/>
        <item x="83"/>
        <item x="701"/>
        <item x="569"/>
        <item x="755"/>
        <item x="703"/>
        <item x="71"/>
        <item x="352"/>
        <item x="162"/>
        <item x="640"/>
        <item x="457"/>
        <item x="342"/>
        <item x="58"/>
        <item x="825"/>
        <item x="661"/>
        <item x="239"/>
        <item x="278"/>
        <item x="308"/>
        <item x="670"/>
        <item x="376"/>
        <item x="568"/>
        <item x="137"/>
        <item x="381"/>
        <item x="647"/>
        <item x="65"/>
        <item x="297"/>
        <item x="620"/>
        <item x="401"/>
        <item x="465"/>
        <item x="867"/>
        <item x="617"/>
        <item x="191"/>
        <item x="109"/>
        <item x="539"/>
        <item x="439"/>
        <item x="803"/>
        <item x="732"/>
        <item x="214"/>
        <item x="79"/>
        <item x="47"/>
        <item x="389"/>
        <item x="374"/>
        <item x="157"/>
        <item x="749"/>
        <item x="765"/>
        <item x="741"/>
        <item x="761"/>
        <item x="838"/>
        <item x="631"/>
        <item x="194"/>
        <item x="379"/>
        <item x="478"/>
        <item x="29"/>
        <item x="138"/>
        <item x="68"/>
        <item x="492"/>
        <item x="752"/>
        <item x="534"/>
        <item x="874"/>
        <item x="277"/>
        <item x="581"/>
        <item x="472"/>
        <item x="93"/>
        <item x="533"/>
        <item x="796"/>
        <item x="294"/>
        <item x="682"/>
        <item x="642"/>
        <item x="805"/>
        <item x="832"/>
        <item x="455"/>
        <item x="925"/>
        <item x="476"/>
        <item x="895"/>
        <item x="774"/>
        <item x="317"/>
        <item x="491"/>
        <item x="570"/>
        <item x="888"/>
        <item x="872"/>
        <item x="222"/>
        <item x="580"/>
        <item x="407"/>
        <item x="875"/>
        <item x="517"/>
        <item x="862"/>
        <item x="81"/>
        <item x="622"/>
        <item x="736"/>
        <item x="78"/>
        <item x="130"/>
        <item x="735"/>
        <item x="123"/>
        <item x="823"/>
        <item x="821"/>
        <item x="496"/>
        <item x="188"/>
        <item x="392"/>
        <item x="538"/>
        <item x="671"/>
        <item x="329"/>
        <item x="59"/>
        <item x="646"/>
        <item x="234"/>
        <item x="149"/>
        <item x="801"/>
        <item x="422"/>
        <item x="649"/>
        <item x="164"/>
        <item x="367"/>
        <item x="421"/>
        <item x="187"/>
        <item x="709"/>
        <item x="220"/>
        <item x="782"/>
        <item x="627"/>
        <item x="355"/>
        <item x="669"/>
        <item x="23"/>
        <item x="305"/>
        <item x="745"/>
        <item x="863"/>
        <item x="18"/>
        <item x="676"/>
        <item x="111"/>
        <item x="320"/>
        <item x="740"/>
        <item x="283"/>
        <item x="72"/>
        <item x="463"/>
        <item x="254"/>
        <item x="274"/>
        <item x="860"/>
        <item x="865"/>
        <item x="802"/>
        <item x="154"/>
        <item x="405"/>
        <item x="791"/>
        <item x="523"/>
        <item x="353"/>
        <item x="628"/>
        <item x="789"/>
        <item x="880"/>
        <item x="483"/>
        <item x="933"/>
        <item x="822"/>
        <item x="288"/>
        <item x="524"/>
        <item x="634"/>
        <item x="751"/>
        <item x="74"/>
        <item x="438"/>
        <item x="589"/>
        <item x="813"/>
        <item x="129"/>
        <item x="44"/>
        <item x="393"/>
        <item x="635"/>
        <item x="180"/>
        <item x="249"/>
        <item x="779"/>
        <item x="414"/>
        <item x="793"/>
        <item x="153"/>
        <item x="281"/>
        <item x="34"/>
        <item x="15"/>
        <item x="818"/>
        <item x="265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15" baseField="0" baseItem="0"/>
  </dataFields>
  <chartFormats count="1"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E56D1-8E47-4FF5-AE4D-99E56816291B}" name="PivotTable1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2">
  <location ref="AR3:AS8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 sortType="descending">
      <items count="325">
        <item x="263"/>
        <item x="162"/>
        <item x="243"/>
        <item x="313"/>
        <item x="92"/>
        <item x="298"/>
        <item x="58"/>
        <item x="194"/>
        <item x="16"/>
        <item x="54"/>
        <item x="318"/>
        <item x="7"/>
        <item x="272"/>
        <item x="129"/>
        <item x="218"/>
        <item x="295"/>
        <item x="157"/>
        <item x="90"/>
        <item x="120"/>
        <item x="155"/>
        <item x="191"/>
        <item x="126"/>
        <item x="121"/>
        <item x="248"/>
        <item x="36"/>
        <item x="127"/>
        <item x="209"/>
        <item x="84"/>
        <item x="20"/>
        <item x="136"/>
        <item x="160"/>
        <item x="202"/>
        <item x="285"/>
        <item x="196"/>
        <item x="71"/>
        <item x="63"/>
        <item x="69"/>
        <item x="251"/>
        <item x="205"/>
        <item x="279"/>
        <item x="23"/>
        <item x="215"/>
        <item x="233"/>
        <item x="214"/>
        <item x="188"/>
        <item x="252"/>
        <item x="125"/>
        <item x="4"/>
        <item x="45"/>
        <item x="303"/>
        <item x="142"/>
        <item x="289"/>
        <item x="46"/>
        <item x="287"/>
        <item x="8"/>
        <item x="65"/>
        <item x="49"/>
        <item x="116"/>
        <item x="75"/>
        <item x="32"/>
        <item x="267"/>
        <item x="320"/>
        <item x="59"/>
        <item x="280"/>
        <item x="172"/>
        <item x="152"/>
        <item x="212"/>
        <item x="40"/>
        <item x="173"/>
        <item x="159"/>
        <item x="270"/>
        <item x="123"/>
        <item x="29"/>
        <item x="151"/>
        <item x="94"/>
        <item x="309"/>
        <item x="52"/>
        <item x="321"/>
        <item x="225"/>
        <item x="210"/>
        <item x="85"/>
        <item x="181"/>
        <item x="245"/>
        <item x="180"/>
        <item x="31"/>
        <item x="286"/>
        <item x="195"/>
        <item x="304"/>
        <item x="269"/>
        <item x="204"/>
        <item x="124"/>
        <item x="185"/>
        <item x="153"/>
        <item x="10"/>
        <item x="258"/>
        <item x="88"/>
        <item x="86"/>
        <item x="221"/>
        <item x="42"/>
        <item x="300"/>
        <item x="105"/>
        <item x="101"/>
        <item x="131"/>
        <item x="226"/>
        <item x="253"/>
        <item x="35"/>
        <item x="11"/>
        <item x="250"/>
        <item x="200"/>
        <item x="242"/>
        <item x="271"/>
        <item x="134"/>
        <item x="163"/>
        <item x="148"/>
        <item x="268"/>
        <item x="203"/>
        <item x="193"/>
        <item x="239"/>
        <item x="43"/>
        <item x="19"/>
        <item x="97"/>
        <item x="234"/>
        <item x="147"/>
        <item x="190"/>
        <item x="18"/>
        <item x="264"/>
        <item x="13"/>
        <item x="262"/>
        <item x="156"/>
        <item x="183"/>
        <item x="78"/>
        <item x="132"/>
        <item x="256"/>
        <item x="67"/>
        <item x="317"/>
        <item x="111"/>
        <item x="50"/>
        <item x="189"/>
        <item x="216"/>
        <item x="122"/>
        <item x="241"/>
        <item x="30"/>
        <item x="143"/>
        <item x="282"/>
        <item x="91"/>
        <item x="112"/>
        <item x="211"/>
        <item x="25"/>
        <item x="14"/>
        <item x="60"/>
        <item x="302"/>
        <item x="310"/>
        <item x="115"/>
        <item x="231"/>
        <item x="299"/>
        <item x="288"/>
        <item x="260"/>
        <item x="228"/>
        <item x="82"/>
        <item x="235"/>
        <item x="6"/>
        <item x="178"/>
        <item x="81"/>
        <item x="95"/>
        <item x="1"/>
        <item x="145"/>
        <item x="76"/>
        <item x="146"/>
        <item x="230"/>
        <item x="291"/>
        <item x="306"/>
        <item x="301"/>
        <item x="79"/>
        <item x="109"/>
        <item x="89"/>
        <item x="247"/>
        <item x="117"/>
        <item x="168"/>
        <item x="139"/>
        <item x="284"/>
        <item x="64"/>
        <item x="110"/>
        <item x="254"/>
        <item x="219"/>
        <item x="167"/>
        <item x="275"/>
        <item x="229"/>
        <item x="208"/>
        <item x="164"/>
        <item x="223"/>
        <item x="158"/>
        <item x="240"/>
        <item x="99"/>
        <item x="24"/>
        <item x="232"/>
        <item x="41"/>
        <item x="103"/>
        <item x="93"/>
        <item x="12"/>
        <item x="244"/>
        <item x="166"/>
        <item x="236"/>
        <item x="322"/>
        <item x="305"/>
        <item x="255"/>
        <item x="133"/>
        <item x="77"/>
        <item x="0"/>
        <item x="293"/>
        <item x="170"/>
        <item x="83"/>
        <item x="292"/>
        <item x="53"/>
        <item x="74"/>
        <item x="176"/>
        <item x="118"/>
        <item x="259"/>
        <item x="206"/>
        <item x="113"/>
        <item x="108"/>
        <item x="199"/>
        <item x="261"/>
        <item x="227"/>
        <item x="192"/>
        <item x="107"/>
        <item x="22"/>
        <item x="98"/>
        <item x="315"/>
        <item x="177"/>
        <item x="9"/>
        <item x="184"/>
        <item x="44"/>
        <item x="5"/>
        <item x="2"/>
        <item x="144"/>
        <item x="154"/>
        <item x="150"/>
        <item x="51"/>
        <item x="294"/>
        <item x="135"/>
        <item x="171"/>
        <item x="238"/>
        <item x="198"/>
        <item x="141"/>
        <item x="47"/>
        <item x="257"/>
        <item x="15"/>
        <item x="27"/>
        <item x="61"/>
        <item x="312"/>
        <item x="17"/>
        <item x="62"/>
        <item x="311"/>
        <item x="87"/>
        <item x="56"/>
        <item x="182"/>
        <item x="281"/>
        <item x="26"/>
        <item x="265"/>
        <item x="119"/>
        <item x="319"/>
        <item x="57"/>
        <item x="169"/>
        <item x="283"/>
        <item x="137"/>
        <item x="104"/>
        <item x="174"/>
        <item x="307"/>
        <item x="3"/>
        <item x="37"/>
        <item x="28"/>
        <item x="186"/>
        <item x="237"/>
        <item x="187"/>
        <item x="201"/>
        <item x="68"/>
        <item x="273"/>
        <item x="21"/>
        <item x="130"/>
        <item x="222"/>
        <item x="34"/>
        <item x="179"/>
        <item x="246"/>
        <item x="220"/>
        <item x="266"/>
        <item x="48"/>
        <item x="96"/>
        <item x="316"/>
        <item x="128"/>
        <item x="323"/>
        <item x="278"/>
        <item x="161"/>
        <item x="38"/>
        <item x="66"/>
        <item x="224"/>
        <item x="175"/>
        <item x="213"/>
        <item x="138"/>
        <item x="276"/>
        <item x="290"/>
        <item x="39"/>
        <item x="314"/>
        <item x="70"/>
        <item x="277"/>
        <item x="308"/>
        <item x="207"/>
        <item x="249"/>
        <item x="297"/>
        <item x="80"/>
        <item x="33"/>
        <item x="100"/>
        <item x="106"/>
        <item x="296"/>
        <item x="140"/>
        <item x="73"/>
        <item x="72"/>
        <item x="197"/>
        <item x="217"/>
        <item x="165"/>
        <item x="114"/>
        <item x="102"/>
        <item x="274"/>
        <item x="149"/>
        <item x="55"/>
        <item t="default"/>
      </items>
    </pivotField>
    <pivotField showAll="0">
      <items count="45">
        <item x="19"/>
        <item x="16"/>
        <item x="38"/>
        <item x="1"/>
        <item x="22"/>
        <item x="29"/>
        <item x="13"/>
        <item x="39"/>
        <item x="2"/>
        <item x="32"/>
        <item x="42"/>
        <item x="10"/>
        <item x="14"/>
        <item x="23"/>
        <item x="43"/>
        <item x="0"/>
        <item x="28"/>
        <item x="40"/>
        <item x="31"/>
        <item x="12"/>
        <item x="11"/>
        <item x="35"/>
        <item x="25"/>
        <item x="36"/>
        <item x="8"/>
        <item x="33"/>
        <item x="37"/>
        <item x="30"/>
        <item x="27"/>
        <item x="15"/>
        <item x="3"/>
        <item x="24"/>
        <item x="26"/>
        <item x="21"/>
        <item x="9"/>
        <item x="34"/>
        <item x="20"/>
        <item x="41"/>
        <item x="18"/>
        <item x="5"/>
        <item x="7"/>
        <item x="17"/>
        <item x="4"/>
        <item x="6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8">
        <item x="12"/>
        <item x="6"/>
        <item x="8"/>
        <item x="5"/>
        <item x="0"/>
        <item x="9"/>
        <item x="16"/>
        <item x="10"/>
        <item x="13"/>
        <item x="3"/>
        <item x="1"/>
        <item x="14"/>
        <item x="4"/>
        <item x="11"/>
        <item x="7"/>
        <item x="15"/>
        <item x="2"/>
        <item t="default"/>
      </items>
    </pivotField>
    <pivotField showAll="0" sortType="descending">
      <items count="944">
        <item x="346"/>
        <item x="218"/>
        <item x="798"/>
        <item x="729"/>
        <item x="614"/>
        <item x="284"/>
        <item x="383"/>
        <item x="116"/>
        <item x="715"/>
        <item x="911"/>
        <item x="629"/>
        <item x="298"/>
        <item x="587"/>
        <item x="359"/>
        <item x="561"/>
        <item x="340"/>
        <item x="423"/>
        <item x="549"/>
        <item x="650"/>
        <item x="411"/>
        <item x="853"/>
        <item x="784"/>
        <item x="302"/>
        <item x="576"/>
        <item x="926"/>
        <item x="683"/>
        <item x="738"/>
        <item x="364"/>
        <item x="42"/>
        <item x="693"/>
        <item x="303"/>
        <item x="831"/>
        <item x="247"/>
        <item x="604"/>
        <item x="613"/>
        <item x="163"/>
        <item x="337"/>
        <item x="156"/>
        <item x="235"/>
        <item x="686"/>
        <item x="4"/>
        <item x="276"/>
        <item x="142"/>
        <item x="610"/>
        <item x="100"/>
        <item x="934"/>
        <item x="677"/>
        <item x="725"/>
        <item x="60"/>
        <item x="856"/>
        <item x="878"/>
        <item x="679"/>
        <item x="250"/>
        <item x="509"/>
        <item x="889"/>
        <item x="490"/>
        <item x="550"/>
        <item x="140"/>
        <item x="574"/>
        <item x="69"/>
        <item x="473"/>
        <item x="525"/>
        <item x="810"/>
        <item x="489"/>
        <item x="929"/>
        <item x="664"/>
        <item x="321"/>
        <item x="160"/>
        <item x="920"/>
        <item x="837"/>
        <item x="900"/>
        <item x="892"/>
        <item x="792"/>
        <item x="436"/>
        <item x="174"/>
        <item x="734"/>
        <item x="556"/>
        <item x="861"/>
        <item x="586"/>
        <item x="295"/>
        <item x="314"/>
        <item x="378"/>
        <item x="442"/>
        <item x="427"/>
        <item x="494"/>
        <item x="573"/>
        <item x="102"/>
        <item x="689"/>
        <item x="918"/>
        <item x="479"/>
        <item x="339"/>
        <item x="420"/>
        <item x="466"/>
        <item x="446"/>
        <item x="866"/>
        <item x="332"/>
        <item x="350"/>
        <item x="468"/>
        <item x="595"/>
        <item x="141"/>
        <item x="151"/>
        <item x="12"/>
        <item x="923"/>
        <item x="722"/>
        <item x="139"/>
        <item x="937"/>
        <item x="495"/>
        <item x="347"/>
        <item x="435"/>
        <item x="885"/>
        <item x="474"/>
        <item x="758"/>
        <item x="847"/>
        <item x="916"/>
        <item x="851"/>
        <item x="193"/>
        <item x="833"/>
        <item x="868"/>
        <item x="25"/>
        <item x="19"/>
        <item x="240"/>
        <item x="504"/>
        <item x="48"/>
        <item x="563"/>
        <item x="941"/>
        <item x="767"/>
        <item x="659"/>
        <item x="409"/>
        <item x="396"/>
        <item x="41"/>
        <item x="152"/>
        <item x="132"/>
        <item x="940"/>
        <item x="251"/>
        <item x="660"/>
        <item x="45"/>
        <item x="225"/>
        <item x="883"/>
        <item x="527"/>
        <item x="662"/>
        <item x="271"/>
        <item x="621"/>
        <item x="808"/>
        <item x="331"/>
        <item x="447"/>
        <item x="804"/>
        <item x="648"/>
        <item x="651"/>
        <item x="91"/>
        <item x="936"/>
        <item x="902"/>
        <item x="584"/>
        <item x="217"/>
        <item x="743"/>
        <item x="639"/>
        <item x="705"/>
        <item x="432"/>
        <item x="77"/>
        <item x="322"/>
        <item x="204"/>
        <item x="942"/>
        <item x="503"/>
        <item x="262"/>
        <item x="128"/>
        <item x="30"/>
        <item x="697"/>
        <item x="155"/>
        <item x="7"/>
        <item x="461"/>
        <item x="726"/>
        <item x="131"/>
        <item x="375"/>
        <item x="707"/>
        <item x="206"/>
        <item x="395"/>
        <item x="361"/>
        <item x="200"/>
        <item x="787"/>
        <item x="343"/>
        <item x="315"/>
        <item x="158"/>
        <item x="70"/>
        <item x="385"/>
        <item x="344"/>
        <item x="505"/>
        <item x="189"/>
        <item x="500"/>
        <item x="591"/>
        <item x="144"/>
        <item x="86"/>
        <item x="365"/>
        <item x="66"/>
        <item x="190"/>
        <item x="159"/>
        <item x="145"/>
        <item x="28"/>
        <item x="776"/>
        <item x="506"/>
        <item x="819"/>
        <item x="756"/>
        <item x="830"/>
        <item x="915"/>
        <item x="273"/>
        <item x="63"/>
        <item x="493"/>
        <item x="770"/>
        <item x="391"/>
        <item x="1"/>
        <item x="501"/>
        <item x="546"/>
        <item x="724"/>
        <item x="434"/>
        <item x="672"/>
        <item x="136"/>
        <item x="712"/>
        <item x="62"/>
        <item x="849"/>
        <item x="219"/>
        <item x="96"/>
        <item x="786"/>
        <item x="522"/>
        <item x="76"/>
        <item x="935"/>
        <item x="80"/>
        <item x="695"/>
        <item x="213"/>
        <item x="537"/>
        <item x="781"/>
        <item x="637"/>
        <item x="777"/>
        <item x="572"/>
        <item x="482"/>
        <item x="518"/>
        <item x="890"/>
        <item x="37"/>
        <item x="552"/>
        <item x="203"/>
        <item x="894"/>
        <item x="399"/>
        <item x="110"/>
        <item x="183"/>
        <item x="104"/>
        <item x="723"/>
        <item x="625"/>
        <item x="485"/>
        <item x="338"/>
        <item x="542"/>
        <item x="114"/>
        <item x="195"/>
        <item x="13"/>
        <item x="390"/>
        <item x="515"/>
        <item x="607"/>
        <item x="282"/>
        <item x="304"/>
        <item x="739"/>
        <item x="685"/>
        <item x="499"/>
        <item x="618"/>
        <item x="236"/>
        <item x="708"/>
        <item x="555"/>
        <item x="85"/>
        <item x="35"/>
        <item x="242"/>
        <item x="207"/>
        <item x="480"/>
        <item x="769"/>
        <item x="185"/>
        <item x="403"/>
        <item x="113"/>
        <item x="852"/>
        <item x="799"/>
        <item x="603"/>
        <item x="601"/>
        <item x="510"/>
        <item x="82"/>
        <item x="675"/>
        <item x="871"/>
        <item x="667"/>
        <item x="820"/>
        <item x="371"/>
        <item x="887"/>
        <item x="64"/>
        <item x="462"/>
        <item x="577"/>
        <item x="413"/>
        <item x="94"/>
        <item x="224"/>
        <item x="658"/>
        <item x="928"/>
        <item x="687"/>
        <item x="410"/>
        <item x="362"/>
        <item x="16"/>
        <item x="205"/>
        <item x="557"/>
        <item x="424"/>
        <item x="593"/>
        <item x="443"/>
        <item x="924"/>
        <item x="75"/>
        <item x="467"/>
        <item x="632"/>
        <item x="516"/>
        <item x="748"/>
        <item x="827"/>
        <item x="588"/>
        <item x="562"/>
        <item x="807"/>
        <item x="814"/>
        <item x="54"/>
        <item x="95"/>
        <item x="133"/>
        <item x="126"/>
        <item x="241"/>
        <item x="585"/>
        <item x="843"/>
        <item x="351"/>
        <item x="645"/>
        <item x="143"/>
        <item x="864"/>
        <item x="619"/>
        <item x="38"/>
        <item x="228"/>
        <item x="706"/>
        <item x="412"/>
        <item x="150"/>
        <item x="90"/>
        <item x="384"/>
        <item x="600"/>
        <item x="788"/>
        <item x="719"/>
        <item x="119"/>
        <item x="583"/>
        <item x="653"/>
        <item x="177"/>
        <item x="9"/>
        <item x="471"/>
        <item x="747"/>
        <item x="897"/>
        <item x="418"/>
        <item x="368"/>
        <item x="551"/>
        <item x="850"/>
        <item x="223"/>
        <item x="255"/>
        <item x="903"/>
        <item x="380"/>
        <item x="197"/>
        <item x="388"/>
        <item x="484"/>
        <item x="817"/>
        <item x="759"/>
        <item x="567"/>
        <item x="470"/>
        <item x="301"/>
        <item x="10"/>
        <item x="134"/>
        <item x="230"/>
        <item x="67"/>
        <item x="571"/>
        <item x="744"/>
        <item x="259"/>
        <item x="486"/>
        <item x="544"/>
        <item x="594"/>
        <item x="452"/>
        <item x="893"/>
        <item x="199"/>
        <item x="232"/>
        <item x="300"/>
        <item x="464"/>
        <item x="771"/>
        <item x="108"/>
        <item x="938"/>
        <item x="834"/>
        <item x="526"/>
        <item x="762"/>
        <item x="519"/>
        <item x="674"/>
        <item x="844"/>
        <item x="341"/>
        <item x="50"/>
        <item x="513"/>
        <item x="92"/>
        <item x="877"/>
        <item x="425"/>
        <item x="841"/>
        <item x="531"/>
        <item x="313"/>
        <item x="922"/>
        <item x="824"/>
        <item x="717"/>
        <item x="336"/>
        <item x="369"/>
        <item x="718"/>
        <item x="226"/>
        <item x="790"/>
        <item x="275"/>
        <item x="52"/>
        <item x="477"/>
        <item x="260"/>
        <item x="243"/>
        <item x="429"/>
        <item x="848"/>
        <item x="775"/>
        <item x="845"/>
        <item x="316"/>
        <item x="39"/>
        <item x="881"/>
        <item x="51"/>
        <item x="826"/>
        <item x="560"/>
        <item x="564"/>
        <item x="49"/>
        <item x="668"/>
        <item x="711"/>
        <item x="854"/>
        <item x="633"/>
        <item x="460"/>
        <item x="656"/>
        <item x="454"/>
        <item x="512"/>
        <item x="345"/>
        <item x="112"/>
        <item x="323"/>
        <item x="312"/>
        <item x="291"/>
        <item x="211"/>
        <item x="458"/>
        <item x="106"/>
        <item x="147"/>
        <item x="171"/>
        <item x="335"/>
        <item x="879"/>
        <item x="453"/>
        <item x="357"/>
        <item x="318"/>
        <item x="263"/>
        <item x="909"/>
        <item x="699"/>
        <item x="532"/>
        <item x="394"/>
        <item x="680"/>
        <item x="733"/>
        <item x="165"/>
        <item x="912"/>
        <item x="540"/>
        <item x="73"/>
        <item x="256"/>
        <item x="431"/>
        <item x="554"/>
        <item x="36"/>
        <item x="859"/>
        <item x="753"/>
        <item x="565"/>
        <item x="914"/>
        <item x="530"/>
        <item x="172"/>
        <item x="528"/>
        <item x="778"/>
        <item x="700"/>
        <item x="186"/>
        <item x="630"/>
        <item x="543"/>
        <item x="21"/>
        <item x="246"/>
        <item x="261"/>
        <item x="855"/>
        <item x="638"/>
        <item x="663"/>
        <item x="839"/>
        <item x="127"/>
        <item x="704"/>
        <item x="553"/>
        <item x="870"/>
        <item x="229"/>
        <item x="311"/>
        <item x="53"/>
        <item x="27"/>
        <item x="624"/>
        <item x="61"/>
        <item x="269"/>
        <item x="334"/>
        <item x="548"/>
        <item x="216"/>
        <item x="233"/>
        <item x="811"/>
        <item x="397"/>
        <item x="257"/>
        <item x="536"/>
        <item x="55"/>
        <item x="146"/>
        <item x="541"/>
        <item x="417"/>
        <item x="166"/>
        <item x="836"/>
        <item x="869"/>
        <item x="287"/>
        <item x="673"/>
        <item x="842"/>
        <item x="400"/>
        <item x="714"/>
        <item x="215"/>
        <item x="547"/>
        <item x="876"/>
        <item x="286"/>
        <item x="354"/>
        <item x="387"/>
        <item x="939"/>
        <item x="652"/>
        <item x="24"/>
        <item x="6"/>
        <item x="728"/>
        <item x="611"/>
        <item x="521"/>
        <item x="31"/>
        <item x="665"/>
        <item x="280"/>
        <item x="688"/>
        <item x="290"/>
        <item x="535"/>
        <item x="408"/>
        <item x="451"/>
        <item x="815"/>
        <item x="896"/>
        <item x="20"/>
        <item x="253"/>
        <item x="713"/>
        <item x="26"/>
        <item x="252"/>
        <item x="684"/>
        <item x="370"/>
        <item x="795"/>
        <item x="238"/>
        <item x="97"/>
        <item x="766"/>
        <item x="101"/>
        <item x="785"/>
        <item x="636"/>
        <item x="816"/>
        <item x="450"/>
        <item x="690"/>
        <item x="179"/>
        <item x="731"/>
        <item x="175"/>
        <item x="11"/>
        <item x="910"/>
        <item x="57"/>
        <item x="201"/>
        <item x="502"/>
        <item x="306"/>
        <item x="899"/>
        <item x="404"/>
        <item x="426"/>
        <item x="768"/>
        <item x="657"/>
        <item x="176"/>
        <item x="692"/>
        <item x="227"/>
        <item x="772"/>
        <item x="292"/>
        <item x="115"/>
        <item x="829"/>
        <item x="596"/>
        <item x="598"/>
        <item x="780"/>
        <item x="270"/>
        <item x="514"/>
        <item x="582"/>
        <item x="727"/>
        <item x="488"/>
        <item x="764"/>
        <item x="858"/>
        <item x="170"/>
        <item x="930"/>
        <item x="377"/>
        <item x="363"/>
        <item x="575"/>
        <item x="419"/>
        <item x="406"/>
        <item x="98"/>
        <item x="319"/>
        <item x="279"/>
        <item x="558"/>
        <item x="626"/>
        <item x="415"/>
        <item x="56"/>
        <item x="606"/>
        <item x="760"/>
        <item x="702"/>
        <item x="360"/>
        <item x="578"/>
        <item x="43"/>
        <item x="592"/>
        <item x="430"/>
        <item x="906"/>
        <item x="330"/>
        <item x="231"/>
        <item x="358"/>
        <item x="8"/>
        <item x="520"/>
        <item x="608"/>
        <item x="440"/>
        <item x="643"/>
        <item x="720"/>
        <item x="754"/>
        <item x="905"/>
        <item x="356"/>
        <item x="5"/>
        <item x="212"/>
        <item x="932"/>
        <item x="386"/>
        <item x="840"/>
        <item x="327"/>
        <item x="310"/>
        <item x="46"/>
        <item x="898"/>
        <item x="545"/>
        <item x="857"/>
        <item x="416"/>
        <item x="120"/>
        <item x="196"/>
        <item x="296"/>
        <item x="921"/>
        <item x="797"/>
        <item x="602"/>
        <item x="248"/>
        <item x="209"/>
        <item x="616"/>
        <item x="88"/>
        <item x="437"/>
        <item x="105"/>
        <item x="168"/>
        <item x="794"/>
        <item x="210"/>
        <item x="828"/>
        <item x="806"/>
        <item x="285"/>
        <item x="433"/>
        <item x="118"/>
        <item x="487"/>
        <item x="299"/>
        <item x="328"/>
        <item x="398"/>
        <item x="597"/>
        <item x="40"/>
        <item x="746"/>
        <item x="444"/>
        <item x="202"/>
        <item x="696"/>
        <item x="590"/>
        <item x="3"/>
        <item x="441"/>
        <item x="694"/>
        <item x="873"/>
        <item x="33"/>
        <item x="469"/>
        <item x="181"/>
        <item x="609"/>
        <item x="17"/>
        <item x="372"/>
        <item x="366"/>
        <item x="691"/>
        <item x="89"/>
        <item x="244"/>
        <item x="103"/>
        <item x="245"/>
        <item x="32"/>
        <item x="927"/>
        <item x="264"/>
        <item x="14"/>
        <item x="835"/>
        <item x="891"/>
        <item x="125"/>
        <item x="783"/>
        <item x="498"/>
        <item x="373"/>
        <item x="901"/>
        <item x="737"/>
        <item x="908"/>
        <item x="169"/>
        <item x="507"/>
        <item x="122"/>
        <item x="615"/>
        <item x="324"/>
        <item x="84"/>
        <item x="268"/>
        <item x="919"/>
        <item x="907"/>
        <item x="917"/>
        <item x="326"/>
        <item x="349"/>
        <item x="886"/>
        <item x="445"/>
        <item x="258"/>
        <item x="148"/>
        <item x="655"/>
        <item x="742"/>
        <item x="654"/>
        <item x="497"/>
        <item x="666"/>
        <item x="579"/>
        <item x="529"/>
        <item x="763"/>
        <item x="428"/>
        <item x="167"/>
        <item x="846"/>
        <item x="348"/>
        <item x="22"/>
        <item x="641"/>
        <item x="121"/>
        <item x="192"/>
        <item x="293"/>
        <item x="184"/>
        <item x="809"/>
        <item x="221"/>
        <item x="559"/>
        <item x="107"/>
        <item x="475"/>
        <item x="448"/>
        <item x="382"/>
        <item x="178"/>
        <item x="272"/>
        <item x="605"/>
        <item x="757"/>
        <item x="508"/>
        <item x="716"/>
        <item x="678"/>
        <item x="812"/>
        <item x="681"/>
        <item x="456"/>
        <item x="237"/>
        <item x="208"/>
        <item x="267"/>
        <item x="721"/>
        <item x="800"/>
        <item x="198"/>
        <item x="173"/>
        <item x="289"/>
        <item x="333"/>
        <item x="0"/>
        <item x="182"/>
        <item x="882"/>
        <item x="459"/>
        <item x="612"/>
        <item x="99"/>
        <item x="511"/>
        <item x="161"/>
        <item x="931"/>
        <item x="623"/>
        <item x="2"/>
        <item x="750"/>
        <item x="117"/>
        <item x="87"/>
        <item x="124"/>
        <item x="773"/>
        <item x="402"/>
        <item x="599"/>
        <item x="481"/>
        <item x="309"/>
        <item x="884"/>
        <item x="904"/>
        <item x="307"/>
        <item x="449"/>
        <item x="710"/>
        <item x="566"/>
        <item x="698"/>
        <item x="644"/>
        <item x="913"/>
        <item x="266"/>
        <item x="135"/>
        <item x="730"/>
        <item x="325"/>
        <item x="83"/>
        <item x="701"/>
        <item x="569"/>
        <item x="755"/>
        <item x="703"/>
        <item x="71"/>
        <item x="352"/>
        <item x="162"/>
        <item x="640"/>
        <item x="457"/>
        <item x="342"/>
        <item x="58"/>
        <item x="825"/>
        <item x="661"/>
        <item x="239"/>
        <item x="278"/>
        <item x="308"/>
        <item x="670"/>
        <item x="376"/>
        <item x="568"/>
        <item x="137"/>
        <item x="381"/>
        <item x="647"/>
        <item x="65"/>
        <item x="297"/>
        <item x="620"/>
        <item x="401"/>
        <item x="465"/>
        <item x="867"/>
        <item x="617"/>
        <item x="191"/>
        <item x="109"/>
        <item x="539"/>
        <item x="439"/>
        <item x="803"/>
        <item x="732"/>
        <item x="214"/>
        <item x="79"/>
        <item x="47"/>
        <item x="389"/>
        <item x="374"/>
        <item x="157"/>
        <item x="749"/>
        <item x="765"/>
        <item x="741"/>
        <item x="761"/>
        <item x="838"/>
        <item x="631"/>
        <item x="194"/>
        <item x="379"/>
        <item x="478"/>
        <item x="29"/>
        <item x="138"/>
        <item x="68"/>
        <item x="492"/>
        <item x="752"/>
        <item x="534"/>
        <item x="874"/>
        <item x="277"/>
        <item x="581"/>
        <item x="472"/>
        <item x="93"/>
        <item x="533"/>
        <item x="796"/>
        <item x="294"/>
        <item x="682"/>
        <item x="642"/>
        <item x="805"/>
        <item x="832"/>
        <item x="455"/>
        <item x="925"/>
        <item x="476"/>
        <item x="895"/>
        <item x="774"/>
        <item x="317"/>
        <item x="491"/>
        <item x="570"/>
        <item x="888"/>
        <item x="872"/>
        <item x="222"/>
        <item x="580"/>
        <item x="407"/>
        <item x="875"/>
        <item x="517"/>
        <item x="862"/>
        <item x="81"/>
        <item x="622"/>
        <item x="736"/>
        <item x="78"/>
        <item x="130"/>
        <item x="735"/>
        <item x="123"/>
        <item x="823"/>
        <item x="821"/>
        <item x="496"/>
        <item x="188"/>
        <item x="392"/>
        <item x="538"/>
        <item x="671"/>
        <item x="329"/>
        <item x="59"/>
        <item x="646"/>
        <item x="234"/>
        <item x="149"/>
        <item x="801"/>
        <item x="422"/>
        <item x="649"/>
        <item x="164"/>
        <item x="367"/>
        <item x="421"/>
        <item x="187"/>
        <item x="709"/>
        <item x="220"/>
        <item x="782"/>
        <item x="627"/>
        <item x="355"/>
        <item x="669"/>
        <item x="23"/>
        <item x="305"/>
        <item x="745"/>
        <item x="863"/>
        <item x="18"/>
        <item x="676"/>
        <item x="111"/>
        <item x="320"/>
        <item x="740"/>
        <item x="283"/>
        <item x="72"/>
        <item x="463"/>
        <item x="254"/>
        <item x="274"/>
        <item x="860"/>
        <item x="865"/>
        <item x="802"/>
        <item x="154"/>
        <item x="405"/>
        <item x="791"/>
        <item x="523"/>
        <item x="353"/>
        <item x="628"/>
        <item x="789"/>
        <item x="880"/>
        <item x="483"/>
        <item x="933"/>
        <item x="822"/>
        <item x="288"/>
        <item x="524"/>
        <item x="634"/>
        <item x="751"/>
        <item x="74"/>
        <item x="438"/>
        <item x="589"/>
        <item x="813"/>
        <item x="129"/>
        <item x="44"/>
        <item x="393"/>
        <item x="635"/>
        <item x="180"/>
        <item x="249"/>
        <item x="779"/>
        <item x="414"/>
        <item x="793"/>
        <item x="153"/>
        <item x="281"/>
        <item x="34"/>
        <item x="15"/>
        <item x="818"/>
        <item x="265"/>
        <item t="default"/>
      </items>
    </pivotField>
    <pivotField dataField="1"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descending">
      <items count="7">
        <item sd="0" x="0"/>
        <item sd="0" x="1"/>
        <item sd="0" x="2"/>
        <item sd="0" x="3"/>
        <item sd="0" x="4"/>
        <item sd="0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8"/>
  </rowFields>
  <rowItems count="5">
    <i>
      <x v="3"/>
    </i>
    <i>
      <x v="4"/>
    </i>
    <i>
      <x v="1"/>
    </i>
    <i>
      <x v="2"/>
    </i>
    <i t="grand">
      <x/>
    </i>
  </rowItems>
  <colItems count="1">
    <i/>
  </colItems>
  <dataFields count="1">
    <dataField name="Sum of Sales" fld="12" baseField="0" baseItem="0"/>
  </dataFields>
  <chartFormats count="8">
    <chartFormat chart="4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BB6D3-319F-46A0-A0D9-40AA64E651FE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6">
  <location ref="N3:O21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 sortType="descending">
      <items count="325">
        <item x="263"/>
        <item x="162"/>
        <item x="243"/>
        <item x="313"/>
        <item x="92"/>
        <item x="298"/>
        <item x="58"/>
        <item x="194"/>
        <item x="16"/>
        <item x="54"/>
        <item x="318"/>
        <item x="7"/>
        <item x="272"/>
        <item x="129"/>
        <item x="218"/>
        <item x="295"/>
        <item x="157"/>
        <item x="90"/>
        <item x="120"/>
        <item x="155"/>
        <item x="191"/>
        <item x="126"/>
        <item x="121"/>
        <item x="248"/>
        <item x="36"/>
        <item x="127"/>
        <item x="209"/>
        <item x="84"/>
        <item x="20"/>
        <item x="136"/>
        <item x="160"/>
        <item x="202"/>
        <item x="285"/>
        <item x="196"/>
        <item x="71"/>
        <item x="63"/>
        <item x="69"/>
        <item x="251"/>
        <item x="205"/>
        <item x="279"/>
        <item x="23"/>
        <item x="215"/>
        <item x="233"/>
        <item x="214"/>
        <item x="188"/>
        <item x="252"/>
        <item x="125"/>
        <item x="4"/>
        <item x="45"/>
        <item x="303"/>
        <item x="142"/>
        <item x="289"/>
        <item x="46"/>
        <item x="287"/>
        <item x="8"/>
        <item x="65"/>
        <item x="49"/>
        <item x="116"/>
        <item x="75"/>
        <item x="32"/>
        <item x="267"/>
        <item x="320"/>
        <item x="59"/>
        <item x="280"/>
        <item x="172"/>
        <item x="152"/>
        <item x="212"/>
        <item x="40"/>
        <item x="173"/>
        <item x="159"/>
        <item x="270"/>
        <item x="123"/>
        <item x="29"/>
        <item x="151"/>
        <item x="94"/>
        <item x="309"/>
        <item x="52"/>
        <item x="321"/>
        <item x="225"/>
        <item x="210"/>
        <item x="85"/>
        <item x="181"/>
        <item x="245"/>
        <item x="180"/>
        <item x="31"/>
        <item x="286"/>
        <item x="195"/>
        <item x="304"/>
        <item x="269"/>
        <item x="204"/>
        <item x="124"/>
        <item x="185"/>
        <item x="153"/>
        <item x="10"/>
        <item x="258"/>
        <item x="88"/>
        <item x="86"/>
        <item x="221"/>
        <item x="42"/>
        <item x="300"/>
        <item x="105"/>
        <item x="101"/>
        <item x="131"/>
        <item x="226"/>
        <item x="253"/>
        <item x="35"/>
        <item x="11"/>
        <item x="250"/>
        <item x="200"/>
        <item x="242"/>
        <item x="271"/>
        <item x="134"/>
        <item x="163"/>
        <item x="148"/>
        <item x="268"/>
        <item x="203"/>
        <item x="193"/>
        <item x="239"/>
        <item x="43"/>
        <item x="19"/>
        <item x="97"/>
        <item x="234"/>
        <item x="147"/>
        <item x="190"/>
        <item x="18"/>
        <item x="264"/>
        <item x="13"/>
        <item x="262"/>
        <item x="156"/>
        <item x="183"/>
        <item x="78"/>
        <item x="132"/>
        <item x="256"/>
        <item x="67"/>
        <item x="317"/>
        <item x="111"/>
        <item x="50"/>
        <item x="189"/>
        <item x="216"/>
        <item x="122"/>
        <item x="241"/>
        <item x="30"/>
        <item x="143"/>
        <item x="282"/>
        <item x="91"/>
        <item x="112"/>
        <item x="211"/>
        <item x="25"/>
        <item x="14"/>
        <item x="60"/>
        <item x="302"/>
        <item x="310"/>
        <item x="115"/>
        <item x="231"/>
        <item x="299"/>
        <item x="288"/>
        <item x="260"/>
        <item x="228"/>
        <item x="82"/>
        <item x="235"/>
        <item x="6"/>
        <item x="178"/>
        <item x="81"/>
        <item x="95"/>
        <item x="1"/>
        <item x="145"/>
        <item x="76"/>
        <item x="146"/>
        <item x="230"/>
        <item x="291"/>
        <item x="306"/>
        <item x="301"/>
        <item x="79"/>
        <item x="109"/>
        <item x="89"/>
        <item x="247"/>
        <item x="117"/>
        <item x="168"/>
        <item x="139"/>
        <item x="284"/>
        <item x="64"/>
        <item x="110"/>
        <item x="254"/>
        <item x="219"/>
        <item x="167"/>
        <item x="275"/>
        <item x="229"/>
        <item x="208"/>
        <item x="164"/>
        <item x="223"/>
        <item x="158"/>
        <item x="240"/>
        <item x="99"/>
        <item x="24"/>
        <item x="232"/>
        <item x="41"/>
        <item x="103"/>
        <item x="93"/>
        <item x="12"/>
        <item x="244"/>
        <item x="166"/>
        <item x="236"/>
        <item x="322"/>
        <item x="305"/>
        <item x="255"/>
        <item x="133"/>
        <item x="77"/>
        <item x="0"/>
        <item x="293"/>
        <item x="170"/>
        <item x="83"/>
        <item x="292"/>
        <item x="53"/>
        <item x="74"/>
        <item x="176"/>
        <item x="118"/>
        <item x="259"/>
        <item x="206"/>
        <item x="113"/>
        <item x="108"/>
        <item x="199"/>
        <item x="261"/>
        <item x="227"/>
        <item x="192"/>
        <item x="107"/>
        <item x="22"/>
        <item x="98"/>
        <item x="315"/>
        <item x="177"/>
        <item x="9"/>
        <item x="184"/>
        <item x="44"/>
        <item x="5"/>
        <item x="2"/>
        <item x="144"/>
        <item x="154"/>
        <item x="150"/>
        <item x="51"/>
        <item x="294"/>
        <item x="135"/>
        <item x="171"/>
        <item x="238"/>
        <item x="198"/>
        <item x="141"/>
        <item x="47"/>
        <item x="257"/>
        <item x="15"/>
        <item x="27"/>
        <item x="61"/>
        <item x="312"/>
        <item x="17"/>
        <item x="62"/>
        <item x="311"/>
        <item x="87"/>
        <item x="56"/>
        <item x="182"/>
        <item x="281"/>
        <item x="26"/>
        <item x="265"/>
        <item x="119"/>
        <item x="319"/>
        <item x="57"/>
        <item x="169"/>
        <item x="283"/>
        <item x="137"/>
        <item x="104"/>
        <item x="174"/>
        <item x="307"/>
        <item x="3"/>
        <item x="37"/>
        <item x="28"/>
        <item x="186"/>
        <item x="237"/>
        <item x="187"/>
        <item x="201"/>
        <item x="68"/>
        <item x="273"/>
        <item x="21"/>
        <item x="130"/>
        <item x="222"/>
        <item x="34"/>
        <item x="179"/>
        <item x="246"/>
        <item x="220"/>
        <item x="266"/>
        <item x="48"/>
        <item x="96"/>
        <item x="316"/>
        <item x="128"/>
        <item x="323"/>
        <item x="278"/>
        <item x="161"/>
        <item x="38"/>
        <item x="66"/>
        <item x="224"/>
        <item x="175"/>
        <item x="213"/>
        <item x="138"/>
        <item x="276"/>
        <item x="290"/>
        <item x="39"/>
        <item x="314"/>
        <item x="70"/>
        <item x="277"/>
        <item x="308"/>
        <item x="207"/>
        <item x="249"/>
        <item x="297"/>
        <item x="80"/>
        <item x="33"/>
        <item x="100"/>
        <item x="106"/>
        <item x="296"/>
        <item x="140"/>
        <item x="73"/>
        <item x="72"/>
        <item x="197"/>
        <item x="217"/>
        <item x="165"/>
        <item x="114"/>
        <item x="102"/>
        <item x="274"/>
        <item x="149"/>
        <item x="55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18">
        <item x="12"/>
        <item x="6"/>
        <item x="8"/>
        <item x="5"/>
        <item x="0"/>
        <item x="9"/>
        <item x="16"/>
        <item x="10"/>
        <item x="13"/>
        <item x="3"/>
        <item x="1"/>
        <item x="14"/>
        <item x="4"/>
        <item x="11"/>
        <item x="7"/>
        <item x="15"/>
        <item x="2"/>
        <item t="default"/>
      </items>
    </pivotField>
    <pivotField showAll="0" sortType="descending">
      <items count="944">
        <item x="346"/>
        <item x="218"/>
        <item x="798"/>
        <item x="729"/>
        <item x="614"/>
        <item x="284"/>
        <item x="383"/>
        <item x="116"/>
        <item x="715"/>
        <item x="911"/>
        <item x="629"/>
        <item x="298"/>
        <item x="587"/>
        <item x="359"/>
        <item x="561"/>
        <item x="340"/>
        <item x="423"/>
        <item x="549"/>
        <item x="650"/>
        <item x="411"/>
        <item x="853"/>
        <item x="784"/>
        <item x="302"/>
        <item x="576"/>
        <item x="926"/>
        <item x="683"/>
        <item x="738"/>
        <item x="364"/>
        <item x="42"/>
        <item x="693"/>
        <item x="303"/>
        <item x="831"/>
        <item x="247"/>
        <item x="604"/>
        <item x="613"/>
        <item x="163"/>
        <item x="337"/>
        <item x="156"/>
        <item x="235"/>
        <item x="686"/>
        <item x="4"/>
        <item x="276"/>
        <item x="142"/>
        <item x="610"/>
        <item x="100"/>
        <item x="934"/>
        <item x="677"/>
        <item x="725"/>
        <item x="60"/>
        <item x="856"/>
        <item x="878"/>
        <item x="679"/>
        <item x="250"/>
        <item x="509"/>
        <item x="889"/>
        <item x="490"/>
        <item x="550"/>
        <item x="140"/>
        <item x="574"/>
        <item x="69"/>
        <item x="473"/>
        <item x="525"/>
        <item x="810"/>
        <item x="489"/>
        <item x="929"/>
        <item x="664"/>
        <item x="321"/>
        <item x="160"/>
        <item x="920"/>
        <item x="837"/>
        <item x="900"/>
        <item x="892"/>
        <item x="792"/>
        <item x="436"/>
        <item x="174"/>
        <item x="734"/>
        <item x="556"/>
        <item x="861"/>
        <item x="586"/>
        <item x="295"/>
        <item x="314"/>
        <item x="378"/>
        <item x="442"/>
        <item x="427"/>
        <item x="494"/>
        <item x="573"/>
        <item x="102"/>
        <item x="689"/>
        <item x="918"/>
        <item x="479"/>
        <item x="339"/>
        <item x="420"/>
        <item x="466"/>
        <item x="446"/>
        <item x="866"/>
        <item x="332"/>
        <item x="350"/>
        <item x="468"/>
        <item x="595"/>
        <item x="141"/>
        <item x="151"/>
        <item x="12"/>
        <item x="923"/>
        <item x="722"/>
        <item x="139"/>
        <item x="937"/>
        <item x="495"/>
        <item x="347"/>
        <item x="435"/>
        <item x="885"/>
        <item x="474"/>
        <item x="758"/>
        <item x="847"/>
        <item x="916"/>
        <item x="851"/>
        <item x="193"/>
        <item x="833"/>
        <item x="868"/>
        <item x="25"/>
        <item x="19"/>
        <item x="240"/>
        <item x="504"/>
        <item x="48"/>
        <item x="563"/>
        <item x="941"/>
        <item x="767"/>
        <item x="659"/>
        <item x="409"/>
        <item x="396"/>
        <item x="41"/>
        <item x="152"/>
        <item x="132"/>
        <item x="940"/>
        <item x="251"/>
        <item x="660"/>
        <item x="45"/>
        <item x="225"/>
        <item x="883"/>
        <item x="527"/>
        <item x="662"/>
        <item x="271"/>
        <item x="621"/>
        <item x="808"/>
        <item x="331"/>
        <item x="447"/>
        <item x="804"/>
        <item x="648"/>
        <item x="651"/>
        <item x="91"/>
        <item x="936"/>
        <item x="902"/>
        <item x="584"/>
        <item x="217"/>
        <item x="743"/>
        <item x="639"/>
        <item x="705"/>
        <item x="432"/>
        <item x="77"/>
        <item x="322"/>
        <item x="204"/>
        <item x="942"/>
        <item x="503"/>
        <item x="262"/>
        <item x="128"/>
        <item x="30"/>
        <item x="697"/>
        <item x="155"/>
        <item x="7"/>
        <item x="461"/>
        <item x="726"/>
        <item x="131"/>
        <item x="375"/>
        <item x="707"/>
        <item x="206"/>
        <item x="395"/>
        <item x="361"/>
        <item x="200"/>
        <item x="787"/>
        <item x="343"/>
        <item x="315"/>
        <item x="158"/>
        <item x="70"/>
        <item x="385"/>
        <item x="344"/>
        <item x="505"/>
        <item x="189"/>
        <item x="500"/>
        <item x="591"/>
        <item x="144"/>
        <item x="86"/>
        <item x="365"/>
        <item x="66"/>
        <item x="190"/>
        <item x="159"/>
        <item x="145"/>
        <item x="28"/>
        <item x="776"/>
        <item x="506"/>
        <item x="819"/>
        <item x="756"/>
        <item x="830"/>
        <item x="915"/>
        <item x="273"/>
        <item x="63"/>
        <item x="493"/>
        <item x="770"/>
        <item x="391"/>
        <item x="1"/>
        <item x="501"/>
        <item x="546"/>
        <item x="724"/>
        <item x="434"/>
        <item x="672"/>
        <item x="136"/>
        <item x="712"/>
        <item x="62"/>
        <item x="849"/>
        <item x="219"/>
        <item x="96"/>
        <item x="786"/>
        <item x="522"/>
        <item x="76"/>
        <item x="935"/>
        <item x="80"/>
        <item x="695"/>
        <item x="213"/>
        <item x="537"/>
        <item x="781"/>
        <item x="637"/>
        <item x="777"/>
        <item x="572"/>
        <item x="482"/>
        <item x="518"/>
        <item x="890"/>
        <item x="37"/>
        <item x="552"/>
        <item x="203"/>
        <item x="894"/>
        <item x="399"/>
        <item x="110"/>
        <item x="183"/>
        <item x="104"/>
        <item x="723"/>
        <item x="625"/>
        <item x="485"/>
        <item x="338"/>
        <item x="542"/>
        <item x="114"/>
        <item x="195"/>
        <item x="13"/>
        <item x="390"/>
        <item x="515"/>
        <item x="607"/>
        <item x="282"/>
        <item x="304"/>
        <item x="739"/>
        <item x="685"/>
        <item x="499"/>
        <item x="618"/>
        <item x="236"/>
        <item x="708"/>
        <item x="555"/>
        <item x="85"/>
        <item x="35"/>
        <item x="242"/>
        <item x="207"/>
        <item x="480"/>
        <item x="769"/>
        <item x="185"/>
        <item x="403"/>
        <item x="113"/>
        <item x="852"/>
        <item x="799"/>
        <item x="603"/>
        <item x="601"/>
        <item x="510"/>
        <item x="82"/>
        <item x="675"/>
        <item x="871"/>
        <item x="667"/>
        <item x="820"/>
        <item x="371"/>
        <item x="887"/>
        <item x="64"/>
        <item x="462"/>
        <item x="577"/>
        <item x="413"/>
        <item x="94"/>
        <item x="224"/>
        <item x="658"/>
        <item x="928"/>
        <item x="687"/>
        <item x="410"/>
        <item x="362"/>
        <item x="16"/>
        <item x="205"/>
        <item x="557"/>
        <item x="424"/>
        <item x="593"/>
        <item x="443"/>
        <item x="924"/>
        <item x="75"/>
        <item x="467"/>
        <item x="632"/>
        <item x="516"/>
        <item x="748"/>
        <item x="827"/>
        <item x="588"/>
        <item x="562"/>
        <item x="807"/>
        <item x="814"/>
        <item x="54"/>
        <item x="95"/>
        <item x="133"/>
        <item x="126"/>
        <item x="241"/>
        <item x="585"/>
        <item x="843"/>
        <item x="351"/>
        <item x="645"/>
        <item x="143"/>
        <item x="864"/>
        <item x="619"/>
        <item x="38"/>
        <item x="228"/>
        <item x="706"/>
        <item x="412"/>
        <item x="150"/>
        <item x="90"/>
        <item x="384"/>
        <item x="600"/>
        <item x="788"/>
        <item x="719"/>
        <item x="119"/>
        <item x="583"/>
        <item x="653"/>
        <item x="177"/>
        <item x="9"/>
        <item x="471"/>
        <item x="747"/>
        <item x="897"/>
        <item x="418"/>
        <item x="368"/>
        <item x="551"/>
        <item x="850"/>
        <item x="223"/>
        <item x="255"/>
        <item x="903"/>
        <item x="380"/>
        <item x="197"/>
        <item x="388"/>
        <item x="484"/>
        <item x="817"/>
        <item x="759"/>
        <item x="567"/>
        <item x="470"/>
        <item x="301"/>
        <item x="10"/>
        <item x="134"/>
        <item x="230"/>
        <item x="67"/>
        <item x="571"/>
        <item x="744"/>
        <item x="259"/>
        <item x="486"/>
        <item x="544"/>
        <item x="594"/>
        <item x="452"/>
        <item x="893"/>
        <item x="199"/>
        <item x="232"/>
        <item x="300"/>
        <item x="464"/>
        <item x="771"/>
        <item x="108"/>
        <item x="938"/>
        <item x="834"/>
        <item x="526"/>
        <item x="762"/>
        <item x="519"/>
        <item x="674"/>
        <item x="844"/>
        <item x="341"/>
        <item x="50"/>
        <item x="513"/>
        <item x="92"/>
        <item x="877"/>
        <item x="425"/>
        <item x="841"/>
        <item x="531"/>
        <item x="313"/>
        <item x="922"/>
        <item x="824"/>
        <item x="717"/>
        <item x="336"/>
        <item x="369"/>
        <item x="718"/>
        <item x="226"/>
        <item x="790"/>
        <item x="275"/>
        <item x="52"/>
        <item x="477"/>
        <item x="260"/>
        <item x="243"/>
        <item x="429"/>
        <item x="848"/>
        <item x="775"/>
        <item x="845"/>
        <item x="316"/>
        <item x="39"/>
        <item x="881"/>
        <item x="51"/>
        <item x="826"/>
        <item x="560"/>
        <item x="564"/>
        <item x="49"/>
        <item x="668"/>
        <item x="711"/>
        <item x="854"/>
        <item x="633"/>
        <item x="460"/>
        <item x="656"/>
        <item x="454"/>
        <item x="512"/>
        <item x="345"/>
        <item x="112"/>
        <item x="323"/>
        <item x="312"/>
        <item x="291"/>
        <item x="211"/>
        <item x="458"/>
        <item x="106"/>
        <item x="147"/>
        <item x="171"/>
        <item x="335"/>
        <item x="879"/>
        <item x="453"/>
        <item x="357"/>
        <item x="318"/>
        <item x="263"/>
        <item x="909"/>
        <item x="699"/>
        <item x="532"/>
        <item x="394"/>
        <item x="680"/>
        <item x="733"/>
        <item x="165"/>
        <item x="912"/>
        <item x="540"/>
        <item x="73"/>
        <item x="256"/>
        <item x="431"/>
        <item x="554"/>
        <item x="36"/>
        <item x="859"/>
        <item x="753"/>
        <item x="565"/>
        <item x="914"/>
        <item x="530"/>
        <item x="172"/>
        <item x="528"/>
        <item x="778"/>
        <item x="700"/>
        <item x="186"/>
        <item x="630"/>
        <item x="543"/>
        <item x="21"/>
        <item x="246"/>
        <item x="261"/>
        <item x="855"/>
        <item x="638"/>
        <item x="663"/>
        <item x="839"/>
        <item x="127"/>
        <item x="704"/>
        <item x="553"/>
        <item x="870"/>
        <item x="229"/>
        <item x="311"/>
        <item x="53"/>
        <item x="27"/>
        <item x="624"/>
        <item x="61"/>
        <item x="269"/>
        <item x="334"/>
        <item x="548"/>
        <item x="216"/>
        <item x="233"/>
        <item x="811"/>
        <item x="397"/>
        <item x="257"/>
        <item x="536"/>
        <item x="55"/>
        <item x="146"/>
        <item x="541"/>
        <item x="417"/>
        <item x="166"/>
        <item x="836"/>
        <item x="869"/>
        <item x="287"/>
        <item x="673"/>
        <item x="842"/>
        <item x="400"/>
        <item x="714"/>
        <item x="215"/>
        <item x="547"/>
        <item x="876"/>
        <item x="286"/>
        <item x="354"/>
        <item x="387"/>
        <item x="939"/>
        <item x="652"/>
        <item x="24"/>
        <item x="6"/>
        <item x="728"/>
        <item x="611"/>
        <item x="521"/>
        <item x="31"/>
        <item x="665"/>
        <item x="280"/>
        <item x="688"/>
        <item x="290"/>
        <item x="535"/>
        <item x="408"/>
        <item x="451"/>
        <item x="815"/>
        <item x="896"/>
        <item x="20"/>
        <item x="253"/>
        <item x="713"/>
        <item x="26"/>
        <item x="252"/>
        <item x="684"/>
        <item x="370"/>
        <item x="795"/>
        <item x="238"/>
        <item x="97"/>
        <item x="766"/>
        <item x="101"/>
        <item x="785"/>
        <item x="636"/>
        <item x="816"/>
        <item x="450"/>
        <item x="690"/>
        <item x="179"/>
        <item x="731"/>
        <item x="175"/>
        <item x="11"/>
        <item x="910"/>
        <item x="57"/>
        <item x="201"/>
        <item x="502"/>
        <item x="306"/>
        <item x="899"/>
        <item x="404"/>
        <item x="426"/>
        <item x="768"/>
        <item x="657"/>
        <item x="176"/>
        <item x="692"/>
        <item x="227"/>
        <item x="772"/>
        <item x="292"/>
        <item x="115"/>
        <item x="829"/>
        <item x="596"/>
        <item x="598"/>
        <item x="780"/>
        <item x="270"/>
        <item x="514"/>
        <item x="582"/>
        <item x="727"/>
        <item x="488"/>
        <item x="764"/>
        <item x="858"/>
        <item x="170"/>
        <item x="930"/>
        <item x="377"/>
        <item x="363"/>
        <item x="575"/>
        <item x="419"/>
        <item x="406"/>
        <item x="98"/>
        <item x="319"/>
        <item x="279"/>
        <item x="558"/>
        <item x="626"/>
        <item x="415"/>
        <item x="56"/>
        <item x="606"/>
        <item x="760"/>
        <item x="702"/>
        <item x="360"/>
        <item x="578"/>
        <item x="43"/>
        <item x="592"/>
        <item x="430"/>
        <item x="906"/>
        <item x="330"/>
        <item x="231"/>
        <item x="358"/>
        <item x="8"/>
        <item x="520"/>
        <item x="608"/>
        <item x="440"/>
        <item x="643"/>
        <item x="720"/>
        <item x="754"/>
        <item x="905"/>
        <item x="356"/>
        <item x="5"/>
        <item x="212"/>
        <item x="932"/>
        <item x="386"/>
        <item x="840"/>
        <item x="327"/>
        <item x="310"/>
        <item x="46"/>
        <item x="898"/>
        <item x="545"/>
        <item x="857"/>
        <item x="416"/>
        <item x="120"/>
        <item x="196"/>
        <item x="296"/>
        <item x="921"/>
        <item x="797"/>
        <item x="602"/>
        <item x="248"/>
        <item x="209"/>
        <item x="616"/>
        <item x="88"/>
        <item x="437"/>
        <item x="105"/>
        <item x="168"/>
        <item x="794"/>
        <item x="210"/>
        <item x="828"/>
        <item x="806"/>
        <item x="285"/>
        <item x="433"/>
        <item x="118"/>
        <item x="487"/>
        <item x="299"/>
        <item x="328"/>
        <item x="398"/>
        <item x="597"/>
        <item x="40"/>
        <item x="746"/>
        <item x="444"/>
        <item x="202"/>
        <item x="696"/>
        <item x="590"/>
        <item x="3"/>
        <item x="441"/>
        <item x="694"/>
        <item x="873"/>
        <item x="33"/>
        <item x="469"/>
        <item x="181"/>
        <item x="609"/>
        <item x="17"/>
        <item x="372"/>
        <item x="366"/>
        <item x="691"/>
        <item x="89"/>
        <item x="244"/>
        <item x="103"/>
        <item x="245"/>
        <item x="32"/>
        <item x="927"/>
        <item x="264"/>
        <item x="14"/>
        <item x="835"/>
        <item x="891"/>
        <item x="125"/>
        <item x="783"/>
        <item x="498"/>
        <item x="373"/>
        <item x="901"/>
        <item x="737"/>
        <item x="908"/>
        <item x="169"/>
        <item x="507"/>
        <item x="122"/>
        <item x="615"/>
        <item x="324"/>
        <item x="84"/>
        <item x="268"/>
        <item x="919"/>
        <item x="907"/>
        <item x="917"/>
        <item x="326"/>
        <item x="349"/>
        <item x="886"/>
        <item x="445"/>
        <item x="258"/>
        <item x="148"/>
        <item x="655"/>
        <item x="742"/>
        <item x="654"/>
        <item x="497"/>
        <item x="666"/>
        <item x="579"/>
        <item x="529"/>
        <item x="763"/>
        <item x="428"/>
        <item x="167"/>
        <item x="846"/>
        <item x="348"/>
        <item x="22"/>
        <item x="641"/>
        <item x="121"/>
        <item x="192"/>
        <item x="293"/>
        <item x="184"/>
        <item x="809"/>
        <item x="221"/>
        <item x="559"/>
        <item x="107"/>
        <item x="475"/>
        <item x="448"/>
        <item x="382"/>
        <item x="178"/>
        <item x="272"/>
        <item x="605"/>
        <item x="757"/>
        <item x="508"/>
        <item x="716"/>
        <item x="678"/>
        <item x="812"/>
        <item x="681"/>
        <item x="456"/>
        <item x="237"/>
        <item x="208"/>
        <item x="267"/>
        <item x="721"/>
        <item x="800"/>
        <item x="198"/>
        <item x="173"/>
        <item x="289"/>
        <item x="333"/>
        <item x="0"/>
        <item x="182"/>
        <item x="882"/>
        <item x="459"/>
        <item x="612"/>
        <item x="99"/>
        <item x="511"/>
        <item x="161"/>
        <item x="931"/>
        <item x="623"/>
        <item x="2"/>
        <item x="750"/>
        <item x="117"/>
        <item x="87"/>
        <item x="124"/>
        <item x="773"/>
        <item x="402"/>
        <item x="599"/>
        <item x="481"/>
        <item x="309"/>
        <item x="884"/>
        <item x="904"/>
        <item x="307"/>
        <item x="449"/>
        <item x="710"/>
        <item x="566"/>
        <item x="698"/>
        <item x="644"/>
        <item x="913"/>
        <item x="266"/>
        <item x="135"/>
        <item x="730"/>
        <item x="325"/>
        <item x="83"/>
        <item x="701"/>
        <item x="569"/>
        <item x="755"/>
        <item x="703"/>
        <item x="71"/>
        <item x="352"/>
        <item x="162"/>
        <item x="640"/>
        <item x="457"/>
        <item x="342"/>
        <item x="58"/>
        <item x="825"/>
        <item x="661"/>
        <item x="239"/>
        <item x="278"/>
        <item x="308"/>
        <item x="670"/>
        <item x="376"/>
        <item x="568"/>
        <item x="137"/>
        <item x="381"/>
        <item x="647"/>
        <item x="65"/>
        <item x="297"/>
        <item x="620"/>
        <item x="401"/>
        <item x="465"/>
        <item x="867"/>
        <item x="617"/>
        <item x="191"/>
        <item x="109"/>
        <item x="539"/>
        <item x="439"/>
        <item x="803"/>
        <item x="732"/>
        <item x="214"/>
        <item x="79"/>
        <item x="47"/>
        <item x="389"/>
        <item x="374"/>
        <item x="157"/>
        <item x="749"/>
        <item x="765"/>
        <item x="741"/>
        <item x="761"/>
        <item x="838"/>
        <item x="631"/>
        <item x="194"/>
        <item x="379"/>
        <item x="478"/>
        <item x="29"/>
        <item x="138"/>
        <item x="68"/>
        <item x="492"/>
        <item x="752"/>
        <item x="534"/>
        <item x="874"/>
        <item x="277"/>
        <item x="581"/>
        <item x="472"/>
        <item x="93"/>
        <item x="533"/>
        <item x="796"/>
        <item x="294"/>
        <item x="682"/>
        <item x="642"/>
        <item x="805"/>
        <item x="832"/>
        <item x="455"/>
        <item x="925"/>
        <item x="476"/>
        <item x="895"/>
        <item x="774"/>
        <item x="317"/>
        <item x="491"/>
        <item x="570"/>
        <item x="888"/>
        <item x="872"/>
        <item x="222"/>
        <item x="580"/>
        <item x="407"/>
        <item x="875"/>
        <item x="517"/>
        <item x="862"/>
        <item x="81"/>
        <item x="622"/>
        <item x="736"/>
        <item x="78"/>
        <item x="130"/>
        <item x="735"/>
        <item x="123"/>
        <item x="823"/>
        <item x="821"/>
        <item x="496"/>
        <item x="188"/>
        <item x="392"/>
        <item x="538"/>
        <item x="671"/>
        <item x="329"/>
        <item x="59"/>
        <item x="646"/>
        <item x="234"/>
        <item x="149"/>
        <item x="801"/>
        <item x="422"/>
        <item x="649"/>
        <item x="164"/>
        <item x="367"/>
        <item x="421"/>
        <item x="187"/>
        <item x="709"/>
        <item x="220"/>
        <item x="782"/>
        <item x="627"/>
        <item x="355"/>
        <item x="669"/>
        <item x="23"/>
        <item x="305"/>
        <item x="745"/>
        <item x="863"/>
        <item x="18"/>
        <item x="676"/>
        <item x="111"/>
        <item x="320"/>
        <item x="740"/>
        <item x="283"/>
        <item x="72"/>
        <item x="463"/>
        <item x="254"/>
        <item x="274"/>
        <item x="860"/>
        <item x="865"/>
        <item x="802"/>
        <item x="154"/>
        <item x="405"/>
        <item x="791"/>
        <item x="523"/>
        <item x="353"/>
        <item x="628"/>
        <item x="789"/>
        <item x="880"/>
        <item x="483"/>
        <item x="933"/>
        <item x="822"/>
        <item x="288"/>
        <item x="524"/>
        <item x="634"/>
        <item x="751"/>
        <item x="74"/>
        <item x="438"/>
        <item x="589"/>
        <item x="813"/>
        <item x="129"/>
        <item x="44"/>
        <item x="393"/>
        <item x="635"/>
        <item x="180"/>
        <item x="249"/>
        <item x="779"/>
        <item x="414"/>
        <item x="793"/>
        <item x="153"/>
        <item x="281"/>
        <item x="34"/>
        <item x="15"/>
        <item x="818"/>
        <item x="265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15" baseField="0" baseItem="0"/>
  </dataFields>
  <chartFormats count="4"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72F40-3085-4F10-88C9-52EFC85BA93E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7">
  <location ref="W3:X328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axis="axisRow" showAll="0" sortType="descending">
      <items count="325">
        <item x="263"/>
        <item x="162"/>
        <item x="243"/>
        <item x="313"/>
        <item x="92"/>
        <item x="298"/>
        <item x="58"/>
        <item x="194"/>
        <item x="16"/>
        <item x="54"/>
        <item x="318"/>
        <item x="7"/>
        <item x="272"/>
        <item x="129"/>
        <item x="218"/>
        <item x="295"/>
        <item x="157"/>
        <item x="90"/>
        <item x="120"/>
        <item x="155"/>
        <item x="191"/>
        <item x="126"/>
        <item x="121"/>
        <item x="248"/>
        <item x="36"/>
        <item x="127"/>
        <item x="209"/>
        <item x="84"/>
        <item x="20"/>
        <item x="136"/>
        <item x="160"/>
        <item x="202"/>
        <item x="285"/>
        <item x="196"/>
        <item x="71"/>
        <item x="63"/>
        <item x="69"/>
        <item x="251"/>
        <item x="205"/>
        <item x="279"/>
        <item x="23"/>
        <item x="215"/>
        <item x="233"/>
        <item x="214"/>
        <item x="188"/>
        <item x="252"/>
        <item x="125"/>
        <item x="4"/>
        <item x="45"/>
        <item x="303"/>
        <item x="142"/>
        <item x="289"/>
        <item x="46"/>
        <item x="287"/>
        <item x="8"/>
        <item x="65"/>
        <item x="49"/>
        <item x="116"/>
        <item x="75"/>
        <item x="32"/>
        <item x="267"/>
        <item x="320"/>
        <item x="59"/>
        <item x="280"/>
        <item x="172"/>
        <item x="152"/>
        <item x="212"/>
        <item x="40"/>
        <item x="173"/>
        <item x="159"/>
        <item x="270"/>
        <item x="123"/>
        <item x="29"/>
        <item x="151"/>
        <item x="94"/>
        <item x="309"/>
        <item x="52"/>
        <item x="321"/>
        <item x="225"/>
        <item x="210"/>
        <item x="85"/>
        <item x="181"/>
        <item x="245"/>
        <item x="180"/>
        <item x="31"/>
        <item x="286"/>
        <item x="195"/>
        <item x="304"/>
        <item x="269"/>
        <item x="204"/>
        <item x="124"/>
        <item x="185"/>
        <item x="153"/>
        <item x="10"/>
        <item x="258"/>
        <item x="88"/>
        <item x="86"/>
        <item x="221"/>
        <item x="42"/>
        <item x="300"/>
        <item x="105"/>
        <item x="101"/>
        <item x="131"/>
        <item x="226"/>
        <item x="253"/>
        <item x="35"/>
        <item x="11"/>
        <item x="250"/>
        <item x="200"/>
        <item x="242"/>
        <item x="271"/>
        <item x="134"/>
        <item x="163"/>
        <item x="148"/>
        <item x="268"/>
        <item x="203"/>
        <item x="193"/>
        <item x="239"/>
        <item x="43"/>
        <item x="19"/>
        <item x="97"/>
        <item x="234"/>
        <item x="147"/>
        <item x="190"/>
        <item x="18"/>
        <item x="264"/>
        <item x="13"/>
        <item x="262"/>
        <item x="156"/>
        <item x="183"/>
        <item x="78"/>
        <item x="132"/>
        <item x="256"/>
        <item x="67"/>
        <item x="317"/>
        <item x="111"/>
        <item x="50"/>
        <item x="189"/>
        <item x="216"/>
        <item x="122"/>
        <item x="241"/>
        <item x="30"/>
        <item x="143"/>
        <item x="282"/>
        <item x="91"/>
        <item x="112"/>
        <item x="211"/>
        <item x="25"/>
        <item x="14"/>
        <item x="60"/>
        <item x="302"/>
        <item x="310"/>
        <item x="115"/>
        <item x="231"/>
        <item x="299"/>
        <item x="288"/>
        <item x="260"/>
        <item x="228"/>
        <item x="82"/>
        <item x="235"/>
        <item x="6"/>
        <item x="178"/>
        <item x="81"/>
        <item x="95"/>
        <item x="1"/>
        <item x="145"/>
        <item x="76"/>
        <item x="146"/>
        <item x="230"/>
        <item x="291"/>
        <item x="306"/>
        <item x="301"/>
        <item x="79"/>
        <item x="109"/>
        <item x="89"/>
        <item x="247"/>
        <item x="117"/>
        <item x="168"/>
        <item x="139"/>
        <item x="284"/>
        <item x="64"/>
        <item x="110"/>
        <item x="254"/>
        <item x="219"/>
        <item x="167"/>
        <item x="275"/>
        <item x="229"/>
        <item x="208"/>
        <item x="164"/>
        <item x="223"/>
        <item x="158"/>
        <item x="240"/>
        <item x="99"/>
        <item x="24"/>
        <item x="232"/>
        <item x="41"/>
        <item x="103"/>
        <item x="93"/>
        <item x="12"/>
        <item x="244"/>
        <item x="166"/>
        <item x="236"/>
        <item x="322"/>
        <item x="305"/>
        <item x="255"/>
        <item x="133"/>
        <item x="77"/>
        <item x="0"/>
        <item x="293"/>
        <item x="170"/>
        <item x="83"/>
        <item x="292"/>
        <item x="53"/>
        <item x="74"/>
        <item x="176"/>
        <item x="118"/>
        <item x="259"/>
        <item x="206"/>
        <item x="113"/>
        <item x="108"/>
        <item x="199"/>
        <item x="261"/>
        <item x="227"/>
        <item x="192"/>
        <item x="107"/>
        <item x="22"/>
        <item x="98"/>
        <item x="315"/>
        <item x="177"/>
        <item x="9"/>
        <item x="184"/>
        <item x="44"/>
        <item x="5"/>
        <item x="2"/>
        <item x="144"/>
        <item x="154"/>
        <item x="150"/>
        <item x="51"/>
        <item x="294"/>
        <item x="135"/>
        <item x="171"/>
        <item x="238"/>
        <item x="198"/>
        <item x="141"/>
        <item x="47"/>
        <item x="257"/>
        <item x="15"/>
        <item x="27"/>
        <item x="61"/>
        <item x="312"/>
        <item x="17"/>
        <item x="62"/>
        <item x="311"/>
        <item x="87"/>
        <item x="56"/>
        <item x="182"/>
        <item x="281"/>
        <item x="26"/>
        <item x="265"/>
        <item x="119"/>
        <item x="319"/>
        <item x="57"/>
        <item x="169"/>
        <item x="283"/>
        <item x="137"/>
        <item x="104"/>
        <item x="174"/>
        <item x="307"/>
        <item x="3"/>
        <item x="37"/>
        <item x="28"/>
        <item x="186"/>
        <item x="237"/>
        <item x="187"/>
        <item x="201"/>
        <item x="68"/>
        <item x="273"/>
        <item x="21"/>
        <item x="130"/>
        <item x="222"/>
        <item x="34"/>
        <item x="179"/>
        <item x="246"/>
        <item x="220"/>
        <item x="266"/>
        <item x="48"/>
        <item x="96"/>
        <item x="316"/>
        <item x="128"/>
        <item x="323"/>
        <item x="278"/>
        <item x="161"/>
        <item x="38"/>
        <item x="66"/>
        <item x="224"/>
        <item x="175"/>
        <item x="213"/>
        <item x="138"/>
        <item x="276"/>
        <item x="290"/>
        <item x="39"/>
        <item x="314"/>
        <item x="70"/>
        <item x="277"/>
        <item x="308"/>
        <item x="207"/>
        <item x="249"/>
        <item x="297"/>
        <item x="80"/>
        <item x="33"/>
        <item x="100"/>
        <item x="106"/>
        <item x="296"/>
        <item x="140"/>
        <item x="73"/>
        <item x="72"/>
        <item x="197"/>
        <item x="217"/>
        <item x="165"/>
        <item x="114"/>
        <item x="102"/>
        <item x="274"/>
        <item x="149"/>
        <item x="55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8">
        <item x="12"/>
        <item x="6"/>
        <item x="8"/>
        <item x="5"/>
        <item x="0"/>
        <item x="9"/>
        <item x="16"/>
        <item x="10"/>
        <item x="13"/>
        <item x="3"/>
        <item x="1"/>
        <item x="14"/>
        <item x="4"/>
        <item x="11"/>
        <item x="7"/>
        <item x="15"/>
        <item x="2"/>
        <item t="default"/>
      </items>
    </pivotField>
    <pivotField showAll="0" sortType="descending">
      <items count="944">
        <item x="346"/>
        <item x="218"/>
        <item x="798"/>
        <item x="729"/>
        <item x="614"/>
        <item x="284"/>
        <item x="383"/>
        <item x="116"/>
        <item x="715"/>
        <item x="911"/>
        <item x="629"/>
        <item x="298"/>
        <item x="587"/>
        <item x="359"/>
        <item x="561"/>
        <item x="340"/>
        <item x="423"/>
        <item x="549"/>
        <item x="650"/>
        <item x="411"/>
        <item x="853"/>
        <item x="784"/>
        <item x="302"/>
        <item x="576"/>
        <item x="926"/>
        <item x="683"/>
        <item x="738"/>
        <item x="364"/>
        <item x="42"/>
        <item x="693"/>
        <item x="303"/>
        <item x="831"/>
        <item x="247"/>
        <item x="604"/>
        <item x="613"/>
        <item x="163"/>
        <item x="337"/>
        <item x="156"/>
        <item x="235"/>
        <item x="686"/>
        <item x="4"/>
        <item x="276"/>
        <item x="142"/>
        <item x="610"/>
        <item x="100"/>
        <item x="934"/>
        <item x="677"/>
        <item x="725"/>
        <item x="60"/>
        <item x="856"/>
        <item x="878"/>
        <item x="679"/>
        <item x="250"/>
        <item x="509"/>
        <item x="889"/>
        <item x="490"/>
        <item x="550"/>
        <item x="140"/>
        <item x="574"/>
        <item x="69"/>
        <item x="473"/>
        <item x="525"/>
        <item x="810"/>
        <item x="489"/>
        <item x="929"/>
        <item x="664"/>
        <item x="321"/>
        <item x="160"/>
        <item x="920"/>
        <item x="837"/>
        <item x="900"/>
        <item x="892"/>
        <item x="792"/>
        <item x="436"/>
        <item x="174"/>
        <item x="734"/>
        <item x="556"/>
        <item x="861"/>
        <item x="586"/>
        <item x="295"/>
        <item x="314"/>
        <item x="378"/>
        <item x="442"/>
        <item x="427"/>
        <item x="494"/>
        <item x="573"/>
        <item x="102"/>
        <item x="689"/>
        <item x="918"/>
        <item x="479"/>
        <item x="339"/>
        <item x="420"/>
        <item x="466"/>
        <item x="446"/>
        <item x="866"/>
        <item x="332"/>
        <item x="350"/>
        <item x="468"/>
        <item x="595"/>
        <item x="141"/>
        <item x="151"/>
        <item x="12"/>
        <item x="923"/>
        <item x="722"/>
        <item x="139"/>
        <item x="937"/>
        <item x="495"/>
        <item x="347"/>
        <item x="435"/>
        <item x="885"/>
        <item x="474"/>
        <item x="758"/>
        <item x="847"/>
        <item x="916"/>
        <item x="851"/>
        <item x="193"/>
        <item x="833"/>
        <item x="868"/>
        <item x="25"/>
        <item x="19"/>
        <item x="240"/>
        <item x="504"/>
        <item x="48"/>
        <item x="563"/>
        <item x="941"/>
        <item x="767"/>
        <item x="659"/>
        <item x="409"/>
        <item x="396"/>
        <item x="41"/>
        <item x="152"/>
        <item x="132"/>
        <item x="940"/>
        <item x="251"/>
        <item x="660"/>
        <item x="45"/>
        <item x="225"/>
        <item x="883"/>
        <item x="527"/>
        <item x="662"/>
        <item x="271"/>
        <item x="621"/>
        <item x="808"/>
        <item x="331"/>
        <item x="447"/>
        <item x="804"/>
        <item x="648"/>
        <item x="651"/>
        <item x="91"/>
        <item x="936"/>
        <item x="902"/>
        <item x="584"/>
        <item x="217"/>
        <item x="743"/>
        <item x="639"/>
        <item x="705"/>
        <item x="432"/>
        <item x="77"/>
        <item x="322"/>
        <item x="204"/>
        <item x="942"/>
        <item x="503"/>
        <item x="262"/>
        <item x="128"/>
        <item x="30"/>
        <item x="697"/>
        <item x="155"/>
        <item x="7"/>
        <item x="461"/>
        <item x="726"/>
        <item x="131"/>
        <item x="375"/>
        <item x="707"/>
        <item x="206"/>
        <item x="395"/>
        <item x="361"/>
        <item x="200"/>
        <item x="787"/>
        <item x="343"/>
        <item x="315"/>
        <item x="158"/>
        <item x="70"/>
        <item x="385"/>
        <item x="344"/>
        <item x="505"/>
        <item x="189"/>
        <item x="500"/>
        <item x="591"/>
        <item x="144"/>
        <item x="86"/>
        <item x="365"/>
        <item x="66"/>
        <item x="190"/>
        <item x="159"/>
        <item x="145"/>
        <item x="28"/>
        <item x="776"/>
        <item x="506"/>
        <item x="819"/>
        <item x="756"/>
        <item x="830"/>
        <item x="915"/>
        <item x="273"/>
        <item x="63"/>
        <item x="493"/>
        <item x="770"/>
        <item x="391"/>
        <item x="1"/>
        <item x="501"/>
        <item x="546"/>
        <item x="724"/>
        <item x="434"/>
        <item x="672"/>
        <item x="136"/>
        <item x="712"/>
        <item x="62"/>
        <item x="849"/>
        <item x="219"/>
        <item x="96"/>
        <item x="786"/>
        <item x="522"/>
        <item x="76"/>
        <item x="935"/>
        <item x="80"/>
        <item x="695"/>
        <item x="213"/>
        <item x="537"/>
        <item x="781"/>
        <item x="637"/>
        <item x="777"/>
        <item x="572"/>
        <item x="482"/>
        <item x="518"/>
        <item x="890"/>
        <item x="37"/>
        <item x="552"/>
        <item x="203"/>
        <item x="894"/>
        <item x="399"/>
        <item x="110"/>
        <item x="183"/>
        <item x="104"/>
        <item x="723"/>
        <item x="625"/>
        <item x="485"/>
        <item x="338"/>
        <item x="542"/>
        <item x="114"/>
        <item x="195"/>
        <item x="13"/>
        <item x="390"/>
        <item x="515"/>
        <item x="607"/>
        <item x="282"/>
        <item x="304"/>
        <item x="739"/>
        <item x="685"/>
        <item x="499"/>
        <item x="618"/>
        <item x="236"/>
        <item x="708"/>
        <item x="555"/>
        <item x="85"/>
        <item x="35"/>
        <item x="242"/>
        <item x="207"/>
        <item x="480"/>
        <item x="769"/>
        <item x="185"/>
        <item x="403"/>
        <item x="113"/>
        <item x="852"/>
        <item x="799"/>
        <item x="603"/>
        <item x="601"/>
        <item x="510"/>
        <item x="82"/>
        <item x="675"/>
        <item x="871"/>
        <item x="667"/>
        <item x="820"/>
        <item x="371"/>
        <item x="887"/>
        <item x="64"/>
        <item x="462"/>
        <item x="577"/>
        <item x="413"/>
        <item x="94"/>
        <item x="224"/>
        <item x="658"/>
        <item x="928"/>
        <item x="687"/>
        <item x="410"/>
        <item x="362"/>
        <item x="16"/>
        <item x="205"/>
        <item x="557"/>
        <item x="424"/>
        <item x="593"/>
        <item x="443"/>
        <item x="924"/>
        <item x="75"/>
        <item x="467"/>
        <item x="632"/>
        <item x="516"/>
        <item x="748"/>
        <item x="827"/>
        <item x="588"/>
        <item x="562"/>
        <item x="807"/>
        <item x="814"/>
        <item x="54"/>
        <item x="95"/>
        <item x="133"/>
        <item x="126"/>
        <item x="241"/>
        <item x="585"/>
        <item x="843"/>
        <item x="351"/>
        <item x="645"/>
        <item x="143"/>
        <item x="864"/>
        <item x="619"/>
        <item x="38"/>
        <item x="228"/>
        <item x="706"/>
        <item x="412"/>
        <item x="150"/>
        <item x="90"/>
        <item x="384"/>
        <item x="600"/>
        <item x="788"/>
        <item x="719"/>
        <item x="119"/>
        <item x="583"/>
        <item x="653"/>
        <item x="177"/>
        <item x="9"/>
        <item x="471"/>
        <item x="747"/>
        <item x="897"/>
        <item x="418"/>
        <item x="368"/>
        <item x="551"/>
        <item x="850"/>
        <item x="223"/>
        <item x="255"/>
        <item x="903"/>
        <item x="380"/>
        <item x="197"/>
        <item x="388"/>
        <item x="484"/>
        <item x="817"/>
        <item x="759"/>
        <item x="567"/>
        <item x="470"/>
        <item x="301"/>
        <item x="10"/>
        <item x="134"/>
        <item x="230"/>
        <item x="67"/>
        <item x="571"/>
        <item x="744"/>
        <item x="259"/>
        <item x="486"/>
        <item x="544"/>
        <item x="594"/>
        <item x="452"/>
        <item x="893"/>
        <item x="199"/>
        <item x="232"/>
        <item x="300"/>
        <item x="464"/>
        <item x="771"/>
        <item x="108"/>
        <item x="938"/>
        <item x="834"/>
        <item x="526"/>
        <item x="762"/>
        <item x="519"/>
        <item x="674"/>
        <item x="844"/>
        <item x="341"/>
        <item x="50"/>
        <item x="513"/>
        <item x="92"/>
        <item x="877"/>
        <item x="425"/>
        <item x="841"/>
        <item x="531"/>
        <item x="313"/>
        <item x="922"/>
        <item x="824"/>
        <item x="717"/>
        <item x="336"/>
        <item x="369"/>
        <item x="718"/>
        <item x="226"/>
        <item x="790"/>
        <item x="275"/>
        <item x="52"/>
        <item x="477"/>
        <item x="260"/>
        <item x="243"/>
        <item x="429"/>
        <item x="848"/>
        <item x="775"/>
        <item x="845"/>
        <item x="316"/>
        <item x="39"/>
        <item x="881"/>
        <item x="51"/>
        <item x="826"/>
        <item x="560"/>
        <item x="564"/>
        <item x="49"/>
        <item x="668"/>
        <item x="711"/>
        <item x="854"/>
        <item x="633"/>
        <item x="460"/>
        <item x="656"/>
        <item x="454"/>
        <item x="512"/>
        <item x="345"/>
        <item x="112"/>
        <item x="323"/>
        <item x="312"/>
        <item x="291"/>
        <item x="211"/>
        <item x="458"/>
        <item x="106"/>
        <item x="147"/>
        <item x="171"/>
        <item x="335"/>
        <item x="879"/>
        <item x="453"/>
        <item x="357"/>
        <item x="318"/>
        <item x="263"/>
        <item x="909"/>
        <item x="699"/>
        <item x="532"/>
        <item x="394"/>
        <item x="680"/>
        <item x="733"/>
        <item x="165"/>
        <item x="912"/>
        <item x="540"/>
        <item x="73"/>
        <item x="256"/>
        <item x="431"/>
        <item x="554"/>
        <item x="36"/>
        <item x="859"/>
        <item x="753"/>
        <item x="565"/>
        <item x="914"/>
        <item x="530"/>
        <item x="172"/>
        <item x="528"/>
        <item x="778"/>
        <item x="700"/>
        <item x="186"/>
        <item x="630"/>
        <item x="543"/>
        <item x="21"/>
        <item x="246"/>
        <item x="261"/>
        <item x="855"/>
        <item x="638"/>
        <item x="663"/>
        <item x="839"/>
        <item x="127"/>
        <item x="704"/>
        <item x="553"/>
        <item x="870"/>
        <item x="229"/>
        <item x="311"/>
        <item x="53"/>
        <item x="27"/>
        <item x="624"/>
        <item x="61"/>
        <item x="269"/>
        <item x="334"/>
        <item x="548"/>
        <item x="216"/>
        <item x="233"/>
        <item x="811"/>
        <item x="397"/>
        <item x="257"/>
        <item x="536"/>
        <item x="55"/>
        <item x="146"/>
        <item x="541"/>
        <item x="417"/>
        <item x="166"/>
        <item x="836"/>
        <item x="869"/>
        <item x="287"/>
        <item x="673"/>
        <item x="842"/>
        <item x="400"/>
        <item x="714"/>
        <item x="215"/>
        <item x="547"/>
        <item x="876"/>
        <item x="286"/>
        <item x="354"/>
        <item x="387"/>
        <item x="939"/>
        <item x="652"/>
        <item x="24"/>
        <item x="6"/>
        <item x="728"/>
        <item x="611"/>
        <item x="521"/>
        <item x="31"/>
        <item x="665"/>
        <item x="280"/>
        <item x="688"/>
        <item x="290"/>
        <item x="535"/>
        <item x="408"/>
        <item x="451"/>
        <item x="815"/>
        <item x="896"/>
        <item x="20"/>
        <item x="253"/>
        <item x="713"/>
        <item x="26"/>
        <item x="252"/>
        <item x="684"/>
        <item x="370"/>
        <item x="795"/>
        <item x="238"/>
        <item x="97"/>
        <item x="766"/>
        <item x="101"/>
        <item x="785"/>
        <item x="636"/>
        <item x="816"/>
        <item x="450"/>
        <item x="690"/>
        <item x="179"/>
        <item x="731"/>
        <item x="175"/>
        <item x="11"/>
        <item x="910"/>
        <item x="57"/>
        <item x="201"/>
        <item x="502"/>
        <item x="306"/>
        <item x="899"/>
        <item x="404"/>
        <item x="426"/>
        <item x="768"/>
        <item x="657"/>
        <item x="176"/>
        <item x="692"/>
        <item x="227"/>
        <item x="772"/>
        <item x="292"/>
        <item x="115"/>
        <item x="829"/>
        <item x="596"/>
        <item x="598"/>
        <item x="780"/>
        <item x="270"/>
        <item x="514"/>
        <item x="582"/>
        <item x="727"/>
        <item x="488"/>
        <item x="764"/>
        <item x="858"/>
        <item x="170"/>
        <item x="930"/>
        <item x="377"/>
        <item x="363"/>
        <item x="575"/>
        <item x="419"/>
        <item x="406"/>
        <item x="98"/>
        <item x="319"/>
        <item x="279"/>
        <item x="558"/>
        <item x="626"/>
        <item x="415"/>
        <item x="56"/>
        <item x="606"/>
        <item x="760"/>
        <item x="702"/>
        <item x="360"/>
        <item x="578"/>
        <item x="43"/>
        <item x="592"/>
        <item x="430"/>
        <item x="906"/>
        <item x="330"/>
        <item x="231"/>
        <item x="358"/>
        <item x="8"/>
        <item x="520"/>
        <item x="608"/>
        <item x="440"/>
        <item x="643"/>
        <item x="720"/>
        <item x="754"/>
        <item x="905"/>
        <item x="356"/>
        <item x="5"/>
        <item x="212"/>
        <item x="932"/>
        <item x="386"/>
        <item x="840"/>
        <item x="327"/>
        <item x="310"/>
        <item x="46"/>
        <item x="898"/>
        <item x="545"/>
        <item x="857"/>
        <item x="416"/>
        <item x="120"/>
        <item x="196"/>
        <item x="296"/>
        <item x="921"/>
        <item x="797"/>
        <item x="602"/>
        <item x="248"/>
        <item x="209"/>
        <item x="616"/>
        <item x="88"/>
        <item x="437"/>
        <item x="105"/>
        <item x="168"/>
        <item x="794"/>
        <item x="210"/>
        <item x="828"/>
        <item x="806"/>
        <item x="285"/>
        <item x="433"/>
        <item x="118"/>
        <item x="487"/>
        <item x="299"/>
        <item x="328"/>
        <item x="398"/>
        <item x="597"/>
        <item x="40"/>
        <item x="746"/>
        <item x="444"/>
        <item x="202"/>
        <item x="696"/>
        <item x="590"/>
        <item x="3"/>
        <item x="441"/>
        <item x="694"/>
        <item x="873"/>
        <item x="33"/>
        <item x="469"/>
        <item x="181"/>
        <item x="609"/>
        <item x="17"/>
        <item x="372"/>
        <item x="366"/>
        <item x="691"/>
        <item x="89"/>
        <item x="244"/>
        <item x="103"/>
        <item x="245"/>
        <item x="32"/>
        <item x="927"/>
        <item x="264"/>
        <item x="14"/>
        <item x="835"/>
        <item x="891"/>
        <item x="125"/>
        <item x="783"/>
        <item x="498"/>
        <item x="373"/>
        <item x="901"/>
        <item x="737"/>
        <item x="908"/>
        <item x="169"/>
        <item x="507"/>
        <item x="122"/>
        <item x="615"/>
        <item x="324"/>
        <item x="84"/>
        <item x="268"/>
        <item x="919"/>
        <item x="907"/>
        <item x="917"/>
        <item x="326"/>
        <item x="349"/>
        <item x="886"/>
        <item x="445"/>
        <item x="258"/>
        <item x="148"/>
        <item x="655"/>
        <item x="742"/>
        <item x="654"/>
        <item x="497"/>
        <item x="666"/>
        <item x="579"/>
        <item x="529"/>
        <item x="763"/>
        <item x="428"/>
        <item x="167"/>
        <item x="846"/>
        <item x="348"/>
        <item x="22"/>
        <item x="641"/>
        <item x="121"/>
        <item x="192"/>
        <item x="293"/>
        <item x="184"/>
        <item x="809"/>
        <item x="221"/>
        <item x="559"/>
        <item x="107"/>
        <item x="475"/>
        <item x="448"/>
        <item x="382"/>
        <item x="178"/>
        <item x="272"/>
        <item x="605"/>
        <item x="757"/>
        <item x="508"/>
        <item x="716"/>
        <item x="678"/>
        <item x="812"/>
        <item x="681"/>
        <item x="456"/>
        <item x="237"/>
        <item x="208"/>
        <item x="267"/>
        <item x="721"/>
        <item x="800"/>
        <item x="198"/>
        <item x="173"/>
        <item x="289"/>
        <item x="333"/>
        <item x="0"/>
        <item x="182"/>
        <item x="882"/>
        <item x="459"/>
        <item x="612"/>
        <item x="99"/>
        <item x="511"/>
        <item x="161"/>
        <item x="931"/>
        <item x="623"/>
        <item x="2"/>
        <item x="750"/>
        <item x="117"/>
        <item x="87"/>
        <item x="124"/>
        <item x="773"/>
        <item x="402"/>
        <item x="599"/>
        <item x="481"/>
        <item x="309"/>
        <item x="884"/>
        <item x="904"/>
        <item x="307"/>
        <item x="449"/>
        <item x="710"/>
        <item x="566"/>
        <item x="698"/>
        <item x="644"/>
        <item x="913"/>
        <item x="266"/>
        <item x="135"/>
        <item x="730"/>
        <item x="325"/>
        <item x="83"/>
        <item x="701"/>
        <item x="569"/>
        <item x="755"/>
        <item x="703"/>
        <item x="71"/>
        <item x="352"/>
        <item x="162"/>
        <item x="640"/>
        <item x="457"/>
        <item x="342"/>
        <item x="58"/>
        <item x="825"/>
        <item x="661"/>
        <item x="239"/>
        <item x="278"/>
        <item x="308"/>
        <item x="670"/>
        <item x="376"/>
        <item x="568"/>
        <item x="137"/>
        <item x="381"/>
        <item x="647"/>
        <item x="65"/>
        <item x="297"/>
        <item x="620"/>
        <item x="401"/>
        <item x="465"/>
        <item x="867"/>
        <item x="617"/>
        <item x="191"/>
        <item x="109"/>
        <item x="539"/>
        <item x="439"/>
        <item x="803"/>
        <item x="732"/>
        <item x="214"/>
        <item x="79"/>
        <item x="47"/>
        <item x="389"/>
        <item x="374"/>
        <item x="157"/>
        <item x="749"/>
        <item x="765"/>
        <item x="741"/>
        <item x="761"/>
        <item x="838"/>
        <item x="631"/>
        <item x="194"/>
        <item x="379"/>
        <item x="478"/>
        <item x="29"/>
        <item x="138"/>
        <item x="68"/>
        <item x="492"/>
        <item x="752"/>
        <item x="534"/>
        <item x="874"/>
        <item x="277"/>
        <item x="581"/>
        <item x="472"/>
        <item x="93"/>
        <item x="533"/>
        <item x="796"/>
        <item x="294"/>
        <item x="682"/>
        <item x="642"/>
        <item x="805"/>
        <item x="832"/>
        <item x="455"/>
        <item x="925"/>
        <item x="476"/>
        <item x="895"/>
        <item x="774"/>
        <item x="317"/>
        <item x="491"/>
        <item x="570"/>
        <item x="888"/>
        <item x="872"/>
        <item x="222"/>
        <item x="580"/>
        <item x="407"/>
        <item x="875"/>
        <item x="517"/>
        <item x="862"/>
        <item x="81"/>
        <item x="622"/>
        <item x="736"/>
        <item x="78"/>
        <item x="130"/>
        <item x="735"/>
        <item x="123"/>
        <item x="823"/>
        <item x="821"/>
        <item x="496"/>
        <item x="188"/>
        <item x="392"/>
        <item x="538"/>
        <item x="671"/>
        <item x="329"/>
        <item x="59"/>
        <item x="646"/>
        <item x="234"/>
        <item x="149"/>
        <item x="801"/>
        <item x="422"/>
        <item x="649"/>
        <item x="164"/>
        <item x="367"/>
        <item x="421"/>
        <item x="187"/>
        <item x="709"/>
        <item x="220"/>
        <item x="782"/>
        <item x="627"/>
        <item x="355"/>
        <item x="669"/>
        <item x="23"/>
        <item x="305"/>
        <item x="745"/>
        <item x="863"/>
        <item x="18"/>
        <item x="676"/>
        <item x="111"/>
        <item x="320"/>
        <item x="740"/>
        <item x="283"/>
        <item x="72"/>
        <item x="463"/>
        <item x="254"/>
        <item x="274"/>
        <item x="860"/>
        <item x="865"/>
        <item x="802"/>
        <item x="154"/>
        <item x="405"/>
        <item x="791"/>
        <item x="523"/>
        <item x="353"/>
        <item x="628"/>
        <item x="789"/>
        <item x="880"/>
        <item x="483"/>
        <item x="933"/>
        <item x="822"/>
        <item x="288"/>
        <item x="524"/>
        <item x="634"/>
        <item x="751"/>
        <item x="74"/>
        <item x="438"/>
        <item x="589"/>
        <item x="813"/>
        <item x="129"/>
        <item x="44"/>
        <item x="393"/>
        <item x="635"/>
        <item x="180"/>
        <item x="249"/>
        <item x="779"/>
        <item x="414"/>
        <item x="793"/>
        <item x="153"/>
        <item x="281"/>
        <item x="34"/>
        <item x="15"/>
        <item x="818"/>
        <item x="265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3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 t="grand">
      <x/>
    </i>
  </rowItems>
  <colItems count="1">
    <i/>
  </colItems>
  <dataFields count="1">
    <dataField name="Sum of Profit" fld="15" baseField="0" baseItem="0"/>
  </dataFields>
  <chartFormats count="1"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3AD6B-94FC-4D2C-9F09-7EF65B9FB1CD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E3:F947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 sortType="descending">
      <items count="325">
        <item x="263"/>
        <item x="162"/>
        <item x="243"/>
        <item x="313"/>
        <item x="92"/>
        <item x="298"/>
        <item x="58"/>
        <item x="194"/>
        <item x="16"/>
        <item x="54"/>
        <item x="318"/>
        <item x="7"/>
        <item x="272"/>
        <item x="129"/>
        <item x="218"/>
        <item x="295"/>
        <item x="157"/>
        <item x="90"/>
        <item x="120"/>
        <item x="155"/>
        <item x="191"/>
        <item x="126"/>
        <item x="121"/>
        <item x="248"/>
        <item x="36"/>
        <item x="127"/>
        <item x="209"/>
        <item x="84"/>
        <item x="20"/>
        <item x="136"/>
        <item x="160"/>
        <item x="202"/>
        <item x="285"/>
        <item x="196"/>
        <item x="71"/>
        <item x="63"/>
        <item x="69"/>
        <item x="251"/>
        <item x="205"/>
        <item x="279"/>
        <item x="23"/>
        <item x="215"/>
        <item x="233"/>
        <item x="214"/>
        <item x="188"/>
        <item x="252"/>
        <item x="125"/>
        <item x="4"/>
        <item x="45"/>
        <item x="303"/>
        <item x="142"/>
        <item x="289"/>
        <item x="46"/>
        <item x="287"/>
        <item x="8"/>
        <item x="65"/>
        <item x="49"/>
        <item x="116"/>
        <item x="75"/>
        <item x="32"/>
        <item x="267"/>
        <item x="320"/>
        <item x="59"/>
        <item x="280"/>
        <item x="172"/>
        <item x="152"/>
        <item x="212"/>
        <item x="40"/>
        <item x="173"/>
        <item x="159"/>
        <item x="270"/>
        <item x="123"/>
        <item x="29"/>
        <item x="151"/>
        <item x="94"/>
        <item x="309"/>
        <item x="52"/>
        <item x="321"/>
        <item x="225"/>
        <item x="210"/>
        <item x="85"/>
        <item x="181"/>
        <item x="245"/>
        <item x="180"/>
        <item x="31"/>
        <item x="286"/>
        <item x="195"/>
        <item x="304"/>
        <item x="269"/>
        <item x="204"/>
        <item x="124"/>
        <item x="185"/>
        <item x="153"/>
        <item x="10"/>
        <item x="258"/>
        <item x="88"/>
        <item x="86"/>
        <item x="221"/>
        <item x="42"/>
        <item x="300"/>
        <item x="105"/>
        <item x="101"/>
        <item x="131"/>
        <item x="226"/>
        <item x="253"/>
        <item x="35"/>
        <item x="11"/>
        <item x="250"/>
        <item x="200"/>
        <item x="242"/>
        <item x="271"/>
        <item x="134"/>
        <item x="163"/>
        <item x="148"/>
        <item x="268"/>
        <item x="203"/>
        <item x="193"/>
        <item x="239"/>
        <item x="43"/>
        <item x="19"/>
        <item x="97"/>
        <item x="234"/>
        <item x="147"/>
        <item x="190"/>
        <item x="18"/>
        <item x="264"/>
        <item x="13"/>
        <item x="262"/>
        <item x="156"/>
        <item x="183"/>
        <item x="78"/>
        <item x="132"/>
        <item x="256"/>
        <item x="67"/>
        <item x="317"/>
        <item x="111"/>
        <item x="50"/>
        <item x="189"/>
        <item x="216"/>
        <item x="122"/>
        <item x="241"/>
        <item x="30"/>
        <item x="143"/>
        <item x="282"/>
        <item x="91"/>
        <item x="112"/>
        <item x="211"/>
        <item x="25"/>
        <item x="14"/>
        <item x="60"/>
        <item x="302"/>
        <item x="310"/>
        <item x="115"/>
        <item x="231"/>
        <item x="299"/>
        <item x="288"/>
        <item x="260"/>
        <item x="228"/>
        <item x="82"/>
        <item x="235"/>
        <item x="6"/>
        <item x="178"/>
        <item x="81"/>
        <item x="95"/>
        <item x="1"/>
        <item x="145"/>
        <item x="76"/>
        <item x="146"/>
        <item x="230"/>
        <item x="291"/>
        <item x="306"/>
        <item x="301"/>
        <item x="79"/>
        <item x="109"/>
        <item x="89"/>
        <item x="247"/>
        <item x="117"/>
        <item x="168"/>
        <item x="139"/>
        <item x="284"/>
        <item x="64"/>
        <item x="110"/>
        <item x="254"/>
        <item x="219"/>
        <item x="167"/>
        <item x="275"/>
        <item x="229"/>
        <item x="208"/>
        <item x="164"/>
        <item x="223"/>
        <item x="158"/>
        <item x="240"/>
        <item x="99"/>
        <item x="24"/>
        <item x="232"/>
        <item x="41"/>
        <item x="103"/>
        <item x="93"/>
        <item x="12"/>
        <item x="244"/>
        <item x="166"/>
        <item x="236"/>
        <item x="322"/>
        <item x="305"/>
        <item x="255"/>
        <item x="133"/>
        <item x="77"/>
        <item x="0"/>
        <item x="293"/>
        <item x="170"/>
        <item x="83"/>
        <item x="292"/>
        <item x="53"/>
        <item x="74"/>
        <item x="176"/>
        <item x="118"/>
        <item x="259"/>
        <item x="206"/>
        <item x="113"/>
        <item x="108"/>
        <item x="199"/>
        <item x="261"/>
        <item x="227"/>
        <item x="192"/>
        <item x="107"/>
        <item x="22"/>
        <item x="98"/>
        <item x="315"/>
        <item x="177"/>
        <item x="9"/>
        <item x="184"/>
        <item x="44"/>
        <item x="5"/>
        <item x="2"/>
        <item x="144"/>
        <item x="154"/>
        <item x="150"/>
        <item x="51"/>
        <item x="294"/>
        <item x="135"/>
        <item x="171"/>
        <item x="238"/>
        <item x="198"/>
        <item x="141"/>
        <item x="47"/>
        <item x="257"/>
        <item x="15"/>
        <item x="27"/>
        <item x="61"/>
        <item x="312"/>
        <item x="17"/>
        <item x="62"/>
        <item x="311"/>
        <item x="87"/>
        <item x="56"/>
        <item x="182"/>
        <item x="281"/>
        <item x="26"/>
        <item x="265"/>
        <item x="119"/>
        <item x="319"/>
        <item x="57"/>
        <item x="169"/>
        <item x="283"/>
        <item x="137"/>
        <item x="104"/>
        <item x="174"/>
        <item x="307"/>
        <item x="3"/>
        <item x="37"/>
        <item x="28"/>
        <item x="186"/>
        <item x="237"/>
        <item x="187"/>
        <item x="201"/>
        <item x="68"/>
        <item x="273"/>
        <item x="21"/>
        <item x="130"/>
        <item x="222"/>
        <item x="34"/>
        <item x="179"/>
        <item x="246"/>
        <item x="220"/>
        <item x="266"/>
        <item x="48"/>
        <item x="96"/>
        <item x="316"/>
        <item x="128"/>
        <item x="323"/>
        <item x="278"/>
        <item x="161"/>
        <item x="38"/>
        <item x="66"/>
        <item x="224"/>
        <item x="175"/>
        <item x="213"/>
        <item x="138"/>
        <item x="276"/>
        <item x="290"/>
        <item x="39"/>
        <item x="314"/>
        <item x="70"/>
        <item x="277"/>
        <item x="308"/>
        <item x="207"/>
        <item x="249"/>
        <item x="297"/>
        <item x="80"/>
        <item x="33"/>
        <item x="100"/>
        <item x="106"/>
        <item x="296"/>
        <item x="140"/>
        <item x="73"/>
        <item x="72"/>
        <item x="197"/>
        <item x="217"/>
        <item x="165"/>
        <item x="114"/>
        <item x="102"/>
        <item x="274"/>
        <item x="149"/>
        <item x="55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axis="axisRow" showAll="0" sortType="descending">
      <items count="944">
        <item x="346"/>
        <item x="218"/>
        <item x="798"/>
        <item x="729"/>
        <item x="614"/>
        <item x="284"/>
        <item x="383"/>
        <item x="116"/>
        <item x="715"/>
        <item x="911"/>
        <item x="629"/>
        <item x="298"/>
        <item x="587"/>
        <item x="359"/>
        <item x="561"/>
        <item x="340"/>
        <item x="423"/>
        <item x="549"/>
        <item x="650"/>
        <item x="411"/>
        <item x="853"/>
        <item x="784"/>
        <item x="302"/>
        <item x="576"/>
        <item x="926"/>
        <item x="683"/>
        <item x="738"/>
        <item x="364"/>
        <item x="42"/>
        <item x="693"/>
        <item x="303"/>
        <item x="831"/>
        <item x="247"/>
        <item x="604"/>
        <item x="613"/>
        <item x="163"/>
        <item x="337"/>
        <item x="156"/>
        <item x="235"/>
        <item x="686"/>
        <item x="4"/>
        <item x="276"/>
        <item x="142"/>
        <item x="610"/>
        <item x="100"/>
        <item x="934"/>
        <item x="677"/>
        <item x="725"/>
        <item x="60"/>
        <item x="856"/>
        <item x="878"/>
        <item x="679"/>
        <item x="250"/>
        <item x="509"/>
        <item x="889"/>
        <item x="490"/>
        <item x="550"/>
        <item x="140"/>
        <item x="574"/>
        <item x="69"/>
        <item x="473"/>
        <item x="525"/>
        <item x="810"/>
        <item x="489"/>
        <item x="929"/>
        <item x="664"/>
        <item x="321"/>
        <item x="160"/>
        <item x="920"/>
        <item x="837"/>
        <item x="900"/>
        <item x="892"/>
        <item x="792"/>
        <item x="436"/>
        <item x="174"/>
        <item x="734"/>
        <item x="556"/>
        <item x="861"/>
        <item x="586"/>
        <item x="295"/>
        <item x="314"/>
        <item x="378"/>
        <item x="442"/>
        <item x="427"/>
        <item x="494"/>
        <item x="573"/>
        <item x="102"/>
        <item x="689"/>
        <item x="918"/>
        <item x="479"/>
        <item x="339"/>
        <item x="420"/>
        <item x="466"/>
        <item x="446"/>
        <item x="866"/>
        <item x="332"/>
        <item x="350"/>
        <item x="468"/>
        <item x="595"/>
        <item x="141"/>
        <item x="151"/>
        <item x="12"/>
        <item x="923"/>
        <item x="722"/>
        <item x="139"/>
        <item x="937"/>
        <item x="495"/>
        <item x="347"/>
        <item x="435"/>
        <item x="885"/>
        <item x="474"/>
        <item x="758"/>
        <item x="847"/>
        <item x="916"/>
        <item x="851"/>
        <item x="193"/>
        <item x="833"/>
        <item x="868"/>
        <item x="25"/>
        <item x="19"/>
        <item x="240"/>
        <item x="504"/>
        <item x="48"/>
        <item x="563"/>
        <item x="941"/>
        <item x="767"/>
        <item x="659"/>
        <item x="409"/>
        <item x="396"/>
        <item x="41"/>
        <item x="152"/>
        <item x="132"/>
        <item x="940"/>
        <item x="251"/>
        <item x="660"/>
        <item x="45"/>
        <item x="225"/>
        <item x="883"/>
        <item x="527"/>
        <item x="662"/>
        <item x="271"/>
        <item x="621"/>
        <item x="808"/>
        <item x="331"/>
        <item x="447"/>
        <item x="804"/>
        <item x="648"/>
        <item x="651"/>
        <item x="91"/>
        <item x="936"/>
        <item x="902"/>
        <item x="584"/>
        <item x="217"/>
        <item x="743"/>
        <item x="639"/>
        <item x="705"/>
        <item x="432"/>
        <item x="77"/>
        <item x="322"/>
        <item x="204"/>
        <item x="942"/>
        <item x="503"/>
        <item x="262"/>
        <item x="128"/>
        <item x="30"/>
        <item x="697"/>
        <item x="155"/>
        <item x="7"/>
        <item x="461"/>
        <item x="726"/>
        <item x="131"/>
        <item x="375"/>
        <item x="707"/>
        <item x="206"/>
        <item x="395"/>
        <item x="361"/>
        <item x="200"/>
        <item x="787"/>
        <item x="343"/>
        <item x="315"/>
        <item x="158"/>
        <item x="70"/>
        <item x="385"/>
        <item x="344"/>
        <item x="505"/>
        <item x="189"/>
        <item x="500"/>
        <item x="591"/>
        <item x="144"/>
        <item x="86"/>
        <item x="365"/>
        <item x="66"/>
        <item x="190"/>
        <item x="159"/>
        <item x="145"/>
        <item x="28"/>
        <item x="776"/>
        <item x="506"/>
        <item x="819"/>
        <item x="756"/>
        <item x="830"/>
        <item x="915"/>
        <item x="273"/>
        <item x="63"/>
        <item x="493"/>
        <item x="770"/>
        <item x="391"/>
        <item x="1"/>
        <item x="501"/>
        <item x="546"/>
        <item x="724"/>
        <item x="434"/>
        <item x="672"/>
        <item x="136"/>
        <item x="712"/>
        <item x="62"/>
        <item x="849"/>
        <item x="219"/>
        <item x="96"/>
        <item x="786"/>
        <item x="522"/>
        <item x="76"/>
        <item x="935"/>
        <item x="80"/>
        <item x="695"/>
        <item x="213"/>
        <item x="537"/>
        <item x="781"/>
        <item x="637"/>
        <item x="777"/>
        <item x="572"/>
        <item x="482"/>
        <item x="518"/>
        <item x="890"/>
        <item x="37"/>
        <item x="552"/>
        <item x="203"/>
        <item x="894"/>
        <item x="399"/>
        <item x="110"/>
        <item x="183"/>
        <item x="104"/>
        <item x="723"/>
        <item x="625"/>
        <item x="485"/>
        <item x="338"/>
        <item x="542"/>
        <item x="114"/>
        <item x="195"/>
        <item x="13"/>
        <item x="390"/>
        <item x="515"/>
        <item x="607"/>
        <item x="282"/>
        <item x="304"/>
        <item x="739"/>
        <item x="685"/>
        <item x="499"/>
        <item x="618"/>
        <item x="236"/>
        <item x="708"/>
        <item x="555"/>
        <item x="85"/>
        <item x="35"/>
        <item x="242"/>
        <item x="207"/>
        <item x="480"/>
        <item x="769"/>
        <item x="185"/>
        <item x="403"/>
        <item x="113"/>
        <item x="852"/>
        <item x="799"/>
        <item x="603"/>
        <item x="601"/>
        <item x="510"/>
        <item x="82"/>
        <item x="675"/>
        <item x="871"/>
        <item x="667"/>
        <item x="820"/>
        <item x="371"/>
        <item x="887"/>
        <item x="64"/>
        <item x="462"/>
        <item x="577"/>
        <item x="413"/>
        <item x="94"/>
        <item x="224"/>
        <item x="658"/>
        <item x="928"/>
        <item x="687"/>
        <item x="410"/>
        <item x="362"/>
        <item x="16"/>
        <item x="205"/>
        <item x="557"/>
        <item x="424"/>
        <item x="593"/>
        <item x="443"/>
        <item x="924"/>
        <item x="75"/>
        <item x="467"/>
        <item x="632"/>
        <item x="516"/>
        <item x="748"/>
        <item x="827"/>
        <item x="588"/>
        <item x="562"/>
        <item x="807"/>
        <item x="814"/>
        <item x="54"/>
        <item x="95"/>
        <item x="133"/>
        <item x="126"/>
        <item x="241"/>
        <item x="585"/>
        <item x="843"/>
        <item x="351"/>
        <item x="645"/>
        <item x="143"/>
        <item x="864"/>
        <item x="619"/>
        <item x="38"/>
        <item x="228"/>
        <item x="706"/>
        <item x="412"/>
        <item x="150"/>
        <item x="90"/>
        <item x="384"/>
        <item x="600"/>
        <item x="788"/>
        <item x="719"/>
        <item x="119"/>
        <item x="583"/>
        <item x="653"/>
        <item x="177"/>
        <item x="9"/>
        <item x="471"/>
        <item x="747"/>
        <item x="897"/>
        <item x="418"/>
        <item x="368"/>
        <item x="551"/>
        <item x="850"/>
        <item x="223"/>
        <item x="255"/>
        <item x="903"/>
        <item x="380"/>
        <item x="197"/>
        <item x="388"/>
        <item x="484"/>
        <item x="817"/>
        <item x="759"/>
        <item x="567"/>
        <item x="470"/>
        <item x="301"/>
        <item x="10"/>
        <item x="134"/>
        <item x="230"/>
        <item x="67"/>
        <item x="571"/>
        <item x="744"/>
        <item x="259"/>
        <item x="486"/>
        <item x="544"/>
        <item x="594"/>
        <item x="452"/>
        <item x="893"/>
        <item x="199"/>
        <item x="232"/>
        <item x="300"/>
        <item x="464"/>
        <item x="771"/>
        <item x="108"/>
        <item x="938"/>
        <item x="834"/>
        <item x="526"/>
        <item x="762"/>
        <item x="519"/>
        <item x="674"/>
        <item x="844"/>
        <item x="341"/>
        <item x="50"/>
        <item x="513"/>
        <item x="92"/>
        <item x="877"/>
        <item x="425"/>
        <item x="841"/>
        <item x="531"/>
        <item x="313"/>
        <item x="922"/>
        <item x="824"/>
        <item x="717"/>
        <item x="336"/>
        <item x="369"/>
        <item x="718"/>
        <item x="226"/>
        <item x="790"/>
        <item x="275"/>
        <item x="52"/>
        <item x="477"/>
        <item x="260"/>
        <item x="243"/>
        <item x="429"/>
        <item x="848"/>
        <item x="775"/>
        <item x="845"/>
        <item x="316"/>
        <item x="39"/>
        <item x="881"/>
        <item x="51"/>
        <item x="826"/>
        <item x="560"/>
        <item x="564"/>
        <item x="49"/>
        <item x="668"/>
        <item x="711"/>
        <item x="854"/>
        <item x="633"/>
        <item x="460"/>
        <item x="656"/>
        <item x="454"/>
        <item x="512"/>
        <item x="345"/>
        <item x="112"/>
        <item x="323"/>
        <item x="312"/>
        <item x="291"/>
        <item x="211"/>
        <item x="458"/>
        <item x="106"/>
        <item x="147"/>
        <item x="171"/>
        <item x="335"/>
        <item x="879"/>
        <item x="453"/>
        <item x="357"/>
        <item x="318"/>
        <item x="263"/>
        <item x="909"/>
        <item x="699"/>
        <item x="532"/>
        <item x="394"/>
        <item x="680"/>
        <item x="733"/>
        <item x="165"/>
        <item x="912"/>
        <item x="540"/>
        <item x="73"/>
        <item x="256"/>
        <item x="431"/>
        <item x="554"/>
        <item x="36"/>
        <item x="859"/>
        <item x="753"/>
        <item x="565"/>
        <item x="914"/>
        <item x="530"/>
        <item x="172"/>
        <item x="528"/>
        <item x="778"/>
        <item x="700"/>
        <item x="186"/>
        <item x="630"/>
        <item x="543"/>
        <item x="21"/>
        <item x="246"/>
        <item x="261"/>
        <item x="855"/>
        <item x="638"/>
        <item x="663"/>
        <item x="839"/>
        <item x="127"/>
        <item x="704"/>
        <item x="553"/>
        <item x="870"/>
        <item x="229"/>
        <item x="311"/>
        <item x="53"/>
        <item x="27"/>
        <item x="624"/>
        <item x="61"/>
        <item x="269"/>
        <item x="334"/>
        <item x="548"/>
        <item x="216"/>
        <item x="233"/>
        <item x="811"/>
        <item x="397"/>
        <item x="257"/>
        <item x="536"/>
        <item x="55"/>
        <item x="146"/>
        <item x="541"/>
        <item x="417"/>
        <item x="166"/>
        <item x="836"/>
        <item x="869"/>
        <item x="287"/>
        <item x="673"/>
        <item x="842"/>
        <item x="400"/>
        <item x="714"/>
        <item x="215"/>
        <item x="547"/>
        <item x="876"/>
        <item x="286"/>
        <item x="354"/>
        <item x="387"/>
        <item x="939"/>
        <item x="652"/>
        <item x="24"/>
        <item x="6"/>
        <item x="728"/>
        <item x="611"/>
        <item x="521"/>
        <item x="31"/>
        <item x="665"/>
        <item x="280"/>
        <item x="688"/>
        <item x="290"/>
        <item x="535"/>
        <item x="408"/>
        <item x="451"/>
        <item x="815"/>
        <item x="896"/>
        <item x="20"/>
        <item x="253"/>
        <item x="713"/>
        <item x="26"/>
        <item x="252"/>
        <item x="684"/>
        <item x="370"/>
        <item x="795"/>
        <item x="238"/>
        <item x="97"/>
        <item x="766"/>
        <item x="101"/>
        <item x="785"/>
        <item x="636"/>
        <item x="816"/>
        <item x="450"/>
        <item x="690"/>
        <item x="179"/>
        <item x="731"/>
        <item x="175"/>
        <item x="11"/>
        <item x="910"/>
        <item x="57"/>
        <item x="201"/>
        <item x="502"/>
        <item x="306"/>
        <item x="899"/>
        <item x="404"/>
        <item x="426"/>
        <item x="768"/>
        <item x="657"/>
        <item x="176"/>
        <item x="692"/>
        <item x="227"/>
        <item x="772"/>
        <item x="292"/>
        <item x="115"/>
        <item x="829"/>
        <item x="596"/>
        <item x="598"/>
        <item x="780"/>
        <item x="270"/>
        <item x="514"/>
        <item x="582"/>
        <item x="727"/>
        <item x="488"/>
        <item x="764"/>
        <item x="858"/>
        <item x="170"/>
        <item x="930"/>
        <item x="377"/>
        <item x="363"/>
        <item x="575"/>
        <item x="419"/>
        <item x="406"/>
        <item x="98"/>
        <item x="319"/>
        <item x="279"/>
        <item x="558"/>
        <item x="626"/>
        <item x="415"/>
        <item x="56"/>
        <item x="606"/>
        <item x="760"/>
        <item x="702"/>
        <item x="360"/>
        <item x="578"/>
        <item x="43"/>
        <item x="592"/>
        <item x="430"/>
        <item x="906"/>
        <item x="330"/>
        <item x="231"/>
        <item x="358"/>
        <item x="8"/>
        <item x="520"/>
        <item x="608"/>
        <item x="440"/>
        <item x="643"/>
        <item x="720"/>
        <item x="754"/>
        <item x="905"/>
        <item x="356"/>
        <item x="5"/>
        <item x="212"/>
        <item x="932"/>
        <item x="386"/>
        <item x="840"/>
        <item x="327"/>
        <item x="310"/>
        <item x="46"/>
        <item x="898"/>
        <item x="545"/>
        <item x="857"/>
        <item x="416"/>
        <item x="120"/>
        <item x="196"/>
        <item x="296"/>
        <item x="921"/>
        <item x="797"/>
        <item x="602"/>
        <item x="248"/>
        <item x="209"/>
        <item x="616"/>
        <item x="88"/>
        <item x="437"/>
        <item x="105"/>
        <item x="168"/>
        <item x="794"/>
        <item x="210"/>
        <item x="828"/>
        <item x="806"/>
        <item x="285"/>
        <item x="433"/>
        <item x="118"/>
        <item x="487"/>
        <item x="299"/>
        <item x="328"/>
        <item x="398"/>
        <item x="597"/>
        <item x="40"/>
        <item x="746"/>
        <item x="444"/>
        <item x="202"/>
        <item x="696"/>
        <item x="590"/>
        <item x="3"/>
        <item x="441"/>
        <item x="694"/>
        <item x="873"/>
        <item x="33"/>
        <item x="469"/>
        <item x="181"/>
        <item x="609"/>
        <item x="17"/>
        <item x="372"/>
        <item x="366"/>
        <item x="691"/>
        <item x="89"/>
        <item x="244"/>
        <item x="103"/>
        <item x="245"/>
        <item x="32"/>
        <item x="927"/>
        <item x="264"/>
        <item x="14"/>
        <item x="835"/>
        <item x="891"/>
        <item x="125"/>
        <item x="783"/>
        <item x="498"/>
        <item x="373"/>
        <item x="901"/>
        <item x="737"/>
        <item x="908"/>
        <item x="169"/>
        <item x="507"/>
        <item x="122"/>
        <item x="615"/>
        <item x="324"/>
        <item x="84"/>
        <item x="268"/>
        <item x="919"/>
        <item x="907"/>
        <item x="917"/>
        <item x="326"/>
        <item x="349"/>
        <item x="886"/>
        <item x="445"/>
        <item x="258"/>
        <item x="148"/>
        <item x="655"/>
        <item x="742"/>
        <item x="654"/>
        <item x="497"/>
        <item x="666"/>
        <item x="579"/>
        <item x="529"/>
        <item x="763"/>
        <item x="428"/>
        <item x="167"/>
        <item x="846"/>
        <item x="348"/>
        <item x="22"/>
        <item x="641"/>
        <item x="121"/>
        <item x="192"/>
        <item x="293"/>
        <item x="184"/>
        <item x="809"/>
        <item x="221"/>
        <item x="559"/>
        <item x="107"/>
        <item x="475"/>
        <item x="448"/>
        <item x="382"/>
        <item x="178"/>
        <item x="272"/>
        <item x="605"/>
        <item x="757"/>
        <item x="508"/>
        <item x="716"/>
        <item x="678"/>
        <item x="812"/>
        <item x="681"/>
        <item x="456"/>
        <item x="237"/>
        <item x="208"/>
        <item x="267"/>
        <item x="721"/>
        <item x="800"/>
        <item x="198"/>
        <item x="173"/>
        <item x="289"/>
        <item x="333"/>
        <item x="0"/>
        <item x="182"/>
        <item x="882"/>
        <item x="459"/>
        <item x="612"/>
        <item x="99"/>
        <item x="511"/>
        <item x="161"/>
        <item x="931"/>
        <item x="623"/>
        <item x="2"/>
        <item x="750"/>
        <item x="117"/>
        <item x="87"/>
        <item x="124"/>
        <item x="773"/>
        <item x="402"/>
        <item x="599"/>
        <item x="481"/>
        <item x="309"/>
        <item x="884"/>
        <item x="904"/>
        <item x="307"/>
        <item x="449"/>
        <item x="710"/>
        <item x="566"/>
        <item x="698"/>
        <item x="644"/>
        <item x="913"/>
        <item x="266"/>
        <item x="135"/>
        <item x="730"/>
        <item x="325"/>
        <item x="83"/>
        <item x="701"/>
        <item x="569"/>
        <item x="755"/>
        <item x="703"/>
        <item x="71"/>
        <item x="352"/>
        <item x="162"/>
        <item x="640"/>
        <item x="457"/>
        <item x="342"/>
        <item x="58"/>
        <item x="825"/>
        <item x="661"/>
        <item x="239"/>
        <item x="278"/>
        <item x="308"/>
        <item x="670"/>
        <item x="376"/>
        <item x="568"/>
        <item x="137"/>
        <item x="381"/>
        <item x="647"/>
        <item x="65"/>
        <item x="297"/>
        <item x="620"/>
        <item x="401"/>
        <item x="465"/>
        <item x="867"/>
        <item x="617"/>
        <item x="191"/>
        <item x="109"/>
        <item x="539"/>
        <item x="439"/>
        <item x="803"/>
        <item x="732"/>
        <item x="214"/>
        <item x="79"/>
        <item x="47"/>
        <item x="389"/>
        <item x="374"/>
        <item x="157"/>
        <item x="749"/>
        <item x="765"/>
        <item x="741"/>
        <item x="761"/>
        <item x="838"/>
        <item x="631"/>
        <item x="194"/>
        <item x="379"/>
        <item x="478"/>
        <item x="29"/>
        <item x="138"/>
        <item x="68"/>
        <item x="492"/>
        <item x="752"/>
        <item x="534"/>
        <item x="874"/>
        <item x="277"/>
        <item x="581"/>
        <item x="472"/>
        <item x="93"/>
        <item x="533"/>
        <item x="796"/>
        <item x="294"/>
        <item x="682"/>
        <item x="642"/>
        <item x="805"/>
        <item x="832"/>
        <item x="455"/>
        <item x="925"/>
        <item x="476"/>
        <item x="895"/>
        <item x="774"/>
        <item x="317"/>
        <item x="491"/>
        <item x="570"/>
        <item x="888"/>
        <item x="872"/>
        <item x="222"/>
        <item x="580"/>
        <item x="407"/>
        <item x="875"/>
        <item x="517"/>
        <item x="862"/>
        <item x="81"/>
        <item x="622"/>
        <item x="736"/>
        <item x="78"/>
        <item x="130"/>
        <item x="735"/>
        <item x="123"/>
        <item x="823"/>
        <item x="821"/>
        <item x="496"/>
        <item x="188"/>
        <item x="392"/>
        <item x="538"/>
        <item x="671"/>
        <item x="329"/>
        <item x="59"/>
        <item x="646"/>
        <item x="234"/>
        <item x="149"/>
        <item x="801"/>
        <item x="422"/>
        <item x="649"/>
        <item x="164"/>
        <item x="367"/>
        <item x="421"/>
        <item x="187"/>
        <item x="709"/>
        <item x="220"/>
        <item x="782"/>
        <item x="627"/>
        <item x="355"/>
        <item x="669"/>
        <item x="23"/>
        <item x="305"/>
        <item x="745"/>
        <item x="863"/>
        <item x="18"/>
        <item x="676"/>
        <item x="111"/>
        <item x="320"/>
        <item x="740"/>
        <item x="283"/>
        <item x="72"/>
        <item x="463"/>
        <item x="254"/>
        <item x="274"/>
        <item x="860"/>
        <item x="865"/>
        <item x="802"/>
        <item x="154"/>
        <item x="405"/>
        <item x="791"/>
        <item x="523"/>
        <item x="353"/>
        <item x="628"/>
        <item x="789"/>
        <item x="880"/>
        <item x="483"/>
        <item x="933"/>
        <item x="822"/>
        <item x="288"/>
        <item x="524"/>
        <item x="634"/>
        <item x="751"/>
        <item x="74"/>
        <item x="438"/>
        <item x="589"/>
        <item x="813"/>
        <item x="129"/>
        <item x="44"/>
        <item x="393"/>
        <item x="635"/>
        <item x="180"/>
        <item x="249"/>
        <item x="779"/>
        <item x="414"/>
        <item x="793"/>
        <item x="153"/>
        <item x="281"/>
        <item x="34"/>
        <item x="15"/>
        <item x="818"/>
        <item x="265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9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 t="grand">
      <x/>
    </i>
  </rowItems>
  <colItems count="1">
    <i/>
  </colItems>
  <dataFields count="1">
    <dataField name="Sum of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4352E-860D-4C22-B16C-AD118C41C945}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4">
  <location ref="AC3:AD48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 sortType="descending">
      <items count="325">
        <item x="263"/>
        <item x="162"/>
        <item x="243"/>
        <item x="313"/>
        <item x="92"/>
        <item x="298"/>
        <item x="58"/>
        <item x="194"/>
        <item x="16"/>
        <item x="54"/>
        <item x="318"/>
        <item x="7"/>
        <item x="272"/>
        <item x="129"/>
        <item x="218"/>
        <item x="295"/>
        <item x="157"/>
        <item x="90"/>
        <item x="120"/>
        <item x="155"/>
        <item x="191"/>
        <item x="126"/>
        <item x="121"/>
        <item x="248"/>
        <item x="36"/>
        <item x="127"/>
        <item x="209"/>
        <item x="84"/>
        <item x="20"/>
        <item x="136"/>
        <item x="160"/>
        <item x="202"/>
        <item x="285"/>
        <item x="196"/>
        <item x="71"/>
        <item x="63"/>
        <item x="69"/>
        <item x="251"/>
        <item x="205"/>
        <item x="279"/>
        <item x="23"/>
        <item x="215"/>
        <item x="233"/>
        <item x="214"/>
        <item x="188"/>
        <item x="252"/>
        <item x="125"/>
        <item x="4"/>
        <item x="45"/>
        <item x="303"/>
        <item x="142"/>
        <item x="289"/>
        <item x="46"/>
        <item x="287"/>
        <item x="8"/>
        <item x="65"/>
        <item x="49"/>
        <item x="116"/>
        <item x="75"/>
        <item x="32"/>
        <item x="267"/>
        <item x="320"/>
        <item x="59"/>
        <item x="280"/>
        <item x="172"/>
        <item x="152"/>
        <item x="212"/>
        <item x="40"/>
        <item x="173"/>
        <item x="159"/>
        <item x="270"/>
        <item x="123"/>
        <item x="29"/>
        <item x="151"/>
        <item x="94"/>
        <item x="309"/>
        <item x="52"/>
        <item x="321"/>
        <item x="225"/>
        <item x="210"/>
        <item x="85"/>
        <item x="181"/>
        <item x="245"/>
        <item x="180"/>
        <item x="31"/>
        <item x="286"/>
        <item x="195"/>
        <item x="304"/>
        <item x="269"/>
        <item x="204"/>
        <item x="124"/>
        <item x="185"/>
        <item x="153"/>
        <item x="10"/>
        <item x="258"/>
        <item x="88"/>
        <item x="86"/>
        <item x="221"/>
        <item x="42"/>
        <item x="300"/>
        <item x="105"/>
        <item x="101"/>
        <item x="131"/>
        <item x="226"/>
        <item x="253"/>
        <item x="35"/>
        <item x="11"/>
        <item x="250"/>
        <item x="200"/>
        <item x="242"/>
        <item x="271"/>
        <item x="134"/>
        <item x="163"/>
        <item x="148"/>
        <item x="268"/>
        <item x="203"/>
        <item x="193"/>
        <item x="239"/>
        <item x="43"/>
        <item x="19"/>
        <item x="97"/>
        <item x="234"/>
        <item x="147"/>
        <item x="190"/>
        <item x="18"/>
        <item x="264"/>
        <item x="13"/>
        <item x="262"/>
        <item x="156"/>
        <item x="183"/>
        <item x="78"/>
        <item x="132"/>
        <item x="256"/>
        <item x="67"/>
        <item x="317"/>
        <item x="111"/>
        <item x="50"/>
        <item x="189"/>
        <item x="216"/>
        <item x="122"/>
        <item x="241"/>
        <item x="30"/>
        <item x="143"/>
        <item x="282"/>
        <item x="91"/>
        <item x="112"/>
        <item x="211"/>
        <item x="25"/>
        <item x="14"/>
        <item x="60"/>
        <item x="302"/>
        <item x="310"/>
        <item x="115"/>
        <item x="231"/>
        <item x="299"/>
        <item x="288"/>
        <item x="260"/>
        <item x="228"/>
        <item x="82"/>
        <item x="235"/>
        <item x="6"/>
        <item x="178"/>
        <item x="81"/>
        <item x="95"/>
        <item x="1"/>
        <item x="145"/>
        <item x="76"/>
        <item x="146"/>
        <item x="230"/>
        <item x="291"/>
        <item x="306"/>
        <item x="301"/>
        <item x="79"/>
        <item x="109"/>
        <item x="89"/>
        <item x="247"/>
        <item x="117"/>
        <item x="168"/>
        <item x="139"/>
        <item x="284"/>
        <item x="64"/>
        <item x="110"/>
        <item x="254"/>
        <item x="219"/>
        <item x="167"/>
        <item x="275"/>
        <item x="229"/>
        <item x="208"/>
        <item x="164"/>
        <item x="223"/>
        <item x="158"/>
        <item x="240"/>
        <item x="99"/>
        <item x="24"/>
        <item x="232"/>
        <item x="41"/>
        <item x="103"/>
        <item x="93"/>
        <item x="12"/>
        <item x="244"/>
        <item x="166"/>
        <item x="236"/>
        <item x="322"/>
        <item x="305"/>
        <item x="255"/>
        <item x="133"/>
        <item x="77"/>
        <item x="0"/>
        <item x="293"/>
        <item x="170"/>
        <item x="83"/>
        <item x="292"/>
        <item x="53"/>
        <item x="74"/>
        <item x="176"/>
        <item x="118"/>
        <item x="259"/>
        <item x="206"/>
        <item x="113"/>
        <item x="108"/>
        <item x="199"/>
        <item x="261"/>
        <item x="227"/>
        <item x="192"/>
        <item x="107"/>
        <item x="22"/>
        <item x="98"/>
        <item x="315"/>
        <item x="177"/>
        <item x="9"/>
        <item x="184"/>
        <item x="44"/>
        <item x="5"/>
        <item x="2"/>
        <item x="144"/>
        <item x="154"/>
        <item x="150"/>
        <item x="51"/>
        <item x="294"/>
        <item x="135"/>
        <item x="171"/>
        <item x="238"/>
        <item x="198"/>
        <item x="141"/>
        <item x="47"/>
        <item x="257"/>
        <item x="15"/>
        <item x="27"/>
        <item x="61"/>
        <item x="312"/>
        <item x="17"/>
        <item x="62"/>
        <item x="311"/>
        <item x="87"/>
        <item x="56"/>
        <item x="182"/>
        <item x="281"/>
        <item x="26"/>
        <item x="265"/>
        <item x="119"/>
        <item x="319"/>
        <item x="57"/>
        <item x="169"/>
        <item x="283"/>
        <item x="137"/>
        <item x="104"/>
        <item x="174"/>
        <item x="307"/>
        <item x="3"/>
        <item x="37"/>
        <item x="28"/>
        <item x="186"/>
        <item x="237"/>
        <item x="187"/>
        <item x="201"/>
        <item x="68"/>
        <item x="273"/>
        <item x="21"/>
        <item x="130"/>
        <item x="222"/>
        <item x="34"/>
        <item x="179"/>
        <item x="246"/>
        <item x="220"/>
        <item x="266"/>
        <item x="48"/>
        <item x="96"/>
        <item x="316"/>
        <item x="128"/>
        <item x="323"/>
        <item x="278"/>
        <item x="161"/>
        <item x="38"/>
        <item x="66"/>
        <item x="224"/>
        <item x="175"/>
        <item x="213"/>
        <item x="138"/>
        <item x="276"/>
        <item x="290"/>
        <item x="39"/>
        <item x="314"/>
        <item x="70"/>
        <item x="277"/>
        <item x="308"/>
        <item x="207"/>
        <item x="249"/>
        <item x="297"/>
        <item x="80"/>
        <item x="33"/>
        <item x="100"/>
        <item x="106"/>
        <item x="296"/>
        <item x="140"/>
        <item x="73"/>
        <item x="72"/>
        <item x="197"/>
        <item x="217"/>
        <item x="165"/>
        <item x="114"/>
        <item x="102"/>
        <item x="274"/>
        <item x="149"/>
        <item x="55"/>
        <item t="default"/>
      </items>
    </pivotField>
    <pivotField axis="axisRow" showAll="0">
      <items count="45">
        <item x="19"/>
        <item x="16"/>
        <item x="38"/>
        <item x="1"/>
        <item x="22"/>
        <item x="29"/>
        <item x="13"/>
        <item x="39"/>
        <item x="2"/>
        <item x="32"/>
        <item x="42"/>
        <item x="10"/>
        <item x="14"/>
        <item x="23"/>
        <item x="43"/>
        <item x="0"/>
        <item x="28"/>
        <item x="40"/>
        <item x="31"/>
        <item x="12"/>
        <item x="11"/>
        <item x="35"/>
        <item x="25"/>
        <item x="36"/>
        <item x="8"/>
        <item x="33"/>
        <item x="37"/>
        <item x="30"/>
        <item x="27"/>
        <item x="15"/>
        <item x="3"/>
        <item x="24"/>
        <item x="26"/>
        <item x="21"/>
        <item x="9"/>
        <item x="34"/>
        <item x="20"/>
        <item x="41"/>
        <item x="18"/>
        <item x="5"/>
        <item x="7"/>
        <item x="17"/>
        <item x="4"/>
        <item x="6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8">
        <item x="12"/>
        <item x="6"/>
        <item x="8"/>
        <item x="5"/>
        <item x="0"/>
        <item x="9"/>
        <item x="16"/>
        <item x="10"/>
        <item x="13"/>
        <item x="3"/>
        <item x="1"/>
        <item x="14"/>
        <item x="4"/>
        <item x="11"/>
        <item x="7"/>
        <item x="15"/>
        <item x="2"/>
        <item t="default"/>
      </items>
    </pivotField>
    <pivotField showAll="0" sortType="descending">
      <items count="944">
        <item x="346"/>
        <item x="218"/>
        <item x="798"/>
        <item x="729"/>
        <item x="614"/>
        <item x="284"/>
        <item x="383"/>
        <item x="116"/>
        <item x="715"/>
        <item x="911"/>
        <item x="629"/>
        <item x="298"/>
        <item x="587"/>
        <item x="359"/>
        <item x="561"/>
        <item x="340"/>
        <item x="423"/>
        <item x="549"/>
        <item x="650"/>
        <item x="411"/>
        <item x="853"/>
        <item x="784"/>
        <item x="302"/>
        <item x="576"/>
        <item x="926"/>
        <item x="683"/>
        <item x="738"/>
        <item x="364"/>
        <item x="42"/>
        <item x="693"/>
        <item x="303"/>
        <item x="831"/>
        <item x="247"/>
        <item x="604"/>
        <item x="613"/>
        <item x="163"/>
        <item x="337"/>
        <item x="156"/>
        <item x="235"/>
        <item x="686"/>
        <item x="4"/>
        <item x="276"/>
        <item x="142"/>
        <item x="610"/>
        <item x="100"/>
        <item x="934"/>
        <item x="677"/>
        <item x="725"/>
        <item x="60"/>
        <item x="856"/>
        <item x="878"/>
        <item x="679"/>
        <item x="250"/>
        <item x="509"/>
        <item x="889"/>
        <item x="490"/>
        <item x="550"/>
        <item x="140"/>
        <item x="574"/>
        <item x="69"/>
        <item x="473"/>
        <item x="525"/>
        <item x="810"/>
        <item x="489"/>
        <item x="929"/>
        <item x="664"/>
        <item x="321"/>
        <item x="160"/>
        <item x="920"/>
        <item x="837"/>
        <item x="900"/>
        <item x="892"/>
        <item x="792"/>
        <item x="436"/>
        <item x="174"/>
        <item x="734"/>
        <item x="556"/>
        <item x="861"/>
        <item x="586"/>
        <item x="295"/>
        <item x="314"/>
        <item x="378"/>
        <item x="442"/>
        <item x="427"/>
        <item x="494"/>
        <item x="573"/>
        <item x="102"/>
        <item x="689"/>
        <item x="918"/>
        <item x="479"/>
        <item x="339"/>
        <item x="420"/>
        <item x="466"/>
        <item x="446"/>
        <item x="866"/>
        <item x="332"/>
        <item x="350"/>
        <item x="468"/>
        <item x="595"/>
        <item x="141"/>
        <item x="151"/>
        <item x="12"/>
        <item x="923"/>
        <item x="722"/>
        <item x="139"/>
        <item x="937"/>
        <item x="495"/>
        <item x="347"/>
        <item x="435"/>
        <item x="885"/>
        <item x="474"/>
        <item x="758"/>
        <item x="847"/>
        <item x="916"/>
        <item x="851"/>
        <item x="193"/>
        <item x="833"/>
        <item x="868"/>
        <item x="25"/>
        <item x="19"/>
        <item x="240"/>
        <item x="504"/>
        <item x="48"/>
        <item x="563"/>
        <item x="941"/>
        <item x="767"/>
        <item x="659"/>
        <item x="409"/>
        <item x="396"/>
        <item x="41"/>
        <item x="152"/>
        <item x="132"/>
        <item x="940"/>
        <item x="251"/>
        <item x="660"/>
        <item x="45"/>
        <item x="225"/>
        <item x="883"/>
        <item x="527"/>
        <item x="662"/>
        <item x="271"/>
        <item x="621"/>
        <item x="808"/>
        <item x="331"/>
        <item x="447"/>
        <item x="804"/>
        <item x="648"/>
        <item x="651"/>
        <item x="91"/>
        <item x="936"/>
        <item x="902"/>
        <item x="584"/>
        <item x="217"/>
        <item x="743"/>
        <item x="639"/>
        <item x="705"/>
        <item x="432"/>
        <item x="77"/>
        <item x="322"/>
        <item x="204"/>
        <item x="942"/>
        <item x="503"/>
        <item x="262"/>
        <item x="128"/>
        <item x="30"/>
        <item x="697"/>
        <item x="155"/>
        <item x="7"/>
        <item x="461"/>
        <item x="726"/>
        <item x="131"/>
        <item x="375"/>
        <item x="707"/>
        <item x="206"/>
        <item x="395"/>
        <item x="361"/>
        <item x="200"/>
        <item x="787"/>
        <item x="343"/>
        <item x="315"/>
        <item x="158"/>
        <item x="70"/>
        <item x="385"/>
        <item x="344"/>
        <item x="505"/>
        <item x="189"/>
        <item x="500"/>
        <item x="591"/>
        <item x="144"/>
        <item x="86"/>
        <item x="365"/>
        <item x="66"/>
        <item x="190"/>
        <item x="159"/>
        <item x="145"/>
        <item x="28"/>
        <item x="776"/>
        <item x="506"/>
        <item x="819"/>
        <item x="756"/>
        <item x="830"/>
        <item x="915"/>
        <item x="273"/>
        <item x="63"/>
        <item x="493"/>
        <item x="770"/>
        <item x="391"/>
        <item x="1"/>
        <item x="501"/>
        <item x="546"/>
        <item x="724"/>
        <item x="434"/>
        <item x="672"/>
        <item x="136"/>
        <item x="712"/>
        <item x="62"/>
        <item x="849"/>
        <item x="219"/>
        <item x="96"/>
        <item x="786"/>
        <item x="522"/>
        <item x="76"/>
        <item x="935"/>
        <item x="80"/>
        <item x="695"/>
        <item x="213"/>
        <item x="537"/>
        <item x="781"/>
        <item x="637"/>
        <item x="777"/>
        <item x="572"/>
        <item x="482"/>
        <item x="518"/>
        <item x="890"/>
        <item x="37"/>
        <item x="552"/>
        <item x="203"/>
        <item x="894"/>
        <item x="399"/>
        <item x="110"/>
        <item x="183"/>
        <item x="104"/>
        <item x="723"/>
        <item x="625"/>
        <item x="485"/>
        <item x="338"/>
        <item x="542"/>
        <item x="114"/>
        <item x="195"/>
        <item x="13"/>
        <item x="390"/>
        <item x="515"/>
        <item x="607"/>
        <item x="282"/>
        <item x="304"/>
        <item x="739"/>
        <item x="685"/>
        <item x="499"/>
        <item x="618"/>
        <item x="236"/>
        <item x="708"/>
        <item x="555"/>
        <item x="85"/>
        <item x="35"/>
        <item x="242"/>
        <item x="207"/>
        <item x="480"/>
        <item x="769"/>
        <item x="185"/>
        <item x="403"/>
        <item x="113"/>
        <item x="852"/>
        <item x="799"/>
        <item x="603"/>
        <item x="601"/>
        <item x="510"/>
        <item x="82"/>
        <item x="675"/>
        <item x="871"/>
        <item x="667"/>
        <item x="820"/>
        <item x="371"/>
        <item x="887"/>
        <item x="64"/>
        <item x="462"/>
        <item x="577"/>
        <item x="413"/>
        <item x="94"/>
        <item x="224"/>
        <item x="658"/>
        <item x="928"/>
        <item x="687"/>
        <item x="410"/>
        <item x="362"/>
        <item x="16"/>
        <item x="205"/>
        <item x="557"/>
        <item x="424"/>
        <item x="593"/>
        <item x="443"/>
        <item x="924"/>
        <item x="75"/>
        <item x="467"/>
        <item x="632"/>
        <item x="516"/>
        <item x="748"/>
        <item x="827"/>
        <item x="588"/>
        <item x="562"/>
        <item x="807"/>
        <item x="814"/>
        <item x="54"/>
        <item x="95"/>
        <item x="133"/>
        <item x="126"/>
        <item x="241"/>
        <item x="585"/>
        <item x="843"/>
        <item x="351"/>
        <item x="645"/>
        <item x="143"/>
        <item x="864"/>
        <item x="619"/>
        <item x="38"/>
        <item x="228"/>
        <item x="706"/>
        <item x="412"/>
        <item x="150"/>
        <item x="90"/>
        <item x="384"/>
        <item x="600"/>
        <item x="788"/>
        <item x="719"/>
        <item x="119"/>
        <item x="583"/>
        <item x="653"/>
        <item x="177"/>
        <item x="9"/>
        <item x="471"/>
        <item x="747"/>
        <item x="897"/>
        <item x="418"/>
        <item x="368"/>
        <item x="551"/>
        <item x="850"/>
        <item x="223"/>
        <item x="255"/>
        <item x="903"/>
        <item x="380"/>
        <item x="197"/>
        <item x="388"/>
        <item x="484"/>
        <item x="817"/>
        <item x="759"/>
        <item x="567"/>
        <item x="470"/>
        <item x="301"/>
        <item x="10"/>
        <item x="134"/>
        <item x="230"/>
        <item x="67"/>
        <item x="571"/>
        <item x="744"/>
        <item x="259"/>
        <item x="486"/>
        <item x="544"/>
        <item x="594"/>
        <item x="452"/>
        <item x="893"/>
        <item x="199"/>
        <item x="232"/>
        <item x="300"/>
        <item x="464"/>
        <item x="771"/>
        <item x="108"/>
        <item x="938"/>
        <item x="834"/>
        <item x="526"/>
        <item x="762"/>
        <item x="519"/>
        <item x="674"/>
        <item x="844"/>
        <item x="341"/>
        <item x="50"/>
        <item x="513"/>
        <item x="92"/>
        <item x="877"/>
        <item x="425"/>
        <item x="841"/>
        <item x="531"/>
        <item x="313"/>
        <item x="922"/>
        <item x="824"/>
        <item x="717"/>
        <item x="336"/>
        <item x="369"/>
        <item x="718"/>
        <item x="226"/>
        <item x="790"/>
        <item x="275"/>
        <item x="52"/>
        <item x="477"/>
        <item x="260"/>
        <item x="243"/>
        <item x="429"/>
        <item x="848"/>
        <item x="775"/>
        <item x="845"/>
        <item x="316"/>
        <item x="39"/>
        <item x="881"/>
        <item x="51"/>
        <item x="826"/>
        <item x="560"/>
        <item x="564"/>
        <item x="49"/>
        <item x="668"/>
        <item x="711"/>
        <item x="854"/>
        <item x="633"/>
        <item x="460"/>
        <item x="656"/>
        <item x="454"/>
        <item x="512"/>
        <item x="345"/>
        <item x="112"/>
        <item x="323"/>
        <item x="312"/>
        <item x="291"/>
        <item x="211"/>
        <item x="458"/>
        <item x="106"/>
        <item x="147"/>
        <item x="171"/>
        <item x="335"/>
        <item x="879"/>
        <item x="453"/>
        <item x="357"/>
        <item x="318"/>
        <item x="263"/>
        <item x="909"/>
        <item x="699"/>
        <item x="532"/>
        <item x="394"/>
        <item x="680"/>
        <item x="733"/>
        <item x="165"/>
        <item x="912"/>
        <item x="540"/>
        <item x="73"/>
        <item x="256"/>
        <item x="431"/>
        <item x="554"/>
        <item x="36"/>
        <item x="859"/>
        <item x="753"/>
        <item x="565"/>
        <item x="914"/>
        <item x="530"/>
        <item x="172"/>
        <item x="528"/>
        <item x="778"/>
        <item x="700"/>
        <item x="186"/>
        <item x="630"/>
        <item x="543"/>
        <item x="21"/>
        <item x="246"/>
        <item x="261"/>
        <item x="855"/>
        <item x="638"/>
        <item x="663"/>
        <item x="839"/>
        <item x="127"/>
        <item x="704"/>
        <item x="553"/>
        <item x="870"/>
        <item x="229"/>
        <item x="311"/>
        <item x="53"/>
        <item x="27"/>
        <item x="624"/>
        <item x="61"/>
        <item x="269"/>
        <item x="334"/>
        <item x="548"/>
        <item x="216"/>
        <item x="233"/>
        <item x="811"/>
        <item x="397"/>
        <item x="257"/>
        <item x="536"/>
        <item x="55"/>
        <item x="146"/>
        <item x="541"/>
        <item x="417"/>
        <item x="166"/>
        <item x="836"/>
        <item x="869"/>
        <item x="287"/>
        <item x="673"/>
        <item x="842"/>
        <item x="400"/>
        <item x="714"/>
        <item x="215"/>
        <item x="547"/>
        <item x="876"/>
        <item x="286"/>
        <item x="354"/>
        <item x="387"/>
        <item x="939"/>
        <item x="652"/>
        <item x="24"/>
        <item x="6"/>
        <item x="728"/>
        <item x="611"/>
        <item x="521"/>
        <item x="31"/>
        <item x="665"/>
        <item x="280"/>
        <item x="688"/>
        <item x="290"/>
        <item x="535"/>
        <item x="408"/>
        <item x="451"/>
        <item x="815"/>
        <item x="896"/>
        <item x="20"/>
        <item x="253"/>
        <item x="713"/>
        <item x="26"/>
        <item x="252"/>
        <item x="684"/>
        <item x="370"/>
        <item x="795"/>
        <item x="238"/>
        <item x="97"/>
        <item x="766"/>
        <item x="101"/>
        <item x="785"/>
        <item x="636"/>
        <item x="816"/>
        <item x="450"/>
        <item x="690"/>
        <item x="179"/>
        <item x="731"/>
        <item x="175"/>
        <item x="11"/>
        <item x="910"/>
        <item x="57"/>
        <item x="201"/>
        <item x="502"/>
        <item x="306"/>
        <item x="899"/>
        <item x="404"/>
        <item x="426"/>
        <item x="768"/>
        <item x="657"/>
        <item x="176"/>
        <item x="692"/>
        <item x="227"/>
        <item x="772"/>
        <item x="292"/>
        <item x="115"/>
        <item x="829"/>
        <item x="596"/>
        <item x="598"/>
        <item x="780"/>
        <item x="270"/>
        <item x="514"/>
        <item x="582"/>
        <item x="727"/>
        <item x="488"/>
        <item x="764"/>
        <item x="858"/>
        <item x="170"/>
        <item x="930"/>
        <item x="377"/>
        <item x="363"/>
        <item x="575"/>
        <item x="419"/>
        <item x="406"/>
        <item x="98"/>
        <item x="319"/>
        <item x="279"/>
        <item x="558"/>
        <item x="626"/>
        <item x="415"/>
        <item x="56"/>
        <item x="606"/>
        <item x="760"/>
        <item x="702"/>
        <item x="360"/>
        <item x="578"/>
        <item x="43"/>
        <item x="592"/>
        <item x="430"/>
        <item x="906"/>
        <item x="330"/>
        <item x="231"/>
        <item x="358"/>
        <item x="8"/>
        <item x="520"/>
        <item x="608"/>
        <item x="440"/>
        <item x="643"/>
        <item x="720"/>
        <item x="754"/>
        <item x="905"/>
        <item x="356"/>
        <item x="5"/>
        <item x="212"/>
        <item x="932"/>
        <item x="386"/>
        <item x="840"/>
        <item x="327"/>
        <item x="310"/>
        <item x="46"/>
        <item x="898"/>
        <item x="545"/>
        <item x="857"/>
        <item x="416"/>
        <item x="120"/>
        <item x="196"/>
        <item x="296"/>
        <item x="921"/>
        <item x="797"/>
        <item x="602"/>
        <item x="248"/>
        <item x="209"/>
        <item x="616"/>
        <item x="88"/>
        <item x="437"/>
        <item x="105"/>
        <item x="168"/>
        <item x="794"/>
        <item x="210"/>
        <item x="828"/>
        <item x="806"/>
        <item x="285"/>
        <item x="433"/>
        <item x="118"/>
        <item x="487"/>
        <item x="299"/>
        <item x="328"/>
        <item x="398"/>
        <item x="597"/>
        <item x="40"/>
        <item x="746"/>
        <item x="444"/>
        <item x="202"/>
        <item x="696"/>
        <item x="590"/>
        <item x="3"/>
        <item x="441"/>
        <item x="694"/>
        <item x="873"/>
        <item x="33"/>
        <item x="469"/>
        <item x="181"/>
        <item x="609"/>
        <item x="17"/>
        <item x="372"/>
        <item x="366"/>
        <item x="691"/>
        <item x="89"/>
        <item x="244"/>
        <item x="103"/>
        <item x="245"/>
        <item x="32"/>
        <item x="927"/>
        <item x="264"/>
        <item x="14"/>
        <item x="835"/>
        <item x="891"/>
        <item x="125"/>
        <item x="783"/>
        <item x="498"/>
        <item x="373"/>
        <item x="901"/>
        <item x="737"/>
        <item x="908"/>
        <item x="169"/>
        <item x="507"/>
        <item x="122"/>
        <item x="615"/>
        <item x="324"/>
        <item x="84"/>
        <item x="268"/>
        <item x="919"/>
        <item x="907"/>
        <item x="917"/>
        <item x="326"/>
        <item x="349"/>
        <item x="886"/>
        <item x="445"/>
        <item x="258"/>
        <item x="148"/>
        <item x="655"/>
        <item x="742"/>
        <item x="654"/>
        <item x="497"/>
        <item x="666"/>
        <item x="579"/>
        <item x="529"/>
        <item x="763"/>
        <item x="428"/>
        <item x="167"/>
        <item x="846"/>
        <item x="348"/>
        <item x="22"/>
        <item x="641"/>
        <item x="121"/>
        <item x="192"/>
        <item x="293"/>
        <item x="184"/>
        <item x="809"/>
        <item x="221"/>
        <item x="559"/>
        <item x="107"/>
        <item x="475"/>
        <item x="448"/>
        <item x="382"/>
        <item x="178"/>
        <item x="272"/>
        <item x="605"/>
        <item x="757"/>
        <item x="508"/>
        <item x="716"/>
        <item x="678"/>
        <item x="812"/>
        <item x="681"/>
        <item x="456"/>
        <item x="237"/>
        <item x="208"/>
        <item x="267"/>
        <item x="721"/>
        <item x="800"/>
        <item x="198"/>
        <item x="173"/>
        <item x="289"/>
        <item x="333"/>
        <item x="0"/>
        <item x="182"/>
        <item x="882"/>
        <item x="459"/>
        <item x="612"/>
        <item x="99"/>
        <item x="511"/>
        <item x="161"/>
        <item x="931"/>
        <item x="623"/>
        <item x="2"/>
        <item x="750"/>
        <item x="117"/>
        <item x="87"/>
        <item x="124"/>
        <item x="773"/>
        <item x="402"/>
        <item x="599"/>
        <item x="481"/>
        <item x="309"/>
        <item x="884"/>
        <item x="904"/>
        <item x="307"/>
        <item x="449"/>
        <item x="710"/>
        <item x="566"/>
        <item x="698"/>
        <item x="644"/>
        <item x="913"/>
        <item x="266"/>
        <item x="135"/>
        <item x="730"/>
        <item x="325"/>
        <item x="83"/>
        <item x="701"/>
        <item x="569"/>
        <item x="755"/>
        <item x="703"/>
        <item x="71"/>
        <item x="352"/>
        <item x="162"/>
        <item x="640"/>
        <item x="457"/>
        <item x="342"/>
        <item x="58"/>
        <item x="825"/>
        <item x="661"/>
        <item x="239"/>
        <item x="278"/>
        <item x="308"/>
        <item x="670"/>
        <item x="376"/>
        <item x="568"/>
        <item x="137"/>
        <item x="381"/>
        <item x="647"/>
        <item x="65"/>
        <item x="297"/>
        <item x="620"/>
        <item x="401"/>
        <item x="465"/>
        <item x="867"/>
        <item x="617"/>
        <item x="191"/>
        <item x="109"/>
        <item x="539"/>
        <item x="439"/>
        <item x="803"/>
        <item x="732"/>
        <item x="214"/>
        <item x="79"/>
        <item x="47"/>
        <item x="389"/>
        <item x="374"/>
        <item x="157"/>
        <item x="749"/>
        <item x="765"/>
        <item x="741"/>
        <item x="761"/>
        <item x="838"/>
        <item x="631"/>
        <item x="194"/>
        <item x="379"/>
        <item x="478"/>
        <item x="29"/>
        <item x="138"/>
        <item x="68"/>
        <item x="492"/>
        <item x="752"/>
        <item x="534"/>
        <item x="874"/>
        <item x="277"/>
        <item x="581"/>
        <item x="472"/>
        <item x="93"/>
        <item x="533"/>
        <item x="796"/>
        <item x="294"/>
        <item x="682"/>
        <item x="642"/>
        <item x="805"/>
        <item x="832"/>
        <item x="455"/>
        <item x="925"/>
        <item x="476"/>
        <item x="895"/>
        <item x="774"/>
        <item x="317"/>
        <item x="491"/>
        <item x="570"/>
        <item x="888"/>
        <item x="872"/>
        <item x="222"/>
        <item x="580"/>
        <item x="407"/>
        <item x="875"/>
        <item x="517"/>
        <item x="862"/>
        <item x="81"/>
        <item x="622"/>
        <item x="736"/>
        <item x="78"/>
        <item x="130"/>
        <item x="735"/>
        <item x="123"/>
        <item x="823"/>
        <item x="821"/>
        <item x="496"/>
        <item x="188"/>
        <item x="392"/>
        <item x="538"/>
        <item x="671"/>
        <item x="329"/>
        <item x="59"/>
        <item x="646"/>
        <item x="234"/>
        <item x="149"/>
        <item x="801"/>
        <item x="422"/>
        <item x="649"/>
        <item x="164"/>
        <item x="367"/>
        <item x="421"/>
        <item x="187"/>
        <item x="709"/>
        <item x="220"/>
        <item x="782"/>
        <item x="627"/>
        <item x="355"/>
        <item x="669"/>
        <item x="23"/>
        <item x="305"/>
        <item x="745"/>
        <item x="863"/>
        <item x="18"/>
        <item x="676"/>
        <item x="111"/>
        <item x="320"/>
        <item x="740"/>
        <item x="283"/>
        <item x="72"/>
        <item x="463"/>
        <item x="254"/>
        <item x="274"/>
        <item x="860"/>
        <item x="865"/>
        <item x="802"/>
        <item x="154"/>
        <item x="405"/>
        <item x="791"/>
        <item x="523"/>
        <item x="353"/>
        <item x="628"/>
        <item x="789"/>
        <item x="880"/>
        <item x="483"/>
        <item x="933"/>
        <item x="822"/>
        <item x="288"/>
        <item x="524"/>
        <item x="634"/>
        <item x="751"/>
        <item x="74"/>
        <item x="438"/>
        <item x="589"/>
        <item x="813"/>
        <item x="129"/>
        <item x="44"/>
        <item x="393"/>
        <item x="635"/>
        <item x="180"/>
        <item x="249"/>
        <item x="779"/>
        <item x="414"/>
        <item x="793"/>
        <item x="153"/>
        <item x="281"/>
        <item x="34"/>
        <item x="15"/>
        <item x="818"/>
        <item x="265"/>
        <item t="default"/>
      </items>
    </pivotField>
    <pivotField dataField="1"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name="Sum of Sales" fld="12" baseField="0" baseItem="0"/>
  </dataFields>
  <chartFormats count="2">
    <chartFormat chart="3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495FF1-DCE3-4153-9B57-C868735444BA}" autoFormatId="16" applyNumberFormats="0" applyBorderFormats="0" applyFontFormats="0" applyPatternFormats="0" applyAlignmentFormats="0" applyWidthHeightFormats="0">
  <queryTableRefresh nextId="21">
    <queryTableFields count="17">
      <queryTableField id="1" name="Order Date" tableColumnId="18"/>
      <queryTableField id="2" name="Ship Date" tableColumnId="2"/>
      <queryTableField id="3" name="Ship Mode" tableColumnId="3"/>
      <queryTableField id="4" name="Customer Name" tableColumnId="4"/>
      <queryTableField id="5" name="Segment" tableColumnId="5"/>
      <queryTableField id="6" name="Country" tableColumnId="6"/>
      <queryTableField id="7" name="City" tableColumnId="7"/>
      <queryTableField id="8" name="State" tableColumnId="8"/>
      <queryTableField id="9" name="Region" tableColumnId="9"/>
      <queryTableField id="10" name="Category" tableColumnId="10"/>
      <queryTableField id="11" name="Sub-Category" tableColumnId="11"/>
      <queryTableField id="12" name="Product Name" tableColumnId="12"/>
      <queryTableField id="14" name="Quantity" tableColumnId="14"/>
      <queryTableField id="15" name="Discount" tableColumnId="15"/>
      <queryTableField id="16" name="Profit" tableColumnId="16"/>
      <queryTableField id="13" name="Sales" tableColumnId="13"/>
      <queryTableField id="17" name="Cos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E30AD6-699A-4481-BF7D-CA944AB18041}" name="Ecommerce_Sales_analysis" displayName="Ecommerce_Sales_analysis" ref="A1:Q1335" tableType="queryTable" totalsRowShown="0">
  <autoFilter ref="A1:Q1335" xr:uid="{DE42D060-FFD3-496F-8F1E-0ECFFA8699AB}"/>
  <tableColumns count="17">
    <tableColumn id="18" xr3:uid="{8218ED72-D84D-402D-B051-BD5613812D26}" uniqueName="18" name="Order Date" queryTableFieldId="1" dataDxfId="15"/>
    <tableColumn id="2" xr3:uid="{4FD0A3AB-4835-43E6-9AA1-C4BBC6A3D68B}" uniqueName="2" name="Ship Date" queryTableFieldId="2" dataDxfId="14"/>
    <tableColumn id="3" xr3:uid="{2AC83BB2-98AC-4FA4-BCFB-DF11916BA1F5}" uniqueName="3" name="Ship Mode" queryTableFieldId="3" dataDxfId="13"/>
    <tableColumn id="4" xr3:uid="{AE96DC01-A3B4-44E4-9EC6-872AD369A358}" uniqueName="4" name="Customer Name" queryTableFieldId="4" dataDxfId="12"/>
    <tableColumn id="5" xr3:uid="{ACDBBBD4-E31A-44B1-9433-1684B4E17CF4}" uniqueName="5" name="Segment" queryTableFieldId="5" dataDxfId="11"/>
    <tableColumn id="6" xr3:uid="{648561C9-01C0-41DB-92E5-2B0DBC67A5E2}" uniqueName="6" name="Country" queryTableFieldId="6" dataDxfId="10"/>
    <tableColumn id="7" xr3:uid="{BF03A169-4B4A-4ED4-BCB0-B5B9115E2FA4}" uniqueName="7" name="City" queryTableFieldId="7" dataDxfId="9"/>
    <tableColumn id="8" xr3:uid="{C90296BC-FE5A-4426-B628-3EDDDE4C301D}" uniqueName="8" name="State" queryTableFieldId="8" dataDxfId="8"/>
    <tableColumn id="9" xr3:uid="{6AB5A6FE-A273-482F-8147-384AAD6E9A4A}" uniqueName="9" name="Region" queryTableFieldId="9" dataDxfId="7"/>
    <tableColumn id="10" xr3:uid="{600214B3-1742-4B04-918A-C1AF458FCD41}" uniqueName="10" name="Category" queryTableFieldId="10" dataDxfId="6"/>
    <tableColumn id="11" xr3:uid="{FBDD4F28-4C68-410F-BCA9-1E4D84F4C052}" uniqueName="11" name="Sub-Category" queryTableFieldId="11" dataDxfId="5"/>
    <tableColumn id="12" xr3:uid="{FAB77698-D941-4073-B568-6E54675A9205}" uniqueName="12" name="Product Name" queryTableFieldId="12" dataDxfId="4"/>
    <tableColumn id="14" xr3:uid="{E6EF0B4D-F597-407F-9C56-EBD6593C5C95}" uniqueName="14" name="Quantity" queryTableFieldId="14"/>
    <tableColumn id="15" xr3:uid="{08B6DB37-47A8-4FEA-8E73-4BD0475A2079}" uniqueName="15" name="Discount" queryTableFieldId="15"/>
    <tableColumn id="16" xr3:uid="{C9FB3B43-C669-4A18-9FDE-B63319CF1657}" uniqueName="16" name="Profit" queryTableFieldId="16"/>
    <tableColumn id="13" xr3:uid="{C4B8D80B-4EB4-4D07-A67C-1D09331E8F4C}" uniqueName="13" name="Sales" queryTableFieldId="13"/>
    <tableColumn id="17" xr3:uid="{CB82CB83-B278-4ED9-89C9-ADA278F8AE57}" uniqueName="17" name="Cost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7A7D18-47D1-4C31-81EB-BF59D85A1A9B}" name="Table2" displayName="Table2" ref="H9:I16" totalsRowShown="0" headerRowDxfId="3" dataDxfId="2">
  <autoFilter ref="H9:I16" xr:uid="{55240C63-90D1-4C21-A7E8-4D16A4D5A8B2}"/>
  <tableColumns count="2">
    <tableColumn id="1" xr3:uid="{463F18E4-F8B5-4314-8931-F6B3243868E8}" name="S.No" dataDxfId="1"/>
    <tableColumn id="2" xr3:uid="{1D92C156-A737-42D3-9EFC-C75DD59172AA}" name="Deshboard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579F-83DF-40A0-A8F0-81294E963A32}">
  <dimension ref="A3:AS947"/>
  <sheetViews>
    <sheetView topLeftCell="AE1" workbookViewId="0">
      <selection activeCell="AR5" sqref="AR5:AS5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  <col min="5" max="5" width="99.140625" bestFit="1" customWidth="1"/>
    <col min="6" max="6" width="12.5703125" bestFit="1" customWidth="1"/>
    <col min="8" max="8" width="13.140625" bestFit="1" customWidth="1"/>
    <col min="9" max="9" width="21.140625" bestFit="1" customWidth="1"/>
    <col min="11" max="11" width="13.140625" bestFit="1" customWidth="1"/>
    <col min="12" max="12" width="12.5703125" bestFit="1" customWidth="1"/>
    <col min="14" max="14" width="13.140625" bestFit="1" customWidth="1"/>
    <col min="15" max="15" width="12.5703125" bestFit="1" customWidth="1"/>
    <col min="17" max="17" width="13.140625" bestFit="1" customWidth="1"/>
    <col min="18" max="18" width="12" bestFit="1" customWidth="1"/>
    <col min="20" max="20" width="18.28515625" bestFit="1" customWidth="1"/>
    <col min="21" max="21" width="12.140625" bestFit="1" customWidth="1"/>
    <col min="23" max="23" width="18.28515625" bestFit="1" customWidth="1"/>
    <col min="24" max="24" width="12.5703125" bestFit="1" customWidth="1"/>
    <col min="25" max="25" width="15.42578125" bestFit="1" customWidth="1"/>
    <col min="26" max="26" width="13.140625" bestFit="1" customWidth="1"/>
    <col min="27" max="27" width="12.5703125" bestFit="1" customWidth="1"/>
    <col min="29" max="29" width="18.7109375" bestFit="1" customWidth="1"/>
    <col min="30" max="30" width="12.140625" bestFit="1" customWidth="1"/>
    <col min="32" max="32" width="18.7109375" bestFit="1" customWidth="1"/>
    <col min="33" max="33" width="12.5703125" bestFit="1" customWidth="1"/>
    <col min="35" max="35" width="13.85546875" bestFit="1" customWidth="1"/>
    <col min="36" max="36" width="12.5703125" bestFit="1" customWidth="1"/>
    <col min="38" max="38" width="13.85546875" bestFit="1" customWidth="1"/>
    <col min="39" max="39" width="12.140625" bestFit="1" customWidth="1"/>
    <col min="41" max="41" width="13.140625" bestFit="1" customWidth="1"/>
    <col min="42" max="42" width="12.140625" bestFit="1" customWidth="1"/>
    <col min="44" max="44" width="13.140625" bestFit="1" customWidth="1"/>
    <col min="45" max="45" width="12.140625" bestFit="1" customWidth="1"/>
  </cols>
  <sheetData>
    <row r="3" spans="1:45" x14ac:dyDescent="0.25">
      <c r="A3" s="3" t="s">
        <v>2003</v>
      </c>
      <c r="B3" t="s">
        <v>2005</v>
      </c>
      <c r="E3" s="3" t="s">
        <v>2003</v>
      </c>
      <c r="F3" t="s">
        <v>2006</v>
      </c>
      <c r="H3" s="3" t="s">
        <v>2003</v>
      </c>
      <c r="I3" t="s">
        <v>2021</v>
      </c>
      <c r="K3" s="3" t="s">
        <v>2003</v>
      </c>
      <c r="L3" t="s">
        <v>2006</v>
      </c>
      <c r="N3" s="3" t="s">
        <v>2003</v>
      </c>
      <c r="O3" t="s">
        <v>2006</v>
      </c>
      <c r="Q3" s="3" t="s">
        <v>2003</v>
      </c>
      <c r="R3" t="s">
        <v>2022</v>
      </c>
      <c r="T3" s="3" t="s">
        <v>2003</v>
      </c>
      <c r="U3" t="s">
        <v>2005</v>
      </c>
      <c r="W3" s="3" t="s">
        <v>2003</v>
      </c>
      <c r="X3" t="s">
        <v>2006</v>
      </c>
      <c r="Z3" s="3" t="s">
        <v>2003</v>
      </c>
      <c r="AA3" t="s">
        <v>2006</v>
      </c>
      <c r="AC3" s="3" t="s">
        <v>2003</v>
      </c>
      <c r="AD3" t="s">
        <v>2005</v>
      </c>
      <c r="AF3" s="3" t="s">
        <v>2003</v>
      </c>
      <c r="AG3" t="s">
        <v>2006</v>
      </c>
      <c r="AI3" s="3" t="s">
        <v>2003</v>
      </c>
      <c r="AJ3" t="s">
        <v>2006</v>
      </c>
      <c r="AL3" s="3" t="s">
        <v>2003</v>
      </c>
      <c r="AM3" t="s">
        <v>2005</v>
      </c>
      <c r="AO3" s="3" t="s">
        <v>2003</v>
      </c>
      <c r="AP3" t="s">
        <v>2005</v>
      </c>
      <c r="AR3" s="3" t="s">
        <v>2003</v>
      </c>
      <c r="AS3" t="s">
        <v>2005</v>
      </c>
    </row>
    <row r="4" spans="1:45" x14ac:dyDescent="0.25">
      <c r="A4" s="4" t="s">
        <v>31</v>
      </c>
      <c r="B4" s="1">
        <v>85938.698499999969</v>
      </c>
      <c r="E4" s="4" t="s">
        <v>900</v>
      </c>
      <c r="F4" s="1">
        <v>1.0919999999999999</v>
      </c>
      <c r="H4" s="4" t="s">
        <v>111</v>
      </c>
      <c r="I4" s="1">
        <v>89</v>
      </c>
      <c r="K4" s="4" t="s">
        <v>111</v>
      </c>
      <c r="L4" s="1">
        <v>3774.6969999999997</v>
      </c>
      <c r="N4" s="4" t="s">
        <v>111</v>
      </c>
      <c r="O4" s="1">
        <v>3774.6969999999997</v>
      </c>
      <c r="Q4" s="4" t="s">
        <v>111</v>
      </c>
      <c r="R4" s="1">
        <v>11788.610999999999</v>
      </c>
      <c r="T4" s="4" t="s">
        <v>1625</v>
      </c>
      <c r="U4" s="1">
        <v>50.8</v>
      </c>
      <c r="W4" s="4" t="s">
        <v>1625</v>
      </c>
      <c r="X4" s="1">
        <v>13.208</v>
      </c>
      <c r="Z4" s="4" t="s">
        <v>31</v>
      </c>
      <c r="AA4" s="1">
        <v>10658.656200000003</v>
      </c>
      <c r="AC4" s="4" t="s">
        <v>159</v>
      </c>
      <c r="AD4" s="1">
        <v>3398.7700000000004</v>
      </c>
      <c r="AF4" s="4" t="s">
        <v>159</v>
      </c>
      <c r="AG4" s="1">
        <v>1164.6785</v>
      </c>
      <c r="AI4" s="4" t="s">
        <v>107</v>
      </c>
      <c r="AJ4" s="1">
        <v>6226.4003000000002</v>
      </c>
      <c r="AL4" s="4" t="s">
        <v>107</v>
      </c>
      <c r="AM4" s="1">
        <v>47475.703000000001</v>
      </c>
      <c r="AO4" s="4" t="s">
        <v>2024</v>
      </c>
      <c r="AP4" s="1">
        <v>65952.675800000012</v>
      </c>
      <c r="AR4" s="4" t="s">
        <v>2029</v>
      </c>
      <c r="AS4" s="1">
        <v>87254.649799999941</v>
      </c>
    </row>
    <row r="5" spans="1:45" x14ac:dyDescent="0.25">
      <c r="A5" s="4" t="s">
        <v>81</v>
      </c>
      <c r="B5" s="1">
        <v>79204.13</v>
      </c>
      <c r="E5" s="4" t="s">
        <v>616</v>
      </c>
      <c r="F5" s="1">
        <v>6.8095999999999997</v>
      </c>
      <c r="H5" s="4" t="s">
        <v>59</v>
      </c>
      <c r="I5" s="1">
        <v>65</v>
      </c>
      <c r="K5" s="4" t="s">
        <v>59</v>
      </c>
      <c r="L5" s="1">
        <v>400.99110000000019</v>
      </c>
      <c r="N5" s="4" t="s">
        <v>59</v>
      </c>
      <c r="O5" s="1">
        <v>400.99110000000019</v>
      </c>
      <c r="Q5" s="4" t="s">
        <v>59</v>
      </c>
      <c r="R5" s="1">
        <v>12341.072899999997</v>
      </c>
      <c r="T5" s="4" t="s">
        <v>971</v>
      </c>
      <c r="U5" s="1">
        <v>836.59199999999998</v>
      </c>
      <c r="W5" s="4" t="s">
        <v>971</v>
      </c>
      <c r="X5" s="1">
        <v>-264.92079999999999</v>
      </c>
      <c r="Z5" s="4" t="s">
        <v>81</v>
      </c>
      <c r="AA5" s="1">
        <v>6876.3468999999977</v>
      </c>
      <c r="AC5" s="4" t="s">
        <v>140</v>
      </c>
      <c r="AD5" s="1">
        <v>6333.3470000000025</v>
      </c>
      <c r="AF5" s="4" t="s">
        <v>140</v>
      </c>
      <c r="AG5" s="1">
        <v>-633.83709999999996</v>
      </c>
      <c r="AI5" s="4" t="s">
        <v>434</v>
      </c>
      <c r="AJ5" s="1">
        <v>-3419.6166999999991</v>
      </c>
      <c r="AL5" s="4" t="s">
        <v>434</v>
      </c>
      <c r="AM5" s="1">
        <v>21953.119999999988</v>
      </c>
      <c r="AO5" s="4" t="s">
        <v>2025</v>
      </c>
      <c r="AP5" s="1">
        <v>83469.853499999939</v>
      </c>
      <c r="AR5" s="4" t="s">
        <v>2030</v>
      </c>
      <c r="AS5" s="1">
        <v>83419.187799999971</v>
      </c>
    </row>
    <row r="6" spans="1:45" x14ac:dyDescent="0.25">
      <c r="A6" s="4" t="s">
        <v>23</v>
      </c>
      <c r="B6" s="1">
        <v>73200.181999999972</v>
      </c>
      <c r="E6" s="4" t="s">
        <v>1778</v>
      </c>
      <c r="F6" s="1">
        <v>15.68</v>
      </c>
      <c r="H6" s="4" t="s">
        <v>72</v>
      </c>
      <c r="I6" s="1">
        <v>125</v>
      </c>
      <c r="K6" s="4" t="s">
        <v>72</v>
      </c>
      <c r="L6" s="1">
        <v>1190.8152000000005</v>
      </c>
      <c r="N6" s="4" t="s">
        <v>72</v>
      </c>
      <c r="O6" s="1">
        <v>1190.8152000000005</v>
      </c>
      <c r="Q6" s="4" t="s">
        <v>72</v>
      </c>
      <c r="R6" s="1">
        <v>4375.9447999999975</v>
      </c>
      <c r="T6" s="4" t="s">
        <v>1494</v>
      </c>
      <c r="U6" s="1">
        <v>857.25000000000011</v>
      </c>
      <c r="W6" s="4" t="s">
        <v>1494</v>
      </c>
      <c r="X6" s="1">
        <v>-24.885899999999999</v>
      </c>
      <c r="Z6" s="4" t="s">
        <v>23</v>
      </c>
      <c r="AA6" s="1">
        <v>3908.6047999999987</v>
      </c>
      <c r="AC6" s="4" t="s">
        <v>899</v>
      </c>
      <c r="AD6" s="1">
        <v>1068.1199999999999</v>
      </c>
      <c r="AF6" s="4" t="s">
        <v>899</v>
      </c>
      <c r="AG6" s="1">
        <v>247.73240000000001</v>
      </c>
      <c r="AI6" s="4" t="s">
        <v>17</v>
      </c>
      <c r="AJ6" s="1">
        <v>4775.9714999999969</v>
      </c>
      <c r="AL6" s="4" t="s">
        <v>17</v>
      </c>
      <c r="AM6" s="1">
        <v>69113.214999999967</v>
      </c>
      <c r="AO6" s="4" t="s">
        <v>2026</v>
      </c>
      <c r="AP6" s="1">
        <v>78154.545800000022</v>
      </c>
      <c r="AR6" s="4" t="s">
        <v>2023</v>
      </c>
      <c r="AS6" s="1">
        <v>68842.390000000014</v>
      </c>
    </row>
    <row r="7" spans="1:45" x14ac:dyDescent="0.25">
      <c r="A7" s="4" t="s">
        <v>58</v>
      </c>
      <c r="B7" s="1">
        <v>69457.318600000013</v>
      </c>
      <c r="E7" s="4" t="s">
        <v>1640</v>
      </c>
      <c r="F7" s="1">
        <v>27.011199999999999</v>
      </c>
      <c r="H7" s="4" t="s">
        <v>52</v>
      </c>
      <c r="I7" s="1">
        <v>180</v>
      </c>
      <c r="K7" s="4" t="s">
        <v>52</v>
      </c>
      <c r="L7" s="1">
        <v>6233.8575999999985</v>
      </c>
      <c r="N7" s="4" t="s">
        <v>52</v>
      </c>
      <c r="O7" s="1">
        <v>6233.8575999999985</v>
      </c>
      <c r="Q7" s="4" t="s">
        <v>52</v>
      </c>
      <c r="R7" s="1">
        <v>17012.576400000002</v>
      </c>
      <c r="T7" s="4" t="s">
        <v>1918</v>
      </c>
      <c r="U7" s="1">
        <v>163.136</v>
      </c>
      <c r="W7" s="4" t="s">
        <v>1918</v>
      </c>
      <c r="X7" s="1">
        <v>20.391999999999999</v>
      </c>
      <c r="Z7" s="4" t="s">
        <v>58</v>
      </c>
      <c r="AA7" s="1">
        <v>3519.0925999999977</v>
      </c>
      <c r="AC7" s="4" t="s">
        <v>30</v>
      </c>
      <c r="AD7" s="1">
        <v>50679.191499999979</v>
      </c>
      <c r="AF7" s="4" t="s">
        <v>30</v>
      </c>
      <c r="AG7" s="1">
        <v>8427.1182000000008</v>
      </c>
      <c r="AI7" s="4" t="s">
        <v>35</v>
      </c>
      <c r="AJ7" s="1">
        <v>17379.945400000008</v>
      </c>
      <c r="AL7" s="4" t="s">
        <v>35</v>
      </c>
      <c r="AM7" s="1">
        <v>169258.2910999998</v>
      </c>
      <c r="AO7" s="4" t="s">
        <v>2027</v>
      </c>
      <c r="AP7" s="1">
        <v>80223.253999999957</v>
      </c>
      <c r="AR7" s="4" t="s">
        <v>2028</v>
      </c>
      <c r="AS7" s="1">
        <v>68284.101500000033</v>
      </c>
    </row>
    <row r="8" spans="1:45" x14ac:dyDescent="0.25">
      <c r="A8" s="4" t="s">
        <v>2004</v>
      </c>
      <c r="B8" s="1">
        <v>307800.32909999997</v>
      </c>
      <c r="E8" s="4" t="s">
        <v>1421</v>
      </c>
      <c r="F8" s="1">
        <v>3.1103999999999998</v>
      </c>
      <c r="H8" s="4" t="s">
        <v>25</v>
      </c>
      <c r="I8" s="1">
        <v>34</v>
      </c>
      <c r="K8" s="4" t="s">
        <v>25</v>
      </c>
      <c r="L8" s="1">
        <v>-2280.2006999999999</v>
      </c>
      <c r="N8" s="4" t="s">
        <v>25</v>
      </c>
      <c r="O8" s="1">
        <v>-2280.2006999999999</v>
      </c>
      <c r="Q8" s="4" t="s">
        <v>25</v>
      </c>
      <c r="R8" s="1">
        <v>17981.409799999998</v>
      </c>
      <c r="T8" s="4" t="s">
        <v>483</v>
      </c>
      <c r="U8" s="1">
        <v>622.81999999999994</v>
      </c>
      <c r="W8" s="4" t="s">
        <v>483</v>
      </c>
      <c r="X8" s="1">
        <v>100.1763</v>
      </c>
      <c r="Z8" s="4" t="s">
        <v>2004</v>
      </c>
      <c r="AA8" s="1">
        <v>24962.700499999999</v>
      </c>
      <c r="AC8" s="4" t="s">
        <v>198</v>
      </c>
      <c r="AD8" s="1">
        <v>6648.0980000000009</v>
      </c>
      <c r="AF8" s="4" t="s">
        <v>198</v>
      </c>
      <c r="AG8" s="1">
        <v>-1612.4875</v>
      </c>
      <c r="AI8" s="4" t="s">
        <v>2004</v>
      </c>
      <c r="AJ8" s="1">
        <v>24962.700500000006</v>
      </c>
      <c r="AL8" s="4" t="s">
        <v>2004</v>
      </c>
      <c r="AM8" s="1">
        <v>307800.32909999974</v>
      </c>
      <c r="AO8" s="4" t="s">
        <v>2004</v>
      </c>
      <c r="AP8" s="1">
        <v>307800.32909999992</v>
      </c>
      <c r="AR8" s="4" t="s">
        <v>2004</v>
      </c>
      <c r="AS8" s="1">
        <v>307800.32909999997</v>
      </c>
    </row>
    <row r="9" spans="1:45" x14ac:dyDescent="0.25">
      <c r="E9" s="4" t="s">
        <v>766</v>
      </c>
      <c r="F9" s="1">
        <v>43.5456</v>
      </c>
      <c r="H9" s="4" t="s">
        <v>82</v>
      </c>
      <c r="I9" s="1">
        <v>91</v>
      </c>
      <c r="K9" s="4" t="s">
        <v>82</v>
      </c>
      <c r="L9" s="1">
        <v>3308.6780999999996</v>
      </c>
      <c r="N9" s="4" t="s">
        <v>82</v>
      </c>
      <c r="O9" s="1">
        <v>3308.6780999999996</v>
      </c>
      <c r="Q9" s="4" t="s">
        <v>82</v>
      </c>
      <c r="R9" s="1">
        <v>41286.948900000003</v>
      </c>
      <c r="T9" s="4" t="s">
        <v>1797</v>
      </c>
      <c r="U9" s="1">
        <v>279.89999999999998</v>
      </c>
      <c r="W9" s="4" t="s">
        <v>1797</v>
      </c>
      <c r="X9" s="1">
        <v>137.15100000000001</v>
      </c>
      <c r="AC9" s="4" t="s">
        <v>284</v>
      </c>
      <c r="AD9" s="1">
        <v>1068.6299999999999</v>
      </c>
      <c r="AF9" s="4" t="s">
        <v>284</v>
      </c>
      <c r="AG9" s="1">
        <v>311.93510000000003</v>
      </c>
    </row>
    <row r="10" spans="1:45" x14ac:dyDescent="0.25">
      <c r="E10" s="4" t="s">
        <v>973</v>
      </c>
      <c r="F10" s="1">
        <v>15.552</v>
      </c>
      <c r="H10" s="4" t="s">
        <v>573</v>
      </c>
      <c r="I10" s="1">
        <v>6</v>
      </c>
      <c r="K10" s="4" t="s">
        <v>573</v>
      </c>
      <c r="L10" s="1">
        <v>3036.9184</v>
      </c>
      <c r="N10" s="4" t="s">
        <v>573</v>
      </c>
      <c r="O10" s="1">
        <v>3036.9184</v>
      </c>
      <c r="Q10" s="4" t="s">
        <v>573</v>
      </c>
      <c r="R10" s="1">
        <v>4992.8615999999993</v>
      </c>
      <c r="T10" s="4" t="s">
        <v>314</v>
      </c>
      <c r="U10" s="1">
        <v>444.76799999999997</v>
      </c>
      <c r="W10" s="4" t="s">
        <v>314</v>
      </c>
      <c r="X10" s="1">
        <v>44.476799999999997</v>
      </c>
      <c r="AC10" s="4" t="s">
        <v>119</v>
      </c>
      <c r="AD10" s="1">
        <v>992.56600000000003</v>
      </c>
      <c r="AF10" s="4" t="s">
        <v>119</v>
      </c>
      <c r="AG10" s="1">
        <v>151.35489999999999</v>
      </c>
    </row>
    <row r="11" spans="1:45" x14ac:dyDescent="0.25">
      <c r="E11" s="4" t="s">
        <v>377</v>
      </c>
      <c r="F11" s="1">
        <v>15.552</v>
      </c>
      <c r="H11" s="4" t="s">
        <v>94</v>
      </c>
      <c r="I11" s="1">
        <v>35</v>
      </c>
      <c r="K11" s="4" t="s">
        <v>94</v>
      </c>
      <c r="L11" s="1">
        <v>1138.8573999999999</v>
      </c>
      <c r="N11" s="4" t="s">
        <v>94</v>
      </c>
      <c r="O11" s="1">
        <v>1138.8573999999999</v>
      </c>
      <c r="Q11" s="4" t="s">
        <v>94</v>
      </c>
      <c r="R11" s="1">
        <v>1701.1285999999996</v>
      </c>
      <c r="T11" s="4" t="s">
        <v>1160</v>
      </c>
      <c r="U11" s="1">
        <v>31.968</v>
      </c>
      <c r="W11" s="4" t="s">
        <v>1160</v>
      </c>
      <c r="X11" s="1">
        <v>2.3976000000000002</v>
      </c>
      <c r="Z11" s="3" t="s">
        <v>2003</v>
      </c>
      <c r="AA11" t="s">
        <v>2005</v>
      </c>
      <c r="AC11" s="4" t="s">
        <v>929</v>
      </c>
      <c r="AD11" s="1">
        <v>62.819999999999993</v>
      </c>
      <c r="AF11" s="4" t="s">
        <v>929</v>
      </c>
      <c r="AG11" s="1">
        <v>28.106999999999999</v>
      </c>
    </row>
    <row r="12" spans="1:45" x14ac:dyDescent="0.25">
      <c r="E12" s="4" t="s">
        <v>1613</v>
      </c>
      <c r="F12" s="1">
        <v>7.2576000000000001</v>
      </c>
      <c r="H12" s="4" t="s">
        <v>128</v>
      </c>
      <c r="I12" s="1">
        <v>36</v>
      </c>
      <c r="K12" s="4" t="s">
        <v>128</v>
      </c>
      <c r="L12" s="1">
        <v>165.39450000000005</v>
      </c>
      <c r="N12" s="4" t="s">
        <v>128</v>
      </c>
      <c r="O12" s="1">
        <v>165.39450000000005</v>
      </c>
      <c r="Q12" s="4" t="s">
        <v>128</v>
      </c>
      <c r="R12" s="1">
        <v>312.22949999999997</v>
      </c>
      <c r="T12" s="4" t="s">
        <v>114</v>
      </c>
      <c r="U12" s="1">
        <v>321.91000000000003</v>
      </c>
      <c r="W12" s="4" t="s">
        <v>114</v>
      </c>
      <c r="X12" s="1">
        <v>44.761899999999997</v>
      </c>
      <c r="Z12" s="4" t="s">
        <v>31</v>
      </c>
      <c r="AA12" s="1">
        <v>85938.698499999969</v>
      </c>
      <c r="AC12" s="4" t="s">
        <v>38</v>
      </c>
      <c r="AD12" s="1">
        <v>19065.394999999993</v>
      </c>
      <c r="AF12" s="4" t="s">
        <v>38</v>
      </c>
      <c r="AG12" s="1">
        <v>50.782799999999803</v>
      </c>
    </row>
    <row r="13" spans="1:45" x14ac:dyDescent="0.25">
      <c r="E13" s="4" t="s">
        <v>1952</v>
      </c>
      <c r="F13" s="1">
        <v>9.3312000000000008</v>
      </c>
      <c r="H13" s="4" t="s">
        <v>42</v>
      </c>
      <c r="I13" s="1">
        <v>116</v>
      </c>
      <c r="K13" s="4" t="s">
        <v>42</v>
      </c>
      <c r="L13" s="1">
        <v>2032.8772000000001</v>
      </c>
      <c r="N13" s="4" t="s">
        <v>42</v>
      </c>
      <c r="O13" s="1">
        <v>2032.8772000000001</v>
      </c>
      <c r="Q13" s="4" t="s">
        <v>42</v>
      </c>
      <c r="R13" s="1">
        <v>10223.696800000003</v>
      </c>
      <c r="T13" s="4" t="s">
        <v>297</v>
      </c>
      <c r="U13" s="1">
        <v>228.53</v>
      </c>
      <c r="W13" s="4" t="s">
        <v>297</v>
      </c>
      <c r="X13" s="1">
        <v>49.620400000000004</v>
      </c>
      <c r="Z13" s="4" t="s">
        <v>81</v>
      </c>
      <c r="AA13" s="1">
        <v>79204.13</v>
      </c>
      <c r="AC13" s="4" t="s">
        <v>429</v>
      </c>
      <c r="AD13" s="1">
        <v>6260.58</v>
      </c>
      <c r="AF13" s="4" t="s">
        <v>429</v>
      </c>
      <c r="AG13" s="1">
        <v>1794.9069</v>
      </c>
    </row>
    <row r="14" spans="1:45" x14ac:dyDescent="0.25">
      <c r="E14" s="4" t="s">
        <v>1446</v>
      </c>
      <c r="F14" s="1">
        <v>3.1103999999999998</v>
      </c>
      <c r="H14" s="4" t="s">
        <v>33</v>
      </c>
      <c r="I14" s="1">
        <v>57</v>
      </c>
      <c r="K14" s="4" t="s">
        <v>33</v>
      </c>
      <c r="L14" s="1">
        <v>766.83530000000007</v>
      </c>
      <c r="N14" s="4" t="s">
        <v>33</v>
      </c>
      <c r="O14" s="1">
        <v>766.83530000000007</v>
      </c>
      <c r="Q14" s="4" t="s">
        <v>33</v>
      </c>
      <c r="R14" s="1">
        <v>874.92870000000005</v>
      </c>
      <c r="T14" s="4" t="s">
        <v>1961</v>
      </c>
      <c r="U14" s="1">
        <v>13.12</v>
      </c>
      <c r="W14" s="4" t="s">
        <v>1961</v>
      </c>
      <c r="X14" s="1">
        <v>2.1320000000000001</v>
      </c>
      <c r="Z14" s="4" t="s">
        <v>23</v>
      </c>
      <c r="AA14" s="1">
        <v>73200.181999999972</v>
      </c>
      <c r="AC14" s="4" t="s">
        <v>1764</v>
      </c>
      <c r="AD14" s="1">
        <v>368.24799999999999</v>
      </c>
      <c r="AF14" s="4" t="s">
        <v>1764</v>
      </c>
      <c r="AG14" s="1">
        <v>96.863100000000003</v>
      </c>
    </row>
    <row r="15" spans="1:45" x14ac:dyDescent="0.25">
      <c r="E15" s="4" t="s">
        <v>793</v>
      </c>
      <c r="F15" s="1">
        <v>8.0351999999999997</v>
      </c>
      <c r="H15" s="4" t="s">
        <v>354</v>
      </c>
      <c r="I15" s="1">
        <v>15</v>
      </c>
      <c r="K15" s="4" t="s">
        <v>354</v>
      </c>
      <c r="L15" s="1">
        <v>-952.92990000000123</v>
      </c>
      <c r="N15" s="4" t="s">
        <v>354</v>
      </c>
      <c r="O15" s="1">
        <v>-952.92990000000123</v>
      </c>
      <c r="Q15" s="4" t="s">
        <v>354</v>
      </c>
      <c r="R15" s="1">
        <v>32288.228899999995</v>
      </c>
      <c r="T15" s="4" t="s">
        <v>67</v>
      </c>
      <c r="U15" s="1">
        <v>55.5</v>
      </c>
      <c r="W15" s="4" t="s">
        <v>67</v>
      </c>
      <c r="X15" s="1">
        <v>9.99</v>
      </c>
      <c r="Z15" s="4" t="s">
        <v>58</v>
      </c>
      <c r="AA15" s="1">
        <v>69457.318600000013</v>
      </c>
      <c r="AC15" s="4" t="s">
        <v>98</v>
      </c>
      <c r="AD15" s="1">
        <v>17293.100000000002</v>
      </c>
      <c r="AF15" s="4" t="s">
        <v>98</v>
      </c>
      <c r="AG15" s="1">
        <v>-1864.3315000000002</v>
      </c>
    </row>
    <row r="16" spans="1:45" x14ac:dyDescent="0.25">
      <c r="E16" s="4" t="s">
        <v>1369</v>
      </c>
      <c r="F16" s="1">
        <v>5.4432</v>
      </c>
      <c r="H16" s="4" t="s">
        <v>47</v>
      </c>
      <c r="I16" s="1">
        <v>187</v>
      </c>
      <c r="K16" s="4" t="s">
        <v>47</v>
      </c>
      <c r="L16" s="1">
        <v>4307.4476000000013</v>
      </c>
      <c r="N16" s="4" t="s">
        <v>47</v>
      </c>
      <c r="O16" s="1">
        <v>4307.4476000000013</v>
      </c>
      <c r="Q16" s="4" t="s">
        <v>47</v>
      </c>
      <c r="R16" s="1">
        <v>5761.3943999999983</v>
      </c>
      <c r="T16" s="4" t="s">
        <v>1677</v>
      </c>
      <c r="U16" s="1">
        <v>241.96</v>
      </c>
      <c r="W16" s="4" t="s">
        <v>1677</v>
      </c>
      <c r="X16" s="1">
        <v>24.196000000000002</v>
      </c>
      <c r="Z16" s="4" t="s">
        <v>2004</v>
      </c>
      <c r="AA16" s="1">
        <v>307800.32909999997</v>
      </c>
      <c r="AC16" s="4" t="s">
        <v>123</v>
      </c>
      <c r="AD16" s="1">
        <v>2697.1500000000005</v>
      </c>
      <c r="AF16" s="4" t="s">
        <v>123</v>
      </c>
      <c r="AG16" s="1">
        <v>590.87530000000004</v>
      </c>
    </row>
    <row r="17" spans="5:33" x14ac:dyDescent="0.25">
      <c r="E17" s="4" t="s">
        <v>926</v>
      </c>
      <c r="F17" s="1">
        <v>24.883200000000002</v>
      </c>
      <c r="H17" s="4" t="s">
        <v>100</v>
      </c>
      <c r="I17" s="1">
        <v>112</v>
      </c>
      <c r="K17" s="4" t="s">
        <v>100</v>
      </c>
      <c r="L17" s="1">
        <v>5839.2502000000004</v>
      </c>
      <c r="N17" s="4" t="s">
        <v>100</v>
      </c>
      <c r="O17" s="1">
        <v>5839.2502000000004</v>
      </c>
      <c r="Q17" s="4" t="s">
        <v>100</v>
      </c>
      <c r="R17" s="1">
        <v>43143.845800000017</v>
      </c>
      <c r="T17" s="4" t="s">
        <v>711</v>
      </c>
      <c r="U17" s="1">
        <v>673.65</v>
      </c>
      <c r="W17" s="4" t="s">
        <v>711</v>
      </c>
      <c r="X17" s="1">
        <v>162.6678</v>
      </c>
      <c r="AC17" s="4" t="s">
        <v>210</v>
      </c>
      <c r="AD17" s="1">
        <v>360.84</v>
      </c>
      <c r="AF17" s="4" t="s">
        <v>210</v>
      </c>
      <c r="AG17" s="1">
        <v>106.6344</v>
      </c>
    </row>
    <row r="18" spans="5:33" x14ac:dyDescent="0.25">
      <c r="E18" s="4" t="s">
        <v>1325</v>
      </c>
      <c r="F18" s="1">
        <v>3.1103999999999998</v>
      </c>
      <c r="H18" s="4" t="s">
        <v>64</v>
      </c>
      <c r="I18" s="1">
        <v>118</v>
      </c>
      <c r="K18" s="4" t="s">
        <v>64</v>
      </c>
      <c r="L18" s="1">
        <v>3316.2445000000007</v>
      </c>
      <c r="N18" s="4" t="s">
        <v>64</v>
      </c>
      <c r="O18" s="1">
        <v>3316.2445000000007</v>
      </c>
      <c r="Q18" s="4" t="s">
        <v>64</v>
      </c>
      <c r="R18" s="1">
        <v>33497.559500000003</v>
      </c>
      <c r="T18" s="4" t="s">
        <v>1319</v>
      </c>
      <c r="U18" s="1">
        <v>931.82999999999993</v>
      </c>
      <c r="W18" s="4" t="s">
        <v>1319</v>
      </c>
      <c r="X18" s="1">
        <v>312.06869999999998</v>
      </c>
      <c r="AC18" s="4" t="s">
        <v>1798</v>
      </c>
      <c r="AD18" s="1">
        <v>537.88</v>
      </c>
      <c r="AF18" s="4" t="s">
        <v>1798</v>
      </c>
      <c r="AG18" s="1">
        <v>211.96520000000001</v>
      </c>
    </row>
    <row r="19" spans="5:33" x14ac:dyDescent="0.25">
      <c r="E19" s="4" t="s">
        <v>883</v>
      </c>
      <c r="F19" s="1">
        <v>6.2207999999999997</v>
      </c>
      <c r="H19" s="4" t="s">
        <v>476</v>
      </c>
      <c r="I19" s="1">
        <v>16</v>
      </c>
      <c r="K19" s="4" t="s">
        <v>476</v>
      </c>
      <c r="L19" s="1">
        <v>-188.0361</v>
      </c>
      <c r="N19" s="4" t="s">
        <v>476</v>
      </c>
      <c r="O19" s="1">
        <v>-188.0361</v>
      </c>
      <c r="Q19" s="4" t="s">
        <v>476</v>
      </c>
      <c r="R19" s="1">
        <v>2886.3941</v>
      </c>
      <c r="T19" s="4" t="s">
        <v>1785</v>
      </c>
      <c r="U19" s="1">
        <v>65.17</v>
      </c>
      <c r="W19" s="4" t="s">
        <v>1785</v>
      </c>
      <c r="X19" s="1">
        <v>18.8993</v>
      </c>
      <c r="AC19" s="4" t="s">
        <v>22</v>
      </c>
      <c r="AD19" s="1">
        <v>6164.130000000001</v>
      </c>
      <c r="AF19" s="4" t="s">
        <v>22</v>
      </c>
      <c r="AG19" s="1">
        <v>1513.4779000000001</v>
      </c>
    </row>
    <row r="20" spans="5:33" x14ac:dyDescent="0.25">
      <c r="E20" s="4" t="s">
        <v>1060</v>
      </c>
      <c r="F20" s="1">
        <v>3.6288</v>
      </c>
      <c r="H20" s="4" t="s">
        <v>39</v>
      </c>
      <c r="I20" s="1">
        <v>52</v>
      </c>
      <c r="K20" s="4" t="s">
        <v>39</v>
      </c>
      <c r="L20" s="1">
        <v>-7128.996900000001</v>
      </c>
      <c r="N20" s="4" t="s">
        <v>39</v>
      </c>
      <c r="O20" s="1">
        <v>-7128.996900000001</v>
      </c>
      <c r="Q20" s="4" t="s">
        <v>39</v>
      </c>
      <c r="R20" s="1">
        <v>42368.796900000008</v>
      </c>
      <c r="T20" s="4" t="s">
        <v>51</v>
      </c>
      <c r="U20" s="1">
        <v>62.819999999999993</v>
      </c>
      <c r="W20" s="4" t="s">
        <v>51</v>
      </c>
      <c r="X20" s="1">
        <v>28.106999999999999</v>
      </c>
      <c r="AC20" s="4" t="s">
        <v>280</v>
      </c>
      <c r="AD20" s="1">
        <v>779.68000000000006</v>
      </c>
      <c r="AF20" s="4" t="s">
        <v>280</v>
      </c>
      <c r="AG20" s="1">
        <v>189.101</v>
      </c>
    </row>
    <row r="21" spans="5:33" x14ac:dyDescent="0.25">
      <c r="E21" s="4" t="s">
        <v>1300</v>
      </c>
      <c r="F21" s="1">
        <v>10.8864</v>
      </c>
      <c r="H21" s="4" t="s">
        <v>2004</v>
      </c>
      <c r="I21" s="1">
        <v>1334</v>
      </c>
      <c r="K21" s="4" t="s">
        <v>2004</v>
      </c>
      <c r="L21" s="1">
        <v>24962.700499999992</v>
      </c>
      <c r="N21" s="4" t="s">
        <v>2004</v>
      </c>
      <c r="O21" s="1">
        <v>24962.700499999992</v>
      </c>
      <c r="Q21" s="4" t="s">
        <v>2004</v>
      </c>
      <c r="R21" s="1">
        <v>282837.6286</v>
      </c>
      <c r="T21" s="4" t="s">
        <v>473</v>
      </c>
      <c r="U21" s="1">
        <v>49.96</v>
      </c>
      <c r="W21" s="4" t="s">
        <v>473</v>
      </c>
      <c r="X21" s="1">
        <v>9.4923999999999999</v>
      </c>
      <c r="AC21" s="4" t="s">
        <v>1024</v>
      </c>
      <c r="AD21" s="1">
        <v>3194.56</v>
      </c>
      <c r="AF21" s="4" t="s">
        <v>1024</v>
      </c>
      <c r="AG21" s="1">
        <v>1516.7661000000003</v>
      </c>
    </row>
    <row r="22" spans="5:33" x14ac:dyDescent="0.25">
      <c r="E22" s="4" t="s">
        <v>1489</v>
      </c>
      <c r="F22" s="1">
        <v>3.6288</v>
      </c>
      <c r="T22" s="4" t="s">
        <v>667</v>
      </c>
      <c r="U22" s="1">
        <v>392.94</v>
      </c>
      <c r="W22" s="4" t="s">
        <v>667</v>
      </c>
      <c r="X22" s="1">
        <v>43.223399999999998</v>
      </c>
      <c r="AC22" s="4" t="s">
        <v>423</v>
      </c>
      <c r="AD22" s="1">
        <v>3864.1339999999987</v>
      </c>
      <c r="AF22" s="4" t="s">
        <v>423</v>
      </c>
      <c r="AG22" s="1">
        <v>453.55029999999999</v>
      </c>
    </row>
    <row r="23" spans="5:33" x14ac:dyDescent="0.25">
      <c r="E23" s="4" t="s">
        <v>1032</v>
      </c>
      <c r="F23" s="1">
        <v>9.0719999999999992</v>
      </c>
      <c r="T23" s="4" t="s">
        <v>918</v>
      </c>
      <c r="U23" s="1">
        <v>2726.89</v>
      </c>
      <c r="W23" s="4" t="s">
        <v>918</v>
      </c>
      <c r="X23" s="1">
        <v>1279.4463000000001</v>
      </c>
      <c r="AC23" s="4" t="s">
        <v>115</v>
      </c>
      <c r="AD23" s="1">
        <v>14277.682000000001</v>
      </c>
      <c r="AF23" s="4" t="s">
        <v>115</v>
      </c>
      <c r="AG23" s="1">
        <v>3510.3725999999997</v>
      </c>
    </row>
    <row r="24" spans="5:33" x14ac:dyDescent="0.25">
      <c r="E24" s="4" t="s">
        <v>1867</v>
      </c>
      <c r="F24" s="1">
        <v>9.3312000000000008</v>
      </c>
      <c r="T24" s="4" t="s">
        <v>1152</v>
      </c>
      <c r="U24" s="1">
        <v>244.006</v>
      </c>
      <c r="W24" s="4" t="s">
        <v>1152</v>
      </c>
      <c r="X24" s="1">
        <v>-31.372199999999999</v>
      </c>
      <c r="AC24" s="4" t="s">
        <v>110</v>
      </c>
      <c r="AD24" s="1">
        <v>3796.5200000000004</v>
      </c>
      <c r="AF24" s="4" t="s">
        <v>110</v>
      </c>
      <c r="AG24" s="1">
        <v>1190.069</v>
      </c>
    </row>
    <row r="25" spans="5:33" x14ac:dyDescent="0.25">
      <c r="E25" s="4" t="s">
        <v>1750</v>
      </c>
      <c r="F25" s="1">
        <v>5.4432</v>
      </c>
      <c r="T25" s="4" t="s">
        <v>688</v>
      </c>
      <c r="U25" s="1">
        <v>68.460000000000008</v>
      </c>
      <c r="W25" s="4" t="s">
        <v>688</v>
      </c>
      <c r="X25" s="1">
        <v>21.176399999999997</v>
      </c>
      <c r="AC25" s="4" t="s">
        <v>502</v>
      </c>
      <c r="AD25" s="1">
        <v>2667.0099999999998</v>
      </c>
      <c r="AF25" s="4" t="s">
        <v>502</v>
      </c>
      <c r="AG25" s="1">
        <v>738.16650000000004</v>
      </c>
    </row>
    <row r="26" spans="5:33" x14ac:dyDescent="0.25">
      <c r="E26" s="4" t="s">
        <v>804</v>
      </c>
      <c r="F26" s="1">
        <v>24.883199999999999</v>
      </c>
      <c r="T26" s="4" t="s">
        <v>671</v>
      </c>
      <c r="U26" s="1">
        <v>1078.8</v>
      </c>
      <c r="W26" s="4" t="s">
        <v>671</v>
      </c>
      <c r="X26" s="1">
        <v>287.59199999999998</v>
      </c>
      <c r="AC26" s="4" t="s">
        <v>235</v>
      </c>
      <c r="AD26" s="1">
        <v>2647.51</v>
      </c>
      <c r="AF26" s="4" t="s">
        <v>235</v>
      </c>
      <c r="AG26" s="1">
        <v>1032.6622</v>
      </c>
    </row>
    <row r="27" spans="5:33" x14ac:dyDescent="0.25">
      <c r="E27" s="4" t="s">
        <v>1352</v>
      </c>
      <c r="F27" s="1">
        <v>5.4432</v>
      </c>
      <c r="T27" s="4" t="s">
        <v>1524</v>
      </c>
      <c r="U27" s="1">
        <v>423.28</v>
      </c>
      <c r="W27" s="4" t="s">
        <v>1524</v>
      </c>
      <c r="X27" s="1">
        <v>110.0528</v>
      </c>
      <c r="AC27" s="4" t="s">
        <v>572</v>
      </c>
      <c r="AD27" s="1">
        <v>3516.9739999999997</v>
      </c>
      <c r="AF27" s="4" t="s">
        <v>572</v>
      </c>
      <c r="AG27" s="1">
        <v>1546.4112000000002</v>
      </c>
    </row>
    <row r="28" spans="5:33" x14ac:dyDescent="0.25">
      <c r="E28" s="4" t="s">
        <v>1974</v>
      </c>
      <c r="F28" s="1">
        <v>9.3312000000000008</v>
      </c>
      <c r="T28" s="4" t="s">
        <v>209</v>
      </c>
      <c r="U28" s="1">
        <v>75.959999999999994</v>
      </c>
      <c r="W28" s="4" t="s">
        <v>209</v>
      </c>
      <c r="X28" s="1">
        <v>22.788</v>
      </c>
      <c r="AC28" s="4" t="s">
        <v>76</v>
      </c>
      <c r="AD28" s="1">
        <v>157.30999999999997</v>
      </c>
      <c r="AF28" s="4" t="s">
        <v>76</v>
      </c>
      <c r="AG28" s="1">
        <v>66.224800000000002</v>
      </c>
    </row>
    <row r="29" spans="5:33" x14ac:dyDescent="0.25">
      <c r="E29" s="4" t="s">
        <v>1554</v>
      </c>
      <c r="F29" s="1">
        <v>7.2576000000000001</v>
      </c>
      <c r="T29" s="4" t="s">
        <v>703</v>
      </c>
      <c r="U29" s="1">
        <v>2.6880000000000002</v>
      </c>
      <c r="W29" s="4" t="s">
        <v>703</v>
      </c>
      <c r="X29" s="1">
        <v>-7.3920000000000003</v>
      </c>
      <c r="AC29" s="4" t="s">
        <v>470</v>
      </c>
      <c r="AD29" s="1">
        <v>2968.7660000000001</v>
      </c>
      <c r="AF29" s="4" t="s">
        <v>470</v>
      </c>
      <c r="AG29" s="1">
        <v>569.18679999999995</v>
      </c>
    </row>
    <row r="30" spans="5:33" x14ac:dyDescent="0.25">
      <c r="E30" s="4" t="s">
        <v>1656</v>
      </c>
      <c r="F30" s="1">
        <v>6.2207999999999997</v>
      </c>
      <c r="T30" s="4" t="s">
        <v>1270</v>
      </c>
      <c r="U30" s="1">
        <v>69.930000000000007</v>
      </c>
      <c r="W30" s="4" t="s">
        <v>1270</v>
      </c>
      <c r="X30" s="1">
        <v>0.69930000000000003</v>
      </c>
      <c r="AC30" s="4" t="s">
        <v>842</v>
      </c>
      <c r="AD30" s="1">
        <v>391.75</v>
      </c>
      <c r="AF30" s="4" t="s">
        <v>842</v>
      </c>
      <c r="AG30" s="1">
        <v>89.982399999999998</v>
      </c>
    </row>
    <row r="31" spans="5:33" x14ac:dyDescent="0.25">
      <c r="E31" s="4" t="s">
        <v>935</v>
      </c>
      <c r="F31" s="1">
        <v>19.958399999999997</v>
      </c>
      <c r="T31" s="4" t="s">
        <v>442</v>
      </c>
      <c r="U31" s="1">
        <v>700.12800000000004</v>
      </c>
      <c r="W31" s="4" t="s">
        <v>442</v>
      </c>
      <c r="X31" s="1">
        <v>16.854399999999995</v>
      </c>
      <c r="AC31" s="4" t="s">
        <v>298</v>
      </c>
      <c r="AD31" s="1">
        <v>13473.145999999999</v>
      </c>
      <c r="AF31" s="4" t="s">
        <v>298</v>
      </c>
      <c r="AG31" s="1">
        <v>3405.0830000000001</v>
      </c>
    </row>
    <row r="32" spans="5:33" x14ac:dyDescent="0.25">
      <c r="E32" s="4" t="s">
        <v>180</v>
      </c>
      <c r="F32" s="1">
        <v>6.2207999999999997</v>
      </c>
      <c r="T32" s="4" t="s">
        <v>131</v>
      </c>
      <c r="U32" s="1">
        <v>272.73599999999999</v>
      </c>
      <c r="W32" s="4" t="s">
        <v>131</v>
      </c>
      <c r="X32" s="1">
        <v>55.851600000000005</v>
      </c>
      <c r="AC32" s="4" t="s">
        <v>262</v>
      </c>
      <c r="AD32" s="1">
        <v>824.73</v>
      </c>
      <c r="AF32" s="4" t="s">
        <v>262</v>
      </c>
      <c r="AG32" s="1">
        <v>222.8349</v>
      </c>
    </row>
    <row r="33" spans="5:33" x14ac:dyDescent="0.25">
      <c r="E33" s="4" t="s">
        <v>1572</v>
      </c>
      <c r="F33" s="1">
        <v>16.588799999999999</v>
      </c>
      <c r="T33" s="4" t="s">
        <v>755</v>
      </c>
      <c r="U33" s="1">
        <v>608.04</v>
      </c>
      <c r="W33" s="4" t="s">
        <v>755</v>
      </c>
      <c r="X33" s="1">
        <v>301.69799999999998</v>
      </c>
      <c r="AC33" s="4" t="s">
        <v>127</v>
      </c>
      <c r="AD33" s="1">
        <v>32297.717999999979</v>
      </c>
      <c r="AF33" s="4" t="s">
        <v>127</v>
      </c>
      <c r="AG33" s="1">
        <v>4971.727899999998</v>
      </c>
    </row>
    <row r="34" spans="5:33" x14ac:dyDescent="0.25">
      <c r="E34" s="4" t="s">
        <v>805</v>
      </c>
      <c r="F34" s="1">
        <v>20.736000000000001</v>
      </c>
      <c r="T34" s="4" t="s">
        <v>958</v>
      </c>
      <c r="U34" s="1">
        <v>306.57600000000002</v>
      </c>
      <c r="W34" s="4" t="s">
        <v>958</v>
      </c>
      <c r="X34" s="1">
        <v>33.269100000000002</v>
      </c>
      <c r="AC34" s="4" t="s">
        <v>46</v>
      </c>
      <c r="AD34" s="1">
        <v>19263.088000000003</v>
      </c>
      <c r="AF34" s="4" t="s">
        <v>46</v>
      </c>
      <c r="AG34" s="1">
        <v>-5054.4818000000005</v>
      </c>
    </row>
    <row r="35" spans="5:33" x14ac:dyDescent="0.25">
      <c r="E35" s="4" t="s">
        <v>1834</v>
      </c>
      <c r="F35" s="1">
        <v>5.4432</v>
      </c>
      <c r="T35" s="4" t="s">
        <v>1224</v>
      </c>
      <c r="U35" s="1">
        <v>15.552</v>
      </c>
      <c r="W35" s="4" t="s">
        <v>1224</v>
      </c>
      <c r="X35" s="1">
        <v>5.4432</v>
      </c>
      <c r="AC35" s="4" t="s">
        <v>214</v>
      </c>
      <c r="AD35" s="1">
        <v>8167.0450000000019</v>
      </c>
      <c r="AF35" s="4" t="s">
        <v>214</v>
      </c>
      <c r="AG35" s="1">
        <v>-565.88279999999997</v>
      </c>
    </row>
    <row r="36" spans="5:33" x14ac:dyDescent="0.25">
      <c r="E36" s="4" t="s">
        <v>682</v>
      </c>
      <c r="F36" s="1">
        <v>12.700800000000001</v>
      </c>
      <c r="T36" s="4" t="s">
        <v>1746</v>
      </c>
      <c r="U36" s="1">
        <v>59.752000000000002</v>
      </c>
      <c r="W36" s="4" t="s">
        <v>1746</v>
      </c>
      <c r="X36" s="1">
        <v>19.4194</v>
      </c>
      <c r="AC36" s="4" t="s">
        <v>256</v>
      </c>
      <c r="AD36" s="1">
        <v>1219.5899999999999</v>
      </c>
      <c r="AF36" s="4" t="s">
        <v>256</v>
      </c>
      <c r="AG36" s="1">
        <v>70.121099999999998</v>
      </c>
    </row>
    <row r="37" spans="5:33" x14ac:dyDescent="0.25">
      <c r="E37" s="4" t="s">
        <v>1404</v>
      </c>
      <c r="F37" s="1">
        <v>101.8664</v>
      </c>
      <c r="T37" s="4" t="s">
        <v>1183</v>
      </c>
      <c r="U37" s="1">
        <v>318.66399999999999</v>
      </c>
      <c r="W37" s="4" t="s">
        <v>1183</v>
      </c>
      <c r="X37" s="1">
        <v>-33.8352</v>
      </c>
      <c r="AC37" s="4" t="s">
        <v>183</v>
      </c>
      <c r="AD37" s="1">
        <v>1257.5620000000001</v>
      </c>
      <c r="AF37" s="4" t="s">
        <v>183</v>
      </c>
      <c r="AG37" s="1">
        <v>-15.895799999999994</v>
      </c>
    </row>
    <row r="38" spans="5:33" x14ac:dyDescent="0.25">
      <c r="E38" s="4" t="s">
        <v>1420</v>
      </c>
      <c r="F38" s="1">
        <v>2.6892</v>
      </c>
      <c r="T38" s="4" t="s">
        <v>381</v>
      </c>
      <c r="U38" s="1">
        <v>51.739999999999995</v>
      </c>
      <c r="W38" s="4" t="s">
        <v>381</v>
      </c>
      <c r="X38" s="1">
        <v>11.6526</v>
      </c>
      <c r="AC38" s="4" t="s">
        <v>80</v>
      </c>
      <c r="AD38" s="1">
        <v>13646.931000000006</v>
      </c>
      <c r="AF38" s="4" t="s">
        <v>80</v>
      </c>
      <c r="AG38" s="1">
        <v>-4093.2126999999996</v>
      </c>
    </row>
    <row r="39" spans="5:33" x14ac:dyDescent="0.25">
      <c r="E39" s="4" t="s">
        <v>497</v>
      </c>
      <c r="F39" s="1">
        <v>19.825400000000002</v>
      </c>
      <c r="T39" s="4" t="s">
        <v>336</v>
      </c>
      <c r="U39" s="1">
        <v>549.53800000000001</v>
      </c>
      <c r="W39" s="4" t="s">
        <v>336</v>
      </c>
      <c r="X39" s="1">
        <v>-104.22500000000002</v>
      </c>
      <c r="AC39" s="4" t="s">
        <v>474</v>
      </c>
      <c r="AD39" s="1">
        <v>2044.83</v>
      </c>
      <c r="AF39" s="4" t="s">
        <v>474</v>
      </c>
      <c r="AG39" s="1">
        <v>606.9357</v>
      </c>
    </row>
    <row r="40" spans="5:33" x14ac:dyDescent="0.25">
      <c r="E40" s="4" t="s">
        <v>875</v>
      </c>
      <c r="F40" s="1">
        <v>9.0719999999999992</v>
      </c>
      <c r="T40" s="4" t="s">
        <v>374</v>
      </c>
      <c r="U40" s="1">
        <v>254.05799999999999</v>
      </c>
      <c r="W40" s="4" t="s">
        <v>374</v>
      </c>
      <c r="X40" s="1">
        <v>-169.37200000000001</v>
      </c>
      <c r="AC40" s="4" t="s">
        <v>169</v>
      </c>
      <c r="AD40" s="1">
        <v>2067.41</v>
      </c>
      <c r="AF40" s="4" t="s">
        <v>169</v>
      </c>
      <c r="AG40" s="1">
        <v>410.86989999999997</v>
      </c>
    </row>
    <row r="41" spans="5:33" x14ac:dyDescent="0.25">
      <c r="E41" s="4" t="s">
        <v>482</v>
      </c>
      <c r="F41" s="1">
        <v>3.4683999999999999</v>
      </c>
      <c r="T41" s="4" t="s">
        <v>1544</v>
      </c>
      <c r="U41" s="1">
        <v>5453.8679999999995</v>
      </c>
      <c r="W41" s="4" t="s">
        <v>1544</v>
      </c>
      <c r="X41" s="1">
        <v>275.37220000000002</v>
      </c>
      <c r="AC41" s="4" t="s">
        <v>1551</v>
      </c>
      <c r="AD41" s="1">
        <v>33.879999999999995</v>
      </c>
      <c r="AF41" s="4" t="s">
        <v>1551</v>
      </c>
      <c r="AG41" s="1">
        <v>15.834500000000002</v>
      </c>
    </row>
    <row r="42" spans="5:33" x14ac:dyDescent="0.25">
      <c r="E42" s="4" t="s">
        <v>654</v>
      </c>
      <c r="F42" s="1">
        <v>12.143999999999998</v>
      </c>
      <c r="T42" s="4" t="s">
        <v>1254</v>
      </c>
      <c r="U42" s="1">
        <v>181.79</v>
      </c>
      <c r="W42" s="4" t="s">
        <v>1254</v>
      </c>
      <c r="X42" s="1">
        <v>13.4526</v>
      </c>
      <c r="AC42" s="4" t="s">
        <v>152</v>
      </c>
      <c r="AD42" s="1">
        <v>2587.8689999999997</v>
      </c>
      <c r="AF42" s="4" t="s">
        <v>152</v>
      </c>
      <c r="AG42" s="1">
        <v>-551.82199999999989</v>
      </c>
    </row>
    <row r="43" spans="5:33" x14ac:dyDescent="0.25">
      <c r="E43" s="4" t="s">
        <v>1560</v>
      </c>
      <c r="F43" s="1">
        <v>5.6643999999999997</v>
      </c>
      <c r="T43" s="4" t="s">
        <v>1709</v>
      </c>
      <c r="U43" s="1">
        <v>79.36</v>
      </c>
      <c r="W43" s="4" t="s">
        <v>1709</v>
      </c>
      <c r="X43" s="1">
        <v>20.633600000000001</v>
      </c>
      <c r="AC43" s="4" t="s">
        <v>57</v>
      </c>
      <c r="AD43" s="1">
        <v>21368.336599999995</v>
      </c>
      <c r="AF43" s="4" t="s">
        <v>57</v>
      </c>
      <c r="AG43" s="1">
        <v>-2480.3181</v>
      </c>
    </row>
    <row r="44" spans="5:33" x14ac:dyDescent="0.25">
      <c r="E44" s="4" t="s">
        <v>48</v>
      </c>
      <c r="F44" s="1">
        <v>5.4432</v>
      </c>
      <c r="T44" s="4" t="s">
        <v>143</v>
      </c>
      <c r="U44" s="1">
        <v>2131.96</v>
      </c>
      <c r="W44" s="4" t="s">
        <v>143</v>
      </c>
      <c r="X44" s="1">
        <v>236.74600000000004</v>
      </c>
      <c r="AC44" s="4" t="s">
        <v>68</v>
      </c>
      <c r="AD44" s="1">
        <v>1304.3800000000003</v>
      </c>
      <c r="AF44" s="4" t="s">
        <v>68</v>
      </c>
      <c r="AG44" s="1">
        <v>311.90180000000004</v>
      </c>
    </row>
    <row r="45" spans="5:33" x14ac:dyDescent="0.25">
      <c r="E45" s="4" t="s">
        <v>748</v>
      </c>
      <c r="F45" s="1">
        <v>84.051199999999994</v>
      </c>
      <c r="T45" s="4" t="s">
        <v>1305</v>
      </c>
      <c r="U45" s="1">
        <v>1718.0880000000002</v>
      </c>
      <c r="W45" s="4" t="s">
        <v>1305</v>
      </c>
      <c r="X45" s="1">
        <v>116.91720000000001</v>
      </c>
      <c r="AC45" s="4" t="s">
        <v>144</v>
      </c>
      <c r="AD45" s="1">
        <v>9878.130000000001</v>
      </c>
      <c r="AF45" s="4" t="s">
        <v>144</v>
      </c>
      <c r="AG45" s="1">
        <v>3405.1927000000001</v>
      </c>
    </row>
    <row r="46" spans="5:33" x14ac:dyDescent="0.25">
      <c r="E46" s="4" t="s">
        <v>446</v>
      </c>
      <c r="F46" s="1">
        <v>30.98</v>
      </c>
      <c r="T46" s="4" t="s">
        <v>1423</v>
      </c>
      <c r="U46" s="1">
        <v>306.2</v>
      </c>
      <c r="W46" s="4" t="s">
        <v>1423</v>
      </c>
      <c r="X46" s="1">
        <v>0</v>
      </c>
      <c r="AC46" s="4" t="s">
        <v>51</v>
      </c>
      <c r="AD46" s="1">
        <v>12037.401999999996</v>
      </c>
      <c r="AF46" s="4" t="s">
        <v>51</v>
      </c>
      <c r="AG46" s="1">
        <v>1746.5606000000002</v>
      </c>
    </row>
    <row r="47" spans="5:33" x14ac:dyDescent="0.25">
      <c r="E47" s="4" t="s">
        <v>1414</v>
      </c>
      <c r="F47" s="1">
        <v>6.4127999999999998</v>
      </c>
      <c r="T47" s="4" t="s">
        <v>1293</v>
      </c>
      <c r="U47" s="1">
        <v>34.76</v>
      </c>
      <c r="W47" s="4" t="s">
        <v>1293</v>
      </c>
      <c r="X47" s="1">
        <v>9.7327999999999992</v>
      </c>
      <c r="AC47" s="4" t="s">
        <v>63</v>
      </c>
      <c r="AD47" s="1">
        <v>5067.5199999999995</v>
      </c>
      <c r="AF47" s="4" t="s">
        <v>63</v>
      </c>
      <c r="AG47" s="1">
        <v>1068.9831000000001</v>
      </c>
    </row>
    <row r="48" spans="5:33" x14ac:dyDescent="0.25">
      <c r="E48" s="4" t="s">
        <v>339</v>
      </c>
      <c r="F48" s="1">
        <v>9.3960000000000008</v>
      </c>
      <c r="T48" s="4" t="s">
        <v>1129</v>
      </c>
      <c r="U48" s="1">
        <v>121.756</v>
      </c>
      <c r="W48" s="4" t="s">
        <v>1129</v>
      </c>
      <c r="X48" s="1">
        <v>6.2069000000000001</v>
      </c>
      <c r="AC48" s="4" t="s">
        <v>2004</v>
      </c>
      <c r="AD48" s="1">
        <v>307800.32910000003</v>
      </c>
      <c r="AF48" s="4" t="s">
        <v>2004</v>
      </c>
      <c r="AG48" s="1">
        <v>24962.700500000003</v>
      </c>
    </row>
    <row r="49" spans="5:24" x14ac:dyDescent="0.25">
      <c r="E49" s="4" t="s">
        <v>1989</v>
      </c>
      <c r="F49" s="1">
        <v>29.692</v>
      </c>
      <c r="T49" s="4" t="s">
        <v>1550</v>
      </c>
      <c r="U49" s="1">
        <v>23.2</v>
      </c>
      <c r="W49" s="4" t="s">
        <v>1550</v>
      </c>
      <c r="X49" s="1">
        <v>10.814900000000002</v>
      </c>
    </row>
    <row r="50" spans="5:24" x14ac:dyDescent="0.25">
      <c r="E50" s="4" t="s">
        <v>1541</v>
      </c>
      <c r="F50" s="1">
        <v>15.312000000000001</v>
      </c>
      <c r="T50" s="4" t="s">
        <v>686</v>
      </c>
      <c r="U50" s="1">
        <v>45.927999999999997</v>
      </c>
      <c r="W50" s="4" t="s">
        <v>686</v>
      </c>
      <c r="X50" s="1">
        <v>13.813700000000001</v>
      </c>
    </row>
    <row r="51" spans="5:24" x14ac:dyDescent="0.25">
      <c r="E51" s="4" t="s">
        <v>1630</v>
      </c>
      <c r="F51" s="1">
        <v>5.35</v>
      </c>
      <c r="T51" s="4" t="s">
        <v>50</v>
      </c>
      <c r="U51" s="1">
        <v>9474.7039999999979</v>
      </c>
      <c r="W51" s="4" t="s">
        <v>50</v>
      </c>
      <c r="X51" s="1">
        <v>1424.5462000000002</v>
      </c>
    </row>
    <row r="52" spans="5:24" x14ac:dyDescent="0.25">
      <c r="E52" s="4" t="s">
        <v>230</v>
      </c>
      <c r="F52" s="1">
        <v>48.095999999999997</v>
      </c>
      <c r="T52" s="4" t="s">
        <v>246</v>
      </c>
      <c r="U52" s="1">
        <v>190.26</v>
      </c>
      <c r="W52" s="4" t="s">
        <v>246</v>
      </c>
      <c r="X52" s="1">
        <v>-5.9500000000000028</v>
      </c>
    </row>
    <row r="53" spans="5:24" x14ac:dyDescent="0.25">
      <c r="E53" s="4" t="s">
        <v>1872</v>
      </c>
      <c r="F53" s="1">
        <v>2.8883999999999999</v>
      </c>
      <c r="T53" s="4" t="s">
        <v>1852</v>
      </c>
      <c r="U53" s="1">
        <v>1.81</v>
      </c>
      <c r="W53" s="4" t="s">
        <v>1852</v>
      </c>
      <c r="X53" s="1">
        <v>0.65159999999999996</v>
      </c>
    </row>
    <row r="54" spans="5:24" x14ac:dyDescent="0.25">
      <c r="E54" s="4" t="s">
        <v>1906</v>
      </c>
      <c r="F54" s="1">
        <v>5.98</v>
      </c>
      <c r="T54" s="4" t="s">
        <v>801</v>
      </c>
      <c r="U54" s="1">
        <v>18.28</v>
      </c>
      <c r="W54" s="4" t="s">
        <v>801</v>
      </c>
      <c r="X54" s="1">
        <v>6.2152000000000003</v>
      </c>
    </row>
    <row r="55" spans="5:24" x14ac:dyDescent="0.25">
      <c r="E55" s="4" t="s">
        <v>1545</v>
      </c>
      <c r="F55" s="1">
        <v>83.209699999999998</v>
      </c>
      <c r="T55" s="4" t="s">
        <v>1760</v>
      </c>
      <c r="U55" s="1">
        <v>17.239999999999998</v>
      </c>
      <c r="W55" s="4" t="s">
        <v>1760</v>
      </c>
      <c r="X55" s="1">
        <v>4.4824000000000002</v>
      </c>
    </row>
    <row r="56" spans="5:24" x14ac:dyDescent="0.25">
      <c r="E56" s="4" t="s">
        <v>690</v>
      </c>
      <c r="F56" s="1">
        <v>45.9754</v>
      </c>
      <c r="T56" s="4" t="s">
        <v>249</v>
      </c>
      <c r="U56" s="1">
        <v>387.7</v>
      </c>
      <c r="W56" s="4" t="s">
        <v>249</v>
      </c>
      <c r="X56" s="1">
        <v>138.37899999999999</v>
      </c>
    </row>
    <row r="57" spans="5:24" x14ac:dyDescent="0.25">
      <c r="E57" s="4" t="s">
        <v>1228</v>
      </c>
      <c r="F57" s="1">
        <v>53.860799999999998</v>
      </c>
      <c r="T57" s="4" t="s">
        <v>1754</v>
      </c>
      <c r="U57" s="1">
        <v>303.25</v>
      </c>
      <c r="W57" s="4" t="s">
        <v>1754</v>
      </c>
      <c r="X57" s="1">
        <v>63.682499999999997</v>
      </c>
    </row>
    <row r="58" spans="5:24" x14ac:dyDescent="0.25">
      <c r="E58" s="4" t="s">
        <v>1922</v>
      </c>
      <c r="F58" s="1">
        <v>62.137599999999999</v>
      </c>
      <c r="T58" s="4" t="s">
        <v>71</v>
      </c>
      <c r="U58" s="1">
        <v>18212.927</v>
      </c>
      <c r="W58" s="4" t="s">
        <v>71</v>
      </c>
      <c r="X58" s="1">
        <v>2693.1596999999997</v>
      </c>
    </row>
    <row r="59" spans="5:24" x14ac:dyDescent="0.25">
      <c r="E59" s="4" t="s">
        <v>1190</v>
      </c>
      <c r="F59" s="1">
        <v>192.01140000000001</v>
      </c>
      <c r="T59" s="4" t="s">
        <v>345</v>
      </c>
      <c r="U59" s="1">
        <v>3196.277</v>
      </c>
      <c r="W59" s="4" t="s">
        <v>345</v>
      </c>
      <c r="X59" s="1">
        <v>699.50529999999992</v>
      </c>
    </row>
    <row r="60" spans="5:24" x14ac:dyDescent="0.25">
      <c r="E60" s="4" t="s">
        <v>1301</v>
      </c>
      <c r="F60" s="1">
        <v>18.662399999999998</v>
      </c>
      <c r="T60" s="4" t="s">
        <v>265</v>
      </c>
      <c r="U60" s="1">
        <v>1558.3620000000003</v>
      </c>
      <c r="W60" s="4" t="s">
        <v>265</v>
      </c>
      <c r="X60" s="1">
        <v>-1010.8004</v>
      </c>
    </row>
    <row r="61" spans="5:24" x14ac:dyDescent="0.25">
      <c r="E61" s="4" t="s">
        <v>440</v>
      </c>
      <c r="F61" s="1">
        <v>9.3960000000000008</v>
      </c>
      <c r="T61" s="4" t="s">
        <v>639</v>
      </c>
      <c r="U61" s="1">
        <v>111.83200000000001</v>
      </c>
      <c r="W61" s="4" t="s">
        <v>639</v>
      </c>
      <c r="X61" s="1">
        <v>-13.441799999999999</v>
      </c>
    </row>
    <row r="62" spans="5:24" x14ac:dyDescent="0.25">
      <c r="E62" s="4" t="s">
        <v>1350</v>
      </c>
      <c r="F62" s="1">
        <v>4.3326000000000002</v>
      </c>
      <c r="T62" s="4" t="s">
        <v>393</v>
      </c>
      <c r="U62" s="1">
        <v>489.26400000000001</v>
      </c>
      <c r="W62" s="4" t="s">
        <v>393</v>
      </c>
      <c r="X62" s="1">
        <v>45.613999999999997</v>
      </c>
    </row>
    <row r="63" spans="5:24" x14ac:dyDescent="0.25">
      <c r="E63" s="4" t="s">
        <v>259</v>
      </c>
      <c r="F63" s="1">
        <v>18.837</v>
      </c>
      <c r="T63" s="4" t="s">
        <v>190</v>
      </c>
      <c r="U63" s="1">
        <v>192.82999999999998</v>
      </c>
      <c r="W63" s="4" t="s">
        <v>190</v>
      </c>
      <c r="X63" s="1">
        <v>24.8842</v>
      </c>
    </row>
    <row r="64" spans="5:24" x14ac:dyDescent="0.25">
      <c r="E64" s="4" t="s">
        <v>1161</v>
      </c>
      <c r="F64" s="1">
        <v>12.441599999999999</v>
      </c>
      <c r="T64" s="4" t="s">
        <v>1648</v>
      </c>
      <c r="U64" s="1">
        <v>72</v>
      </c>
      <c r="W64" s="4" t="s">
        <v>1648</v>
      </c>
      <c r="X64" s="1">
        <v>12.96</v>
      </c>
    </row>
    <row r="65" spans="5:24" x14ac:dyDescent="0.25">
      <c r="E65" s="4" t="s">
        <v>1259</v>
      </c>
      <c r="F65" s="1">
        <v>180.76589999999999</v>
      </c>
      <c r="T65" s="4" t="s">
        <v>1964</v>
      </c>
      <c r="U65" s="1">
        <v>30.344000000000001</v>
      </c>
      <c r="W65" s="4" t="s">
        <v>1964</v>
      </c>
      <c r="X65" s="1">
        <v>-31.8612</v>
      </c>
    </row>
    <row r="66" spans="5:24" x14ac:dyDescent="0.25">
      <c r="E66" s="4" t="s">
        <v>1803</v>
      </c>
      <c r="F66" s="1">
        <v>183.9016</v>
      </c>
      <c r="T66" s="4" t="s">
        <v>317</v>
      </c>
      <c r="U66" s="1">
        <v>103.68</v>
      </c>
      <c r="W66" s="4" t="s">
        <v>317</v>
      </c>
      <c r="X66" s="1">
        <v>14.1736</v>
      </c>
    </row>
    <row r="67" spans="5:24" x14ac:dyDescent="0.25">
      <c r="E67" s="4" t="s">
        <v>1188</v>
      </c>
      <c r="F67" s="1">
        <v>167.76</v>
      </c>
      <c r="T67" s="4" t="s">
        <v>1721</v>
      </c>
      <c r="U67" s="1">
        <v>302.38400000000001</v>
      </c>
      <c r="W67" s="4" t="s">
        <v>1721</v>
      </c>
      <c r="X67" s="1">
        <v>30.238399999999999</v>
      </c>
    </row>
    <row r="68" spans="5:24" x14ac:dyDescent="0.25">
      <c r="E68" s="4" t="s">
        <v>1978</v>
      </c>
      <c r="F68" s="1">
        <v>108.74079999999999</v>
      </c>
      <c r="T68" s="4" t="s">
        <v>1017</v>
      </c>
      <c r="U68" s="1">
        <v>35.340000000000003</v>
      </c>
      <c r="W68" s="4" t="s">
        <v>1017</v>
      </c>
      <c r="X68" s="1">
        <v>16.963200000000001</v>
      </c>
    </row>
    <row r="69" spans="5:24" x14ac:dyDescent="0.25">
      <c r="E69" s="4" t="s">
        <v>1513</v>
      </c>
      <c r="F69" s="1">
        <v>47.045600000000007</v>
      </c>
      <c r="T69" s="4" t="s">
        <v>890</v>
      </c>
      <c r="U69" s="1">
        <v>27.167999999999999</v>
      </c>
      <c r="W69" s="4" t="s">
        <v>890</v>
      </c>
      <c r="X69" s="1">
        <v>2.7168000000000001</v>
      </c>
    </row>
    <row r="70" spans="5:24" x14ac:dyDescent="0.25">
      <c r="E70" s="4" t="s">
        <v>841</v>
      </c>
      <c r="F70" s="1">
        <v>67.256</v>
      </c>
      <c r="T70" s="4" t="s">
        <v>1285</v>
      </c>
      <c r="U70" s="1">
        <v>1413.75</v>
      </c>
      <c r="W70" s="4" t="s">
        <v>1285</v>
      </c>
      <c r="X70" s="1">
        <v>436.06799999999998</v>
      </c>
    </row>
    <row r="71" spans="5:24" x14ac:dyDescent="0.25">
      <c r="E71" s="4" t="s">
        <v>490</v>
      </c>
      <c r="F71" s="1">
        <v>159.64019999999999</v>
      </c>
      <c r="T71" s="4" t="s">
        <v>229</v>
      </c>
      <c r="U71" s="1">
        <v>28.02</v>
      </c>
      <c r="W71" s="4" t="s">
        <v>229</v>
      </c>
      <c r="X71" s="1">
        <v>11.693999999999999</v>
      </c>
    </row>
    <row r="72" spans="5:24" x14ac:dyDescent="0.25">
      <c r="E72" s="4" t="s">
        <v>1965</v>
      </c>
      <c r="F72" s="1">
        <v>41.152799999999999</v>
      </c>
      <c r="T72" s="4" t="s">
        <v>1023</v>
      </c>
      <c r="U72" s="1">
        <v>191.94</v>
      </c>
      <c r="W72" s="4" t="s">
        <v>1023</v>
      </c>
      <c r="X72" s="1">
        <v>61.081200000000003</v>
      </c>
    </row>
    <row r="73" spans="5:24" x14ac:dyDescent="0.25">
      <c r="E73" s="4" t="s">
        <v>1841</v>
      </c>
      <c r="F73" s="1">
        <v>18.662400000000002</v>
      </c>
      <c r="T73" s="4" t="s">
        <v>947</v>
      </c>
      <c r="U73" s="1">
        <v>254.60400000000001</v>
      </c>
      <c r="W73" s="4" t="s">
        <v>947</v>
      </c>
      <c r="X73" s="1">
        <v>-18.186</v>
      </c>
    </row>
    <row r="74" spans="5:24" x14ac:dyDescent="0.25">
      <c r="E74" s="4" t="s">
        <v>1935</v>
      </c>
      <c r="F74" s="1">
        <v>8.7905999999999995</v>
      </c>
      <c r="T74" s="4" t="s">
        <v>1671</v>
      </c>
      <c r="U74" s="1">
        <v>11.85</v>
      </c>
      <c r="W74" s="4" t="s">
        <v>1671</v>
      </c>
      <c r="X74" s="1">
        <v>3.7919999999999998</v>
      </c>
    </row>
    <row r="75" spans="5:24" x14ac:dyDescent="0.25">
      <c r="E75" s="4" t="s">
        <v>1927</v>
      </c>
      <c r="F75" s="1">
        <v>11.876799999999999</v>
      </c>
      <c r="T75" s="4" t="s">
        <v>679</v>
      </c>
      <c r="U75" s="1">
        <v>132.52000000000001</v>
      </c>
      <c r="W75" s="4" t="s">
        <v>679</v>
      </c>
      <c r="X75" s="1">
        <v>54.333199999999998</v>
      </c>
    </row>
    <row r="76" spans="5:24" x14ac:dyDescent="0.25">
      <c r="E76" s="4" t="s">
        <v>1767</v>
      </c>
      <c r="F76" s="1">
        <v>11.702999999999999</v>
      </c>
      <c r="T76" s="4" t="s">
        <v>172</v>
      </c>
      <c r="U76" s="1">
        <v>781.40199999999993</v>
      </c>
      <c r="W76" s="4" t="s">
        <v>172</v>
      </c>
      <c r="X76" s="1">
        <v>-60.037700000000001</v>
      </c>
    </row>
    <row r="77" spans="5:24" x14ac:dyDescent="0.25">
      <c r="E77" s="4" t="s">
        <v>1084</v>
      </c>
      <c r="F77" s="1">
        <v>22.444800000000001</v>
      </c>
      <c r="T77" s="4" t="s">
        <v>882</v>
      </c>
      <c r="U77" s="1">
        <v>1117.5480000000002</v>
      </c>
      <c r="W77" s="4" t="s">
        <v>882</v>
      </c>
      <c r="X77" s="1">
        <v>123.5262</v>
      </c>
    </row>
    <row r="78" spans="5:24" x14ac:dyDescent="0.25">
      <c r="E78" s="4" t="s">
        <v>521</v>
      </c>
      <c r="F78" s="1">
        <v>11.553599999999999</v>
      </c>
      <c r="T78" s="4" t="s">
        <v>496</v>
      </c>
      <c r="U78" s="1">
        <v>1676.18</v>
      </c>
      <c r="W78" s="4" t="s">
        <v>496</v>
      </c>
      <c r="X78" s="1">
        <v>478.26400000000007</v>
      </c>
    </row>
    <row r="79" spans="5:24" x14ac:dyDescent="0.25">
      <c r="E79" s="4" t="s">
        <v>1651</v>
      </c>
      <c r="F79" s="1">
        <v>25.401600000000002</v>
      </c>
      <c r="T79" s="4" t="s">
        <v>1887</v>
      </c>
      <c r="U79" s="1">
        <v>41.904000000000003</v>
      </c>
      <c r="W79" s="4" t="s">
        <v>1887</v>
      </c>
      <c r="X79" s="1">
        <v>14.1426</v>
      </c>
    </row>
    <row r="80" spans="5:24" x14ac:dyDescent="0.25">
      <c r="E80" s="4" t="s">
        <v>1314</v>
      </c>
      <c r="F80" s="1">
        <v>92.439899999999994</v>
      </c>
      <c r="T80" s="4" t="s">
        <v>291</v>
      </c>
      <c r="U80" s="1">
        <v>34.26</v>
      </c>
      <c r="W80" s="4" t="s">
        <v>291</v>
      </c>
      <c r="X80" s="1">
        <v>16.1022</v>
      </c>
    </row>
    <row r="81" spans="5:24" x14ac:dyDescent="0.25">
      <c r="E81" s="4" t="s">
        <v>1879</v>
      </c>
      <c r="F81" s="1">
        <v>50.328000000000003</v>
      </c>
      <c r="T81" s="4" t="s">
        <v>1970</v>
      </c>
      <c r="U81" s="1">
        <v>10.68</v>
      </c>
      <c r="W81" s="4" t="s">
        <v>1970</v>
      </c>
      <c r="X81" s="1">
        <v>5.0195999999999996</v>
      </c>
    </row>
    <row r="82" spans="5:24" x14ac:dyDescent="0.25">
      <c r="E82" s="4" t="s">
        <v>1367</v>
      </c>
      <c r="F82" s="1">
        <v>239.67359999999999</v>
      </c>
      <c r="T82" s="4" t="s">
        <v>1358</v>
      </c>
      <c r="U82" s="1">
        <v>44.64</v>
      </c>
      <c r="W82" s="4" t="s">
        <v>1358</v>
      </c>
      <c r="X82" s="1">
        <v>21.312000000000001</v>
      </c>
    </row>
    <row r="83" spans="5:24" x14ac:dyDescent="0.25">
      <c r="E83" s="4" t="s">
        <v>788</v>
      </c>
      <c r="F83" s="1">
        <v>63.739199999999997</v>
      </c>
      <c r="T83" s="4" t="s">
        <v>1280</v>
      </c>
      <c r="U83" s="1">
        <v>1305.4560000000001</v>
      </c>
      <c r="W83" s="4" t="s">
        <v>1280</v>
      </c>
      <c r="X83" s="1">
        <v>146.8638</v>
      </c>
    </row>
    <row r="84" spans="5:24" x14ac:dyDescent="0.25">
      <c r="E84" s="4" t="s">
        <v>827</v>
      </c>
      <c r="F84" s="1">
        <v>67.332599999999999</v>
      </c>
      <c r="T84" s="4" t="s">
        <v>445</v>
      </c>
      <c r="U84" s="1">
        <v>131.39599999999999</v>
      </c>
      <c r="W84" s="4" t="s">
        <v>445</v>
      </c>
      <c r="X84" s="1">
        <v>38.533499999999997</v>
      </c>
    </row>
    <row r="85" spans="5:24" x14ac:dyDescent="0.25">
      <c r="E85" s="4" t="s">
        <v>964</v>
      </c>
      <c r="F85" s="1">
        <v>9.9467999999999996</v>
      </c>
      <c r="T85" s="4" t="s">
        <v>1075</v>
      </c>
      <c r="U85" s="1">
        <v>845.72799999999995</v>
      </c>
      <c r="W85" s="4" t="s">
        <v>1075</v>
      </c>
      <c r="X85" s="1">
        <v>84.572800000000001</v>
      </c>
    </row>
    <row r="86" spans="5:24" x14ac:dyDescent="0.25">
      <c r="E86" s="4" t="s">
        <v>1098</v>
      </c>
      <c r="F86" s="1">
        <v>15.4224</v>
      </c>
      <c r="T86" s="4" t="s">
        <v>1508</v>
      </c>
      <c r="U86" s="1">
        <v>10.776</v>
      </c>
      <c r="W86" s="4" t="s">
        <v>1508</v>
      </c>
      <c r="X86" s="1">
        <v>3.5022000000000002</v>
      </c>
    </row>
    <row r="87" spans="5:24" x14ac:dyDescent="0.25">
      <c r="E87" s="4" t="s">
        <v>1069</v>
      </c>
      <c r="F87" s="1">
        <v>1.0429999999999999</v>
      </c>
      <c r="T87" s="4" t="s">
        <v>1068</v>
      </c>
      <c r="U87" s="1">
        <v>1945.62</v>
      </c>
      <c r="W87" s="4" t="s">
        <v>1068</v>
      </c>
      <c r="X87" s="1">
        <v>578.72829999999999</v>
      </c>
    </row>
    <row r="88" spans="5:24" x14ac:dyDescent="0.25">
      <c r="E88" s="4" t="s">
        <v>1198</v>
      </c>
      <c r="F88" s="1">
        <v>39.687899999999999</v>
      </c>
      <c r="T88" s="4" t="s">
        <v>182</v>
      </c>
      <c r="U88" s="1">
        <v>592.44200000000001</v>
      </c>
      <c r="W88" s="4" t="s">
        <v>182</v>
      </c>
      <c r="X88" s="1">
        <v>-51.068999999999996</v>
      </c>
    </row>
    <row r="89" spans="5:24" x14ac:dyDescent="0.25">
      <c r="E89" s="4" t="s">
        <v>1348</v>
      </c>
      <c r="F89" s="1">
        <v>23.231999999999999</v>
      </c>
      <c r="T89" s="4" t="s">
        <v>1752</v>
      </c>
      <c r="U89" s="1">
        <v>16.28</v>
      </c>
      <c r="W89" s="4" t="s">
        <v>1752</v>
      </c>
      <c r="X89" s="1">
        <v>6.5119999999999996</v>
      </c>
    </row>
    <row r="90" spans="5:24" x14ac:dyDescent="0.25">
      <c r="E90" s="4" t="s">
        <v>346</v>
      </c>
      <c r="F90" s="1">
        <v>21.4602</v>
      </c>
      <c r="T90" s="4" t="s">
        <v>1175</v>
      </c>
      <c r="U90" s="1">
        <v>585.56000000000006</v>
      </c>
      <c r="W90" s="4" t="s">
        <v>1175</v>
      </c>
      <c r="X90" s="1">
        <v>181.81</v>
      </c>
    </row>
    <row r="91" spans="5:24" x14ac:dyDescent="0.25">
      <c r="E91" s="4" t="s">
        <v>1565</v>
      </c>
      <c r="F91" s="1">
        <v>12.175800000000001</v>
      </c>
      <c r="T91" s="4" t="s">
        <v>1856</v>
      </c>
      <c r="U91" s="1">
        <v>355.36</v>
      </c>
      <c r="W91" s="4" t="s">
        <v>1856</v>
      </c>
      <c r="X91" s="1">
        <v>92.393600000000006</v>
      </c>
    </row>
    <row r="92" spans="5:24" x14ac:dyDescent="0.25">
      <c r="E92" s="4" t="s">
        <v>1959</v>
      </c>
      <c r="F92" s="1">
        <v>2.1465000000000001</v>
      </c>
      <c r="T92" s="4" t="s">
        <v>1665</v>
      </c>
      <c r="U92" s="1">
        <v>8.6880000000000006</v>
      </c>
      <c r="W92" s="4" t="s">
        <v>1665</v>
      </c>
      <c r="X92" s="1">
        <v>2.9321999999999999</v>
      </c>
    </row>
    <row r="93" spans="5:24" x14ac:dyDescent="0.25">
      <c r="E93" s="4" t="s">
        <v>1171</v>
      </c>
      <c r="F93" s="1">
        <v>5.8202999999999996</v>
      </c>
      <c r="T93" s="4" t="s">
        <v>1236</v>
      </c>
      <c r="U93" s="1">
        <v>1000.4490000000001</v>
      </c>
      <c r="W93" s="4" t="s">
        <v>1236</v>
      </c>
      <c r="X93" s="1">
        <v>-139.54220000000001</v>
      </c>
    </row>
    <row r="94" spans="5:24" x14ac:dyDescent="0.25">
      <c r="E94" s="4" t="s">
        <v>879</v>
      </c>
      <c r="F94" s="1">
        <v>28.441600000000001</v>
      </c>
      <c r="T94" s="4" t="s">
        <v>681</v>
      </c>
      <c r="U94" s="1">
        <v>2705.09</v>
      </c>
      <c r="W94" s="4" t="s">
        <v>681</v>
      </c>
      <c r="X94" s="1">
        <v>652.89049999999997</v>
      </c>
    </row>
    <row r="95" spans="5:24" x14ac:dyDescent="0.25">
      <c r="E95" s="4" t="s">
        <v>1054</v>
      </c>
      <c r="F95" s="1">
        <v>179.97499999999999</v>
      </c>
      <c r="T95" s="4" t="s">
        <v>1121</v>
      </c>
      <c r="U95" s="1">
        <v>145.9</v>
      </c>
      <c r="W95" s="4" t="s">
        <v>1121</v>
      </c>
      <c r="X95" s="1">
        <v>62.737000000000002</v>
      </c>
    </row>
    <row r="96" spans="5:24" x14ac:dyDescent="0.25">
      <c r="E96" s="4" t="s">
        <v>1143</v>
      </c>
      <c r="F96" s="1">
        <v>-1.7514000000000001</v>
      </c>
      <c r="T96" s="4" t="s">
        <v>894</v>
      </c>
      <c r="U96" s="1">
        <v>1273.7180000000001</v>
      </c>
      <c r="W96" s="4" t="s">
        <v>894</v>
      </c>
      <c r="X96" s="1">
        <v>-770.17020000000002</v>
      </c>
    </row>
    <row r="97" spans="5:24" x14ac:dyDescent="0.25">
      <c r="E97" s="4" t="s">
        <v>1106</v>
      </c>
      <c r="F97" s="1">
        <v>52.776000000000003</v>
      </c>
      <c r="T97" s="4" t="s">
        <v>79</v>
      </c>
      <c r="U97" s="1">
        <v>13224.024000000005</v>
      </c>
      <c r="W97" s="4" t="s">
        <v>79</v>
      </c>
      <c r="X97" s="1">
        <v>-4066.9771999999998</v>
      </c>
    </row>
    <row r="98" spans="5:24" x14ac:dyDescent="0.25">
      <c r="E98" s="4" t="s">
        <v>1888</v>
      </c>
      <c r="F98" s="1">
        <v>14.1426</v>
      </c>
      <c r="T98" s="4" t="s">
        <v>1583</v>
      </c>
      <c r="U98" s="1">
        <v>727.29600000000005</v>
      </c>
      <c r="W98" s="4" t="s">
        <v>1583</v>
      </c>
      <c r="X98" s="1">
        <v>-172.7328</v>
      </c>
    </row>
    <row r="99" spans="5:24" x14ac:dyDescent="0.25">
      <c r="E99" s="4" t="s">
        <v>862</v>
      </c>
      <c r="F99" s="1">
        <v>-6.5296000000000003</v>
      </c>
      <c r="T99" s="4" t="s">
        <v>466</v>
      </c>
      <c r="U99" s="1">
        <v>387.452</v>
      </c>
      <c r="W99" s="4" t="s">
        <v>466</v>
      </c>
      <c r="X99" s="1">
        <v>-58.702500000000001</v>
      </c>
    </row>
    <row r="100" spans="5:24" x14ac:dyDescent="0.25">
      <c r="E100" s="4" t="s">
        <v>906</v>
      </c>
      <c r="F100" s="1">
        <v>-2.016</v>
      </c>
      <c r="T100" s="4" t="s">
        <v>454</v>
      </c>
      <c r="U100" s="1">
        <v>375.45749999999998</v>
      </c>
      <c r="W100" s="4" t="s">
        <v>454</v>
      </c>
      <c r="X100" s="1">
        <v>-157.0095</v>
      </c>
    </row>
    <row r="101" spans="5:24" x14ac:dyDescent="0.25">
      <c r="E101" s="4" t="s">
        <v>1146</v>
      </c>
      <c r="F101" s="1">
        <v>-1.35</v>
      </c>
      <c r="T101" s="4" t="s">
        <v>1331</v>
      </c>
      <c r="U101" s="1">
        <v>281.97000000000003</v>
      </c>
      <c r="W101" s="4" t="s">
        <v>1331</v>
      </c>
      <c r="X101" s="1">
        <v>78.951599999999999</v>
      </c>
    </row>
    <row r="102" spans="5:24" x14ac:dyDescent="0.25">
      <c r="E102" s="4" t="s">
        <v>1387</v>
      </c>
      <c r="F102" s="1">
        <v>16.130800000000001</v>
      </c>
      <c r="T102" s="4" t="s">
        <v>238</v>
      </c>
      <c r="U102" s="1">
        <v>749.01799999999992</v>
      </c>
      <c r="W102" s="4" t="s">
        <v>238</v>
      </c>
      <c r="X102" s="1">
        <v>47.983900000000006</v>
      </c>
    </row>
    <row r="103" spans="5:24" x14ac:dyDescent="0.25">
      <c r="E103" s="4" t="s">
        <v>443</v>
      </c>
      <c r="F103" s="1">
        <v>-5.7119999999999997</v>
      </c>
      <c r="T103" s="4" t="s">
        <v>1811</v>
      </c>
      <c r="U103" s="1">
        <v>183.37200000000001</v>
      </c>
      <c r="W103" s="4" t="s">
        <v>1811</v>
      </c>
      <c r="X103" s="1">
        <v>-7.8587999999999996</v>
      </c>
    </row>
    <row r="104" spans="5:24" x14ac:dyDescent="0.25">
      <c r="E104" s="4" t="s">
        <v>467</v>
      </c>
      <c r="F104" s="1">
        <v>-20.5623</v>
      </c>
      <c r="T104" s="4" t="s">
        <v>560</v>
      </c>
      <c r="U104" s="1">
        <v>22.62</v>
      </c>
      <c r="W104" s="4" t="s">
        <v>560</v>
      </c>
      <c r="X104" s="1">
        <v>-15.08</v>
      </c>
    </row>
    <row r="105" spans="5:24" x14ac:dyDescent="0.25">
      <c r="E105" s="4" t="s">
        <v>87</v>
      </c>
      <c r="F105" s="1">
        <v>10.556000000000001</v>
      </c>
      <c r="T105" s="4" t="s">
        <v>534</v>
      </c>
      <c r="U105" s="1">
        <v>398.6</v>
      </c>
      <c r="W105" s="4" t="s">
        <v>534</v>
      </c>
      <c r="X105" s="1">
        <v>-263.51</v>
      </c>
    </row>
    <row r="106" spans="5:24" x14ac:dyDescent="0.25">
      <c r="E106" s="4" t="s">
        <v>1971</v>
      </c>
      <c r="F106" s="1">
        <v>5.0195999999999996</v>
      </c>
      <c r="T106" s="4" t="s">
        <v>724</v>
      </c>
      <c r="U106" s="1">
        <v>31.882000000000001</v>
      </c>
      <c r="W106" s="4" t="s">
        <v>724</v>
      </c>
      <c r="X106" s="1">
        <v>3.1629999999999994</v>
      </c>
    </row>
    <row r="107" spans="5:24" x14ac:dyDescent="0.25">
      <c r="E107" s="4" t="s">
        <v>1624</v>
      </c>
      <c r="F107" s="1">
        <v>8.8704000000000001</v>
      </c>
      <c r="T107" s="4" t="s">
        <v>1370</v>
      </c>
      <c r="U107" s="1">
        <v>2.8079999999999998</v>
      </c>
      <c r="W107" s="4" t="s">
        <v>1370</v>
      </c>
      <c r="X107" s="1">
        <v>-1.9656</v>
      </c>
    </row>
    <row r="108" spans="5:24" x14ac:dyDescent="0.25">
      <c r="E108" s="4" t="s">
        <v>437</v>
      </c>
      <c r="F108" s="1">
        <v>38.28</v>
      </c>
      <c r="T108" s="4" t="s">
        <v>1553</v>
      </c>
      <c r="U108" s="1">
        <v>20.736000000000001</v>
      </c>
      <c r="W108" s="4" t="s">
        <v>1553</v>
      </c>
      <c r="X108" s="1">
        <v>7.2576000000000001</v>
      </c>
    </row>
    <row r="109" spans="5:24" x14ac:dyDescent="0.25">
      <c r="E109" s="4" t="s">
        <v>1994</v>
      </c>
      <c r="F109" s="1">
        <v>-93.08</v>
      </c>
      <c r="T109" s="4" t="s">
        <v>204</v>
      </c>
      <c r="U109" s="1">
        <v>339.96</v>
      </c>
      <c r="W109" s="4" t="s">
        <v>204</v>
      </c>
      <c r="X109" s="1">
        <v>67.992000000000004</v>
      </c>
    </row>
    <row r="110" spans="5:24" x14ac:dyDescent="0.25">
      <c r="E110" s="4" t="s">
        <v>1199</v>
      </c>
      <c r="F110" s="1">
        <v>95.916599999999988</v>
      </c>
      <c r="T110" s="4" t="s">
        <v>85</v>
      </c>
      <c r="U110" s="1">
        <v>1104.4380000000001</v>
      </c>
      <c r="W110" s="4" t="s">
        <v>85</v>
      </c>
      <c r="X110" s="1">
        <v>259.70249999999999</v>
      </c>
    </row>
    <row r="111" spans="5:24" x14ac:dyDescent="0.25">
      <c r="E111" s="4" t="s">
        <v>901</v>
      </c>
      <c r="F111" s="1">
        <v>10.94</v>
      </c>
      <c r="T111" s="4" t="s">
        <v>1533</v>
      </c>
      <c r="U111" s="1">
        <v>33</v>
      </c>
      <c r="W111" s="4" t="s">
        <v>1533</v>
      </c>
      <c r="X111" s="1">
        <v>10.837200000000001</v>
      </c>
    </row>
    <row r="112" spans="5:24" x14ac:dyDescent="0.25">
      <c r="E112" s="4" t="s">
        <v>1083</v>
      </c>
      <c r="F112" s="1">
        <v>5.5176999999999996</v>
      </c>
      <c r="T112" s="4" t="s">
        <v>1210</v>
      </c>
      <c r="U112" s="1">
        <v>201.56800000000001</v>
      </c>
      <c r="W112" s="4" t="s">
        <v>1210</v>
      </c>
      <c r="X112" s="1">
        <v>22.676400000000001</v>
      </c>
    </row>
    <row r="113" spans="5:24" x14ac:dyDescent="0.25">
      <c r="E113" s="4" t="s">
        <v>1917</v>
      </c>
      <c r="F113" s="1">
        <v>3.5154000000000001</v>
      </c>
      <c r="T113" s="4" t="s">
        <v>1485</v>
      </c>
      <c r="U113" s="1">
        <v>1128.48</v>
      </c>
      <c r="W113" s="4" t="s">
        <v>1485</v>
      </c>
      <c r="X113" s="1">
        <v>60.648000000000003</v>
      </c>
    </row>
    <row r="114" spans="5:24" x14ac:dyDescent="0.25">
      <c r="E114" s="4" t="s">
        <v>1162</v>
      </c>
      <c r="F114" s="1">
        <v>30.09</v>
      </c>
      <c r="T114" s="4" t="s">
        <v>1675</v>
      </c>
      <c r="U114" s="1">
        <v>42.783999999999999</v>
      </c>
      <c r="W114" s="4" t="s">
        <v>1675</v>
      </c>
      <c r="X114" s="1">
        <v>15.5092</v>
      </c>
    </row>
    <row r="115" spans="5:24" x14ac:dyDescent="0.25">
      <c r="E115" s="4" t="s">
        <v>1695</v>
      </c>
      <c r="F115" s="1">
        <v>38.08</v>
      </c>
      <c r="T115" s="4" t="s">
        <v>747</v>
      </c>
      <c r="U115" s="1">
        <v>230.44</v>
      </c>
      <c r="W115" s="4" t="s">
        <v>747</v>
      </c>
      <c r="X115" s="1">
        <v>106.61239999999999</v>
      </c>
    </row>
    <row r="116" spans="5:24" x14ac:dyDescent="0.25">
      <c r="E116" s="4" t="s">
        <v>1855</v>
      </c>
      <c r="F116" s="1">
        <v>8.7905999999999995</v>
      </c>
      <c r="T116" s="4" t="s">
        <v>975</v>
      </c>
      <c r="U116" s="1">
        <v>179.3</v>
      </c>
      <c r="W116" s="4" t="s">
        <v>975</v>
      </c>
      <c r="X116" s="1">
        <v>1.7676999999999996</v>
      </c>
    </row>
    <row r="117" spans="5:24" x14ac:dyDescent="0.25">
      <c r="E117" s="4" t="s">
        <v>1957</v>
      </c>
      <c r="F117" s="1">
        <v>30.716799999999999</v>
      </c>
      <c r="T117" s="4" t="s">
        <v>865</v>
      </c>
      <c r="U117" s="1">
        <v>33.54</v>
      </c>
      <c r="W117" s="4" t="s">
        <v>865</v>
      </c>
      <c r="X117" s="1">
        <v>14.6586</v>
      </c>
    </row>
    <row r="118" spans="5:24" x14ac:dyDescent="0.25">
      <c r="E118" s="4" t="s">
        <v>1865</v>
      </c>
      <c r="F118" s="1">
        <v>24.291899999999998</v>
      </c>
      <c r="T118" s="4" t="s">
        <v>1660</v>
      </c>
      <c r="U118" s="1">
        <v>14.496</v>
      </c>
      <c r="W118" s="4" t="s">
        <v>1660</v>
      </c>
      <c r="X118" s="1">
        <v>4.8924000000000003</v>
      </c>
    </row>
    <row r="119" spans="5:24" x14ac:dyDescent="0.25">
      <c r="E119" s="4" t="s">
        <v>561</v>
      </c>
      <c r="F119" s="1">
        <v>109.33</v>
      </c>
      <c r="T119" s="4" t="s">
        <v>1233</v>
      </c>
      <c r="U119" s="1">
        <v>970.56400000000008</v>
      </c>
      <c r="W119" s="4" t="s">
        <v>1233</v>
      </c>
      <c r="X119" s="1">
        <v>133.32939999999999</v>
      </c>
    </row>
    <row r="120" spans="5:24" x14ac:dyDescent="0.25">
      <c r="E120" s="4" t="s">
        <v>1836</v>
      </c>
      <c r="F120" s="1">
        <v>16.186800000000002</v>
      </c>
      <c r="T120" s="4" t="s">
        <v>1157</v>
      </c>
      <c r="U120" s="1">
        <v>17.28</v>
      </c>
      <c r="W120" s="4" t="s">
        <v>1157</v>
      </c>
      <c r="X120" s="1">
        <v>5.0111999999999997</v>
      </c>
    </row>
    <row r="121" spans="5:24" x14ac:dyDescent="0.25">
      <c r="E121" s="4" t="s">
        <v>1892</v>
      </c>
      <c r="F121" s="1">
        <v>3.4620000000000002</v>
      </c>
      <c r="T121" s="4" t="s">
        <v>1474</v>
      </c>
      <c r="U121" s="1">
        <v>1609.03</v>
      </c>
      <c r="W121" s="4" t="s">
        <v>1474</v>
      </c>
      <c r="X121" s="1">
        <v>756.06190000000004</v>
      </c>
    </row>
    <row r="122" spans="5:24" x14ac:dyDescent="0.25">
      <c r="E122" s="4" t="s">
        <v>134</v>
      </c>
      <c r="F122" s="1">
        <v>6.1512000000000002</v>
      </c>
      <c r="T122" s="4" t="s">
        <v>240</v>
      </c>
      <c r="U122" s="1">
        <v>1258.002</v>
      </c>
      <c r="W122" s="4" t="s">
        <v>240</v>
      </c>
      <c r="X122" s="1">
        <v>177.6506</v>
      </c>
    </row>
    <row r="123" spans="5:24" x14ac:dyDescent="0.25">
      <c r="E123" s="4" t="s">
        <v>112</v>
      </c>
      <c r="F123" s="1">
        <v>25.059100000000001</v>
      </c>
      <c r="T123" s="4" t="s">
        <v>126</v>
      </c>
      <c r="U123" s="1">
        <v>20337.599999999984</v>
      </c>
      <c r="W123" s="4" t="s">
        <v>126</v>
      </c>
      <c r="X123" s="1">
        <v>2893.9118000000003</v>
      </c>
    </row>
    <row r="124" spans="5:24" x14ac:dyDescent="0.25">
      <c r="E124" s="4" t="s">
        <v>665</v>
      </c>
      <c r="F124" s="1">
        <v>2.4584999999999999</v>
      </c>
      <c r="T124" s="4" t="s">
        <v>507</v>
      </c>
      <c r="U124" s="1">
        <v>851.72199999999998</v>
      </c>
      <c r="W124" s="4" t="s">
        <v>507</v>
      </c>
      <c r="X124" s="1">
        <v>185.48669999999998</v>
      </c>
    </row>
    <row r="125" spans="5:24" x14ac:dyDescent="0.25">
      <c r="E125" s="4" t="s">
        <v>1219</v>
      </c>
      <c r="F125" s="1">
        <v>-13.646100000000001</v>
      </c>
      <c r="T125" s="4" t="s">
        <v>1424</v>
      </c>
      <c r="U125" s="1">
        <v>23.92</v>
      </c>
      <c r="W125" s="4" t="s">
        <v>1424</v>
      </c>
      <c r="X125" s="1">
        <v>6.6976000000000004</v>
      </c>
    </row>
    <row r="126" spans="5:24" x14ac:dyDescent="0.25">
      <c r="E126" s="4" t="s">
        <v>195</v>
      </c>
      <c r="F126" s="1">
        <v>11.720800000000001</v>
      </c>
      <c r="T126" s="4" t="s">
        <v>829</v>
      </c>
      <c r="U126" s="1">
        <v>7.61</v>
      </c>
      <c r="W126" s="4" t="s">
        <v>829</v>
      </c>
      <c r="X126" s="1">
        <v>3.5767000000000002</v>
      </c>
    </row>
    <row r="127" spans="5:24" x14ac:dyDescent="0.25">
      <c r="E127" s="4" t="s">
        <v>1328</v>
      </c>
      <c r="F127" s="1">
        <v>4.8609</v>
      </c>
      <c r="T127" s="4" t="s">
        <v>1150</v>
      </c>
      <c r="U127" s="1">
        <v>52.2</v>
      </c>
      <c r="W127" s="4" t="s">
        <v>1150</v>
      </c>
      <c r="X127" s="1">
        <v>23.49</v>
      </c>
    </row>
    <row r="128" spans="5:24" x14ac:dyDescent="0.25">
      <c r="E128" s="4" t="s">
        <v>2001</v>
      </c>
      <c r="F128" s="1">
        <v>4.1028000000000002</v>
      </c>
      <c r="T128" s="4" t="s">
        <v>122</v>
      </c>
      <c r="U128" s="1">
        <v>38.22</v>
      </c>
      <c r="W128" s="4" t="s">
        <v>122</v>
      </c>
      <c r="X128" s="1">
        <v>17.9634</v>
      </c>
    </row>
    <row r="129" spans="5:24" x14ac:dyDescent="0.25">
      <c r="E129" s="4" t="s">
        <v>1713</v>
      </c>
      <c r="F129" s="1">
        <v>13.846</v>
      </c>
      <c r="T129" s="4" t="s">
        <v>1641</v>
      </c>
      <c r="U129" s="1">
        <v>23.677</v>
      </c>
      <c r="W129" s="4" t="s">
        <v>1641</v>
      </c>
      <c r="X129" s="1">
        <v>-6.6307</v>
      </c>
    </row>
    <row r="130" spans="5:24" x14ac:dyDescent="0.25">
      <c r="E130" s="4" t="s">
        <v>1501</v>
      </c>
      <c r="F130" s="1">
        <v>162.864</v>
      </c>
      <c r="T130" s="4" t="s">
        <v>97</v>
      </c>
      <c r="U130" s="1">
        <v>761.60299999999995</v>
      </c>
      <c r="W130" s="4" t="s">
        <v>97</v>
      </c>
      <c r="X130" s="1">
        <v>-142.74859999999998</v>
      </c>
    </row>
    <row r="131" spans="5:24" x14ac:dyDescent="0.25">
      <c r="E131" s="4" t="s">
        <v>1026</v>
      </c>
      <c r="F131" s="1">
        <v>7.3385999999999996</v>
      </c>
      <c r="T131" s="4" t="s">
        <v>1620</v>
      </c>
      <c r="U131" s="1">
        <v>6.56</v>
      </c>
      <c r="W131" s="4" t="s">
        <v>1620</v>
      </c>
      <c r="X131" s="1">
        <v>1.9024000000000001</v>
      </c>
    </row>
    <row r="132" spans="5:24" x14ac:dyDescent="0.25">
      <c r="E132" s="4" t="s">
        <v>999</v>
      </c>
      <c r="F132" s="1">
        <v>129.38399999999999</v>
      </c>
      <c r="T132" s="4" t="s">
        <v>923</v>
      </c>
      <c r="U132" s="1">
        <v>484.65</v>
      </c>
      <c r="W132" s="4" t="s">
        <v>923</v>
      </c>
      <c r="X132" s="1">
        <v>92.083500000000001</v>
      </c>
    </row>
    <row r="133" spans="5:24" x14ac:dyDescent="0.25">
      <c r="E133" s="4" t="s">
        <v>177</v>
      </c>
      <c r="F133" s="1">
        <v>8.375</v>
      </c>
      <c r="T133" s="4" t="s">
        <v>1091</v>
      </c>
      <c r="U133" s="1">
        <v>72.8</v>
      </c>
      <c r="W133" s="4" t="s">
        <v>1091</v>
      </c>
      <c r="X133" s="1">
        <v>19.655999999999999</v>
      </c>
    </row>
    <row r="134" spans="5:24" x14ac:dyDescent="0.25">
      <c r="E134" s="4" t="s">
        <v>471</v>
      </c>
      <c r="F134" s="1">
        <v>70.107599999999991</v>
      </c>
      <c r="T134" s="4" t="s">
        <v>406</v>
      </c>
      <c r="U134" s="1">
        <v>15.992000000000001</v>
      </c>
      <c r="W134" s="4" t="s">
        <v>406</v>
      </c>
      <c r="X134" s="1">
        <v>0.99950000000000006</v>
      </c>
    </row>
    <row r="135" spans="5:24" x14ac:dyDescent="0.25">
      <c r="E135" s="4" t="s">
        <v>415</v>
      </c>
      <c r="F135" s="1">
        <v>5.5911999999999997</v>
      </c>
      <c r="T135" s="4" t="s">
        <v>727</v>
      </c>
      <c r="U135" s="1">
        <v>281.33999999999997</v>
      </c>
      <c r="W135" s="4" t="s">
        <v>727</v>
      </c>
      <c r="X135" s="1">
        <v>109.7226</v>
      </c>
    </row>
    <row r="136" spans="5:24" x14ac:dyDescent="0.25">
      <c r="E136" s="4" t="s">
        <v>2000</v>
      </c>
      <c r="F136" s="1">
        <v>42.814799999999998</v>
      </c>
      <c r="T136" s="4" t="s">
        <v>1570</v>
      </c>
      <c r="U136" s="1">
        <v>545.94000000000005</v>
      </c>
      <c r="W136" s="4" t="s">
        <v>1570</v>
      </c>
      <c r="X136" s="1">
        <v>87.350399999999993</v>
      </c>
    </row>
    <row r="137" spans="5:24" x14ac:dyDescent="0.25">
      <c r="E137" s="4" t="s">
        <v>692</v>
      </c>
      <c r="F137" s="1">
        <v>8.5164000000000009</v>
      </c>
      <c r="T137" s="4" t="s">
        <v>361</v>
      </c>
      <c r="U137" s="1">
        <v>7.56</v>
      </c>
      <c r="W137" s="4" t="s">
        <v>361</v>
      </c>
      <c r="X137" s="1">
        <v>0.3024</v>
      </c>
    </row>
    <row r="138" spans="5:24" x14ac:dyDescent="0.25">
      <c r="E138" s="4" t="s">
        <v>1502</v>
      </c>
      <c r="F138" s="1">
        <v>62.799099999999996</v>
      </c>
      <c r="T138" s="4" t="s">
        <v>1951</v>
      </c>
      <c r="U138" s="1">
        <v>202.16</v>
      </c>
      <c r="W138" s="4" t="s">
        <v>1951</v>
      </c>
      <c r="X138" s="1">
        <v>93.38239999999999</v>
      </c>
    </row>
    <row r="139" spans="5:24" x14ac:dyDescent="0.25">
      <c r="E139" s="4" t="s">
        <v>188</v>
      </c>
      <c r="F139" s="1">
        <v>17.959199999999999</v>
      </c>
      <c r="T139" s="4" t="s">
        <v>591</v>
      </c>
      <c r="U139" s="1">
        <v>1255.92</v>
      </c>
      <c r="W139" s="4" t="s">
        <v>591</v>
      </c>
      <c r="X139" s="1">
        <v>285.4248</v>
      </c>
    </row>
    <row r="140" spans="5:24" x14ac:dyDescent="0.25">
      <c r="E140" s="4" t="s">
        <v>631</v>
      </c>
      <c r="F140" s="1">
        <v>8.7140000000000004</v>
      </c>
      <c r="T140" s="4" t="s">
        <v>279</v>
      </c>
      <c r="U140" s="1">
        <v>578.58799999999997</v>
      </c>
      <c r="W140" s="4" t="s">
        <v>279</v>
      </c>
      <c r="X140" s="1">
        <v>150.14259999999999</v>
      </c>
    </row>
    <row r="141" spans="5:24" x14ac:dyDescent="0.25">
      <c r="E141" s="4" t="s">
        <v>1915</v>
      </c>
      <c r="F141" s="1">
        <v>25.0182</v>
      </c>
      <c r="T141" s="4" t="s">
        <v>1148</v>
      </c>
      <c r="U141" s="1">
        <v>70.98</v>
      </c>
      <c r="W141" s="4" t="s">
        <v>1148</v>
      </c>
      <c r="X141" s="1">
        <v>34.780200000000001</v>
      </c>
    </row>
    <row r="142" spans="5:24" x14ac:dyDescent="0.25">
      <c r="E142" s="4" t="s">
        <v>1261</v>
      </c>
      <c r="F142" s="1">
        <v>3.0268000000000002</v>
      </c>
      <c r="T142" s="4" t="s">
        <v>1308</v>
      </c>
      <c r="U142" s="1">
        <v>487.98399999999998</v>
      </c>
      <c r="W142" s="4" t="s">
        <v>1308</v>
      </c>
      <c r="X142" s="1">
        <v>152.495</v>
      </c>
    </row>
    <row r="143" spans="5:24" x14ac:dyDescent="0.25">
      <c r="E143" s="4" t="s">
        <v>1506</v>
      </c>
      <c r="F143" s="1">
        <v>9.3295999999999992</v>
      </c>
      <c r="T143" s="4" t="s">
        <v>676</v>
      </c>
      <c r="U143" s="1">
        <v>621.06600000000003</v>
      </c>
      <c r="W143" s="4" t="s">
        <v>676</v>
      </c>
      <c r="X143" s="1">
        <v>89.323599999999999</v>
      </c>
    </row>
    <row r="144" spans="5:24" x14ac:dyDescent="0.25">
      <c r="E144" s="4" t="s">
        <v>736</v>
      </c>
      <c r="F144" s="1">
        <v>97.88</v>
      </c>
      <c r="T144" s="4" t="s">
        <v>1482</v>
      </c>
      <c r="U144" s="1">
        <v>647.84</v>
      </c>
      <c r="W144" s="4" t="s">
        <v>1482</v>
      </c>
      <c r="X144" s="1">
        <v>32.392000000000003</v>
      </c>
    </row>
    <row r="145" spans="5:24" x14ac:dyDescent="0.25">
      <c r="E145" s="4" t="s">
        <v>1434</v>
      </c>
      <c r="F145" s="1">
        <v>24.527999999999999</v>
      </c>
      <c r="T145" s="4" t="s">
        <v>179</v>
      </c>
      <c r="U145" s="1">
        <v>394.74</v>
      </c>
      <c r="W145" s="4" t="s">
        <v>179</v>
      </c>
      <c r="X145" s="1">
        <v>102.9846</v>
      </c>
    </row>
    <row r="146" spans="5:24" x14ac:dyDescent="0.25">
      <c r="E146" s="4" t="s">
        <v>1794</v>
      </c>
      <c r="F146" s="1">
        <v>9.1872000000000007</v>
      </c>
      <c r="T146" s="4" t="s">
        <v>803</v>
      </c>
      <c r="U146" s="1">
        <v>2326.8200000000002</v>
      </c>
      <c r="W146" s="4" t="s">
        <v>803</v>
      </c>
      <c r="X146" s="1">
        <v>400.74420000000003</v>
      </c>
    </row>
    <row r="147" spans="5:24" x14ac:dyDescent="0.25">
      <c r="E147" s="4" t="s">
        <v>860</v>
      </c>
      <c r="F147" s="1">
        <v>22.540800000000001</v>
      </c>
      <c r="T147" s="4" t="s">
        <v>1726</v>
      </c>
      <c r="U147" s="1">
        <v>244.15199999999999</v>
      </c>
      <c r="W147" s="4" t="s">
        <v>1726</v>
      </c>
      <c r="X147" s="1">
        <v>67.909199999999998</v>
      </c>
    </row>
    <row r="148" spans="5:24" x14ac:dyDescent="0.25">
      <c r="E148" s="4" t="s">
        <v>1108</v>
      </c>
      <c r="F148" s="1">
        <v>8.0405999999999995</v>
      </c>
      <c r="T148" s="4" t="s">
        <v>481</v>
      </c>
      <c r="U148" s="1">
        <v>508.55200000000002</v>
      </c>
      <c r="W148" s="4" t="s">
        <v>481</v>
      </c>
      <c r="X148" s="1">
        <v>-44.941699999999997</v>
      </c>
    </row>
    <row r="149" spans="5:24" x14ac:dyDescent="0.25">
      <c r="E149" s="4" t="s">
        <v>1788</v>
      </c>
      <c r="F149" s="1">
        <v>9.4717000000000002</v>
      </c>
      <c r="T149" s="4" t="s">
        <v>594</v>
      </c>
      <c r="U149" s="1">
        <v>536.779</v>
      </c>
      <c r="W149" s="4" t="s">
        <v>594</v>
      </c>
      <c r="X149" s="1">
        <v>-174.41820000000001</v>
      </c>
    </row>
    <row r="150" spans="5:24" x14ac:dyDescent="0.25">
      <c r="E150" s="4" t="s">
        <v>1486</v>
      </c>
      <c r="F150" s="1">
        <v>55.896000000000001</v>
      </c>
      <c r="T150" s="4" t="s">
        <v>1284</v>
      </c>
      <c r="U150" s="1">
        <v>100.87</v>
      </c>
      <c r="W150" s="4" t="s">
        <v>1284</v>
      </c>
      <c r="X150" s="1">
        <v>28.457599999999999</v>
      </c>
    </row>
    <row r="151" spans="5:24" x14ac:dyDescent="0.25">
      <c r="E151" s="4" t="s">
        <v>1490</v>
      </c>
      <c r="F151" s="1">
        <v>-337.80599999999998</v>
      </c>
      <c r="T151" s="4" t="s">
        <v>151</v>
      </c>
      <c r="U151" s="1">
        <v>1291.6580000000001</v>
      </c>
      <c r="W151" s="4" t="s">
        <v>151</v>
      </c>
      <c r="X151" s="1">
        <v>-255.1422</v>
      </c>
    </row>
    <row r="152" spans="5:24" x14ac:dyDescent="0.25">
      <c r="E152" s="4" t="s">
        <v>318</v>
      </c>
      <c r="F152" s="1">
        <v>8.8115999999999985</v>
      </c>
      <c r="T152" s="4" t="s">
        <v>105</v>
      </c>
      <c r="U152" s="1">
        <v>95.616</v>
      </c>
      <c r="W152" s="4" t="s">
        <v>105</v>
      </c>
      <c r="X152" s="1">
        <v>9.5616000000000003</v>
      </c>
    </row>
    <row r="153" spans="5:24" x14ac:dyDescent="0.25">
      <c r="E153" s="4" t="s">
        <v>1993</v>
      </c>
      <c r="F153" s="1">
        <v>2.9346000000000001</v>
      </c>
      <c r="T153" s="4" t="s">
        <v>322</v>
      </c>
      <c r="U153" s="1">
        <v>23.68</v>
      </c>
      <c r="W153" s="4" t="s">
        <v>322</v>
      </c>
      <c r="X153" s="1">
        <v>8.8800000000000008</v>
      </c>
    </row>
    <row r="154" spans="5:24" x14ac:dyDescent="0.25">
      <c r="E154" s="4" t="s">
        <v>1938</v>
      </c>
      <c r="F154" s="1">
        <v>175.51560000000001</v>
      </c>
      <c r="T154" s="4" t="s">
        <v>1849</v>
      </c>
      <c r="U154" s="1">
        <v>32.896000000000001</v>
      </c>
      <c r="W154" s="4" t="s">
        <v>1849</v>
      </c>
      <c r="X154" s="1">
        <v>11.102399999999999</v>
      </c>
    </row>
    <row r="155" spans="5:24" x14ac:dyDescent="0.25">
      <c r="E155" s="4" t="s">
        <v>1364</v>
      </c>
      <c r="F155" s="1">
        <v>-15.9102</v>
      </c>
      <c r="T155" s="4" t="s">
        <v>1891</v>
      </c>
      <c r="U155" s="1">
        <v>32.144000000000005</v>
      </c>
      <c r="W155" s="4" t="s">
        <v>1891</v>
      </c>
      <c r="X155" s="1">
        <v>3.7956000000000003</v>
      </c>
    </row>
    <row r="156" spans="5:24" x14ac:dyDescent="0.25">
      <c r="E156" s="4" t="s">
        <v>614</v>
      </c>
      <c r="F156" s="1">
        <v>932.96159999999986</v>
      </c>
      <c r="T156" s="4" t="s">
        <v>626</v>
      </c>
      <c r="U156" s="1">
        <v>8.82</v>
      </c>
      <c r="W156" s="4" t="s">
        <v>626</v>
      </c>
      <c r="X156" s="1">
        <v>2.3814000000000002</v>
      </c>
    </row>
    <row r="157" spans="5:24" x14ac:dyDescent="0.25">
      <c r="E157" s="4" t="s">
        <v>1668</v>
      </c>
      <c r="F157" s="1">
        <v>22.7136</v>
      </c>
      <c r="T157" s="4" t="s">
        <v>1402</v>
      </c>
      <c r="U157" s="1">
        <v>485.94</v>
      </c>
      <c r="W157" s="4" t="s">
        <v>1402</v>
      </c>
      <c r="X157" s="1">
        <v>-89.088999999999999</v>
      </c>
    </row>
    <row r="158" spans="5:24" x14ac:dyDescent="0.25">
      <c r="E158" s="4" t="s">
        <v>1465</v>
      </c>
      <c r="F158" s="1">
        <v>178.31100000000001</v>
      </c>
      <c r="T158" s="4" t="s">
        <v>1800</v>
      </c>
      <c r="U158" s="1">
        <v>5.64</v>
      </c>
      <c r="W158" s="4" t="s">
        <v>1800</v>
      </c>
      <c r="X158" s="1">
        <v>2.7071999999999998</v>
      </c>
    </row>
    <row r="159" spans="5:24" x14ac:dyDescent="0.25">
      <c r="E159" s="4" t="s">
        <v>1597</v>
      </c>
      <c r="F159" s="1">
        <v>5.9184999999999999</v>
      </c>
      <c r="T159" s="4" t="s">
        <v>1759</v>
      </c>
      <c r="U159" s="1">
        <v>15.552</v>
      </c>
      <c r="W159" s="4" t="s">
        <v>1759</v>
      </c>
      <c r="X159" s="1">
        <v>2.3328000000000002</v>
      </c>
    </row>
    <row r="160" spans="5:24" x14ac:dyDescent="0.25">
      <c r="E160" s="4" t="s">
        <v>1078</v>
      </c>
      <c r="F160" s="1">
        <v>25.342400000000001</v>
      </c>
      <c r="T160" s="4" t="s">
        <v>1595</v>
      </c>
      <c r="U160" s="1">
        <v>735.98</v>
      </c>
      <c r="W160" s="4" t="s">
        <v>1595</v>
      </c>
      <c r="X160" s="1">
        <v>331.19099999999997</v>
      </c>
    </row>
    <row r="161" spans="5:24" x14ac:dyDescent="0.25">
      <c r="E161" s="4" t="s">
        <v>277</v>
      </c>
      <c r="F161" s="1">
        <v>1.8612</v>
      </c>
      <c r="T161" s="4" t="s">
        <v>1382</v>
      </c>
      <c r="U161" s="1">
        <v>314.55</v>
      </c>
      <c r="W161" s="4" t="s">
        <v>1382</v>
      </c>
      <c r="X161" s="1">
        <v>150.98400000000001</v>
      </c>
    </row>
    <row r="162" spans="5:24" x14ac:dyDescent="0.25">
      <c r="E162" s="4" t="s">
        <v>843</v>
      </c>
      <c r="F162" s="1">
        <v>64.518000000000001</v>
      </c>
      <c r="T162" s="4" t="s">
        <v>436</v>
      </c>
      <c r="U162" s="1">
        <v>28.96</v>
      </c>
      <c r="W162" s="4" t="s">
        <v>436</v>
      </c>
      <c r="X162" s="1">
        <v>13.2624</v>
      </c>
    </row>
    <row r="163" spans="5:24" x14ac:dyDescent="0.25">
      <c r="E163" s="4" t="s">
        <v>589</v>
      </c>
      <c r="F163" s="1">
        <v>5.593</v>
      </c>
      <c r="T163" s="4" t="s">
        <v>1447</v>
      </c>
      <c r="U163" s="1">
        <v>39.68</v>
      </c>
      <c r="W163" s="4" t="s">
        <v>1447</v>
      </c>
      <c r="X163" s="1">
        <v>10.316800000000001</v>
      </c>
    </row>
    <row r="164" spans="5:24" x14ac:dyDescent="0.25">
      <c r="E164" s="4" t="s">
        <v>2002</v>
      </c>
      <c r="F164" s="1">
        <v>15.6332</v>
      </c>
      <c r="T164" s="4" t="s">
        <v>62</v>
      </c>
      <c r="U164" s="1">
        <v>665.88</v>
      </c>
      <c r="W164" s="4" t="s">
        <v>62</v>
      </c>
      <c r="X164" s="1">
        <v>13.317600000000001</v>
      </c>
    </row>
    <row r="165" spans="5:24" x14ac:dyDescent="0.25">
      <c r="E165" s="4" t="s">
        <v>1217</v>
      </c>
      <c r="F165" s="1">
        <v>42.392000000000003</v>
      </c>
      <c r="T165" s="4" t="s">
        <v>1063</v>
      </c>
      <c r="U165" s="1">
        <v>91.69</v>
      </c>
      <c r="W165" s="4" t="s">
        <v>1063</v>
      </c>
      <c r="X165" s="1">
        <v>39.869500000000002</v>
      </c>
    </row>
    <row r="166" spans="5:24" x14ac:dyDescent="0.25">
      <c r="E166" s="4" t="s">
        <v>717</v>
      </c>
      <c r="F166" s="1">
        <v>35.679600000000001</v>
      </c>
      <c r="T166" s="4" t="s">
        <v>422</v>
      </c>
      <c r="U166" s="1">
        <v>721.8599999999999</v>
      </c>
      <c r="W166" s="4" t="s">
        <v>422</v>
      </c>
      <c r="X166" s="1">
        <v>210.2466</v>
      </c>
    </row>
    <row r="167" spans="5:24" x14ac:dyDescent="0.25">
      <c r="E167" s="4" t="s">
        <v>407</v>
      </c>
      <c r="F167" s="1">
        <v>0.99950000000000006</v>
      </c>
      <c r="T167" s="4" t="s">
        <v>499</v>
      </c>
      <c r="U167" s="1">
        <v>589.09199999999987</v>
      </c>
      <c r="W167" s="4" t="s">
        <v>499</v>
      </c>
      <c r="X167" s="1">
        <v>33.172699999999985</v>
      </c>
    </row>
    <row r="168" spans="5:24" x14ac:dyDescent="0.25">
      <c r="E168" s="4" t="s">
        <v>149</v>
      </c>
      <c r="F168" s="1">
        <v>14.605</v>
      </c>
      <c r="T168" s="4" t="s">
        <v>29</v>
      </c>
      <c r="U168" s="1">
        <v>14309.813999999998</v>
      </c>
      <c r="W168" s="4" t="s">
        <v>29</v>
      </c>
      <c r="X168" s="1">
        <v>2067.8284999999992</v>
      </c>
    </row>
    <row r="169" spans="5:24" x14ac:dyDescent="0.25">
      <c r="E169" s="4" t="s">
        <v>1580</v>
      </c>
      <c r="F169" s="1">
        <v>45.84</v>
      </c>
      <c r="T169" s="4" t="s">
        <v>821</v>
      </c>
      <c r="U169" s="1">
        <v>59.082000000000001</v>
      </c>
      <c r="W169" s="4" t="s">
        <v>821</v>
      </c>
      <c r="X169" s="1">
        <v>9.6271000000000022</v>
      </c>
    </row>
    <row r="170" spans="5:24" x14ac:dyDescent="0.25">
      <c r="E170" s="4" t="s">
        <v>479</v>
      </c>
      <c r="F170" s="1">
        <v>3.5952000000000002</v>
      </c>
      <c r="T170" s="4" t="s">
        <v>400</v>
      </c>
      <c r="U170" s="1">
        <v>1088.9679999999998</v>
      </c>
      <c r="W170" s="4" t="s">
        <v>400</v>
      </c>
      <c r="X170" s="1">
        <v>213.17019999999999</v>
      </c>
    </row>
    <row r="171" spans="5:24" x14ac:dyDescent="0.25">
      <c r="E171" s="4" t="s">
        <v>65</v>
      </c>
      <c r="F171" s="1">
        <v>13.317600000000001</v>
      </c>
      <c r="T171" s="4" t="s">
        <v>824</v>
      </c>
      <c r="U171" s="1">
        <v>115.36</v>
      </c>
      <c r="W171" s="4" t="s">
        <v>824</v>
      </c>
      <c r="X171" s="1">
        <v>49.604799999999997</v>
      </c>
    </row>
    <row r="172" spans="5:24" x14ac:dyDescent="0.25">
      <c r="E172" s="4" t="s">
        <v>1137</v>
      </c>
      <c r="F172" s="1">
        <v>24.950400000000002</v>
      </c>
      <c r="T172" s="4" t="s">
        <v>1398</v>
      </c>
      <c r="U172" s="1">
        <v>167.292</v>
      </c>
      <c r="W172" s="4" t="s">
        <v>1398</v>
      </c>
      <c r="X172" s="1">
        <v>29.7408</v>
      </c>
    </row>
    <row r="173" spans="5:24" x14ac:dyDescent="0.25">
      <c r="E173" s="4" t="s">
        <v>1633</v>
      </c>
      <c r="F173" s="1">
        <v>30.263400000000001</v>
      </c>
      <c r="T173" s="4" t="s">
        <v>1774</v>
      </c>
      <c r="U173" s="1">
        <v>9.5839999999999996</v>
      </c>
      <c r="W173" s="4" t="s">
        <v>1774</v>
      </c>
      <c r="X173" s="1">
        <v>3.3544</v>
      </c>
    </row>
    <row r="174" spans="5:24" x14ac:dyDescent="0.25">
      <c r="E174" s="4" t="s">
        <v>413</v>
      </c>
      <c r="F174" s="1">
        <v>-4.6332000000000004</v>
      </c>
      <c r="T174" s="4" t="s">
        <v>1863</v>
      </c>
      <c r="U174" s="1">
        <v>3.15</v>
      </c>
      <c r="W174" s="4" t="s">
        <v>1863</v>
      </c>
      <c r="X174" s="1">
        <v>1.512</v>
      </c>
    </row>
    <row r="175" spans="5:24" x14ac:dyDescent="0.25">
      <c r="E175" s="4" t="s">
        <v>956</v>
      </c>
      <c r="F175" s="1">
        <v>1.6008</v>
      </c>
      <c r="T175" s="4" t="s">
        <v>1816</v>
      </c>
      <c r="U175" s="1">
        <v>16.776</v>
      </c>
      <c r="W175" s="4" t="s">
        <v>1816</v>
      </c>
      <c r="X175" s="1">
        <v>1.6776</v>
      </c>
    </row>
    <row r="176" spans="5:24" x14ac:dyDescent="0.25">
      <c r="E176" s="4" t="s">
        <v>1600</v>
      </c>
      <c r="F176" s="1">
        <v>-3.1680000000000001</v>
      </c>
      <c r="T176" s="4" t="s">
        <v>416</v>
      </c>
      <c r="U176" s="1">
        <v>4.96</v>
      </c>
      <c r="W176" s="4" t="s">
        <v>416</v>
      </c>
      <c r="X176" s="1">
        <v>2.3311999999999999</v>
      </c>
    </row>
    <row r="177" spans="5:24" x14ac:dyDescent="0.25">
      <c r="E177" s="4" t="s">
        <v>595</v>
      </c>
      <c r="F177" s="1">
        <v>18.444800000000001</v>
      </c>
      <c r="T177" s="4" t="s">
        <v>579</v>
      </c>
      <c r="U177" s="1">
        <v>532.54</v>
      </c>
      <c r="W177" s="4" t="s">
        <v>579</v>
      </c>
      <c r="X177" s="1">
        <v>251.696</v>
      </c>
    </row>
    <row r="178" spans="5:24" x14ac:dyDescent="0.25">
      <c r="E178" s="4" t="s">
        <v>996</v>
      </c>
      <c r="F178" s="1">
        <v>45.807899999999997</v>
      </c>
      <c r="T178" s="4" t="s">
        <v>469</v>
      </c>
      <c r="U178" s="1">
        <v>115.872</v>
      </c>
      <c r="W178" s="4" t="s">
        <v>469</v>
      </c>
      <c r="X178" s="1">
        <v>44.818199999999997</v>
      </c>
    </row>
    <row r="179" spans="5:24" x14ac:dyDescent="0.25">
      <c r="E179" s="4" t="s">
        <v>930</v>
      </c>
      <c r="F179" s="1">
        <v>31.129200000000001</v>
      </c>
      <c r="T179" s="4" t="s">
        <v>1520</v>
      </c>
      <c r="U179" s="1">
        <v>90.49</v>
      </c>
      <c r="W179" s="4" t="s">
        <v>1520</v>
      </c>
      <c r="X179" s="1">
        <v>40.461799999999997</v>
      </c>
    </row>
    <row r="180" spans="5:24" x14ac:dyDescent="0.25">
      <c r="E180" s="4" t="s">
        <v>580</v>
      </c>
      <c r="F180" s="1">
        <v>39.066900000000004</v>
      </c>
      <c r="T180" s="4" t="s">
        <v>642</v>
      </c>
      <c r="U180" s="1">
        <v>22.327999999999999</v>
      </c>
      <c r="W180" s="4" t="s">
        <v>642</v>
      </c>
      <c r="X180" s="1">
        <v>5.8746999999999998</v>
      </c>
    </row>
    <row r="181" spans="5:24" x14ac:dyDescent="0.25">
      <c r="E181" s="4" t="s">
        <v>1756</v>
      </c>
      <c r="F181" s="1">
        <v>9.1324000000000005</v>
      </c>
      <c r="T181" s="4" t="s">
        <v>1001</v>
      </c>
      <c r="U181" s="1">
        <v>953.03600000000006</v>
      </c>
      <c r="W181" s="4" t="s">
        <v>1001</v>
      </c>
      <c r="X181" s="1">
        <v>180.63919999999999</v>
      </c>
    </row>
    <row r="182" spans="5:24" x14ac:dyDescent="0.25">
      <c r="E182" s="4" t="s">
        <v>888</v>
      </c>
      <c r="F182" s="1">
        <v>7.6416000000000004</v>
      </c>
      <c r="T182" s="4" t="s">
        <v>777</v>
      </c>
      <c r="U182" s="1">
        <v>441.64599999999996</v>
      </c>
      <c r="W182" s="4" t="s">
        <v>777</v>
      </c>
      <c r="X182" s="1">
        <v>15.479400000000002</v>
      </c>
    </row>
    <row r="183" spans="5:24" x14ac:dyDescent="0.25">
      <c r="E183" s="4" t="s">
        <v>831</v>
      </c>
      <c r="F183" s="1">
        <v>-0.2016</v>
      </c>
      <c r="T183" s="4" t="s">
        <v>1742</v>
      </c>
      <c r="U183" s="1">
        <v>9444.0220000000008</v>
      </c>
      <c r="W183" s="4" t="s">
        <v>1742</v>
      </c>
      <c r="X183" s="1">
        <v>2433.6304999999998</v>
      </c>
    </row>
    <row r="184" spans="5:24" x14ac:dyDescent="0.25">
      <c r="E184" s="4" t="s">
        <v>486</v>
      </c>
      <c r="F184" s="1">
        <v>19.391400000000001</v>
      </c>
      <c r="T184" s="4" t="s">
        <v>341</v>
      </c>
      <c r="U184" s="1">
        <v>2286.52</v>
      </c>
      <c r="W184" s="4" t="s">
        <v>341</v>
      </c>
      <c r="X184" s="1">
        <v>672.8836</v>
      </c>
    </row>
    <row r="185" spans="5:24" x14ac:dyDescent="0.25">
      <c r="E185" s="4" t="s">
        <v>263</v>
      </c>
      <c r="F185" s="1">
        <v>147.49959999999999</v>
      </c>
      <c r="T185" s="4" t="s">
        <v>582</v>
      </c>
      <c r="U185" s="1">
        <v>1863.816</v>
      </c>
      <c r="W185" s="4" t="s">
        <v>582</v>
      </c>
      <c r="X185" s="1">
        <v>-153.17669999999998</v>
      </c>
    </row>
    <row r="186" spans="5:24" x14ac:dyDescent="0.25">
      <c r="E186" s="4" t="s">
        <v>977</v>
      </c>
      <c r="F186" s="1">
        <v>44.856000000000002</v>
      </c>
      <c r="T186" s="4" t="s">
        <v>1559</v>
      </c>
      <c r="U186" s="1">
        <v>51.96</v>
      </c>
      <c r="W186" s="4" t="s">
        <v>1559</v>
      </c>
      <c r="X186" s="1">
        <v>12.99</v>
      </c>
    </row>
    <row r="187" spans="5:24" x14ac:dyDescent="0.25">
      <c r="E187" s="4" t="s">
        <v>891</v>
      </c>
      <c r="F187" s="1">
        <v>2.7168000000000001</v>
      </c>
      <c r="T187" s="4" t="s">
        <v>1326</v>
      </c>
      <c r="U187" s="1">
        <v>151.68</v>
      </c>
      <c r="W187" s="4" t="s">
        <v>1326</v>
      </c>
      <c r="X187" s="1">
        <v>23.3184</v>
      </c>
    </row>
    <row r="188" spans="5:24" x14ac:dyDescent="0.25">
      <c r="E188" s="4" t="s">
        <v>1221</v>
      </c>
      <c r="F188" s="1">
        <v>2.464</v>
      </c>
      <c r="T188" s="4" t="s">
        <v>998</v>
      </c>
      <c r="U188" s="1">
        <v>287.52</v>
      </c>
      <c r="W188" s="4" t="s">
        <v>998</v>
      </c>
      <c r="X188" s="1">
        <v>129.38399999999999</v>
      </c>
    </row>
    <row r="189" spans="5:24" x14ac:dyDescent="0.25">
      <c r="E189" s="4" t="s">
        <v>552</v>
      </c>
      <c r="F189" s="1">
        <v>4.1958000000000002</v>
      </c>
      <c r="T189" s="4" t="s">
        <v>1696</v>
      </c>
      <c r="U189" s="1">
        <v>332.95799999999997</v>
      </c>
      <c r="W189" s="4" t="s">
        <v>1696</v>
      </c>
      <c r="X189" s="1">
        <v>-147.48329999999999</v>
      </c>
    </row>
    <row r="190" spans="5:24" x14ac:dyDescent="0.25">
      <c r="E190" s="4" t="s">
        <v>1212</v>
      </c>
      <c r="F190" s="1">
        <v>6.5856000000000003</v>
      </c>
      <c r="T190" s="4" t="s">
        <v>1385</v>
      </c>
      <c r="U190" s="1">
        <v>14.016</v>
      </c>
      <c r="W190" s="4" t="s">
        <v>1385</v>
      </c>
      <c r="X190" s="1">
        <v>1.752</v>
      </c>
    </row>
    <row r="191" spans="5:24" x14ac:dyDescent="0.25">
      <c r="E191" s="4" t="s">
        <v>1378</v>
      </c>
      <c r="F191" s="1">
        <v>26.1646</v>
      </c>
      <c r="T191" s="4" t="s">
        <v>1263</v>
      </c>
      <c r="U191" s="1">
        <v>647.91000000000008</v>
      </c>
      <c r="W191" s="4" t="s">
        <v>1263</v>
      </c>
      <c r="X191" s="1">
        <v>162.24420000000001</v>
      </c>
    </row>
    <row r="192" spans="5:24" x14ac:dyDescent="0.25">
      <c r="E192" s="4" t="s">
        <v>450</v>
      </c>
      <c r="F192" s="1">
        <v>36.4</v>
      </c>
      <c r="T192" s="4" t="s">
        <v>990</v>
      </c>
      <c r="U192" s="1">
        <v>699.93</v>
      </c>
      <c r="W192" s="4" t="s">
        <v>990</v>
      </c>
      <c r="X192" s="1">
        <v>181.98179999999999</v>
      </c>
    </row>
    <row r="193" spans="5:24" x14ac:dyDescent="0.25">
      <c r="E193" s="4" t="s">
        <v>304</v>
      </c>
      <c r="F193" s="1">
        <v>18.119999999999997</v>
      </c>
      <c r="T193" s="4" t="s">
        <v>1342</v>
      </c>
      <c r="U193" s="1">
        <v>4.2240000000000002</v>
      </c>
      <c r="W193" s="4" t="s">
        <v>1342</v>
      </c>
      <c r="X193" s="1">
        <v>0.47520000000000001</v>
      </c>
    </row>
    <row r="194" spans="5:24" x14ac:dyDescent="0.25">
      <c r="E194" s="4" t="s">
        <v>937</v>
      </c>
      <c r="F194" s="1">
        <v>5.1012000000000004</v>
      </c>
      <c r="T194" s="4" t="s">
        <v>939</v>
      </c>
      <c r="U194" s="1">
        <v>86.62</v>
      </c>
      <c r="W194" s="4" t="s">
        <v>939</v>
      </c>
      <c r="X194" s="1">
        <v>8.6620000000000008</v>
      </c>
    </row>
    <row r="195" spans="5:24" x14ac:dyDescent="0.25">
      <c r="E195" s="4" t="s">
        <v>250</v>
      </c>
      <c r="F195" s="1">
        <v>26.271000000000001</v>
      </c>
      <c r="T195" s="4" t="s">
        <v>1480</v>
      </c>
      <c r="U195" s="1">
        <v>4548.8100000000004</v>
      </c>
      <c r="W195" s="4" t="s">
        <v>1480</v>
      </c>
      <c r="X195" s="1">
        <v>1228.1786999999999</v>
      </c>
    </row>
    <row r="196" spans="5:24" x14ac:dyDescent="0.25">
      <c r="E196" s="4" t="s">
        <v>554</v>
      </c>
      <c r="F196" s="1">
        <v>13.1572</v>
      </c>
      <c r="T196" s="4" t="s">
        <v>516</v>
      </c>
      <c r="U196" s="1">
        <v>6874.0180000000009</v>
      </c>
      <c r="W196" s="4" t="s">
        <v>516</v>
      </c>
      <c r="X196" s="1">
        <v>386.55329999999992</v>
      </c>
    </row>
    <row r="197" spans="5:24" x14ac:dyDescent="0.25">
      <c r="E197" s="4" t="s">
        <v>488</v>
      </c>
      <c r="F197" s="1">
        <v>37.789499999999997</v>
      </c>
      <c r="T197" s="4" t="s">
        <v>148</v>
      </c>
      <c r="U197" s="1">
        <v>2649.3799999999997</v>
      </c>
      <c r="W197" s="4" t="s">
        <v>148</v>
      </c>
      <c r="X197" s="1">
        <v>752.15200000000004</v>
      </c>
    </row>
    <row r="198" spans="5:24" x14ac:dyDescent="0.25">
      <c r="E198" s="4" t="s">
        <v>452</v>
      </c>
      <c r="F198" s="1">
        <v>8.7989999999999995</v>
      </c>
      <c r="T198" s="4" t="s">
        <v>1410</v>
      </c>
      <c r="U198" s="1">
        <v>886.59</v>
      </c>
      <c r="W198" s="4" t="s">
        <v>1410</v>
      </c>
      <c r="X198" s="1">
        <v>120.452</v>
      </c>
    </row>
    <row r="199" spans="5:24" x14ac:dyDescent="0.25">
      <c r="E199" s="4" t="s">
        <v>145</v>
      </c>
      <c r="F199" s="1">
        <v>35.663600000000002</v>
      </c>
      <c r="T199" s="4" t="s">
        <v>234</v>
      </c>
      <c r="U199" s="1">
        <v>2417.37</v>
      </c>
      <c r="W199" s="4" t="s">
        <v>234</v>
      </c>
      <c r="X199" s="1">
        <v>975.66300000000001</v>
      </c>
    </row>
    <row r="200" spans="5:24" x14ac:dyDescent="0.25">
      <c r="E200" s="4" t="s">
        <v>1736</v>
      </c>
      <c r="F200" s="1">
        <v>4.4352</v>
      </c>
      <c r="T200" s="4" t="s">
        <v>551</v>
      </c>
      <c r="U200" s="1">
        <v>2284.6167999999998</v>
      </c>
      <c r="W200" s="4" t="s">
        <v>551</v>
      </c>
      <c r="X200" s="1">
        <v>303.48580000000004</v>
      </c>
    </row>
    <row r="201" spans="5:24" x14ac:dyDescent="0.25">
      <c r="E201" s="4" t="s">
        <v>1222</v>
      </c>
      <c r="F201" s="1">
        <v>88.029899999999998</v>
      </c>
      <c r="T201" s="4" t="s">
        <v>492</v>
      </c>
      <c r="U201" s="1">
        <v>106.48</v>
      </c>
      <c r="W201" s="4" t="s">
        <v>492</v>
      </c>
      <c r="X201" s="1">
        <v>30.650399999999998</v>
      </c>
    </row>
    <row r="202" spans="5:24" x14ac:dyDescent="0.25">
      <c r="E202" s="4" t="s">
        <v>1817</v>
      </c>
      <c r="F202" s="1">
        <v>1.6776</v>
      </c>
      <c r="T202" s="4" t="s">
        <v>91</v>
      </c>
      <c r="U202" s="1">
        <v>7633.9000000000024</v>
      </c>
      <c r="W202" s="4" t="s">
        <v>91</v>
      </c>
      <c r="X202" s="1">
        <v>-836.89859999999965</v>
      </c>
    </row>
    <row r="203" spans="5:24" x14ac:dyDescent="0.25">
      <c r="E203" s="4" t="s">
        <v>1691</v>
      </c>
      <c r="F203" s="1">
        <v>21.294</v>
      </c>
      <c r="T203" s="4" t="s">
        <v>1507</v>
      </c>
      <c r="U203" s="1">
        <v>59.989999999999995</v>
      </c>
      <c r="W203" s="4" t="s">
        <v>1507</v>
      </c>
      <c r="X203" s="1">
        <v>17.399000000000001</v>
      </c>
    </row>
    <row r="204" spans="5:24" x14ac:dyDescent="0.25">
      <c r="E204" s="4" t="s">
        <v>1832</v>
      </c>
      <c r="F204" s="1">
        <v>274.995</v>
      </c>
      <c r="T204" s="4" t="s">
        <v>995</v>
      </c>
      <c r="U204" s="1">
        <v>85.224000000000004</v>
      </c>
      <c r="W204" s="4" t="s">
        <v>995</v>
      </c>
      <c r="X204" s="1">
        <v>7.4570999999999996</v>
      </c>
    </row>
    <row r="205" spans="5:24" x14ac:dyDescent="0.25">
      <c r="E205" s="4" t="s">
        <v>1956</v>
      </c>
      <c r="F205" s="1">
        <v>19.468800000000002</v>
      </c>
      <c r="T205" s="4" t="s">
        <v>1457</v>
      </c>
      <c r="U205" s="1">
        <v>301.95999999999998</v>
      </c>
      <c r="W205" s="4" t="s">
        <v>1457</v>
      </c>
      <c r="X205" s="1">
        <v>60.392000000000003</v>
      </c>
    </row>
    <row r="206" spans="5:24" x14ac:dyDescent="0.25">
      <c r="E206" s="4" t="s">
        <v>740</v>
      </c>
      <c r="F206" s="1">
        <v>21.111999999999998</v>
      </c>
      <c r="T206" s="4" t="s">
        <v>1988</v>
      </c>
      <c r="U206" s="1">
        <v>91.36</v>
      </c>
      <c r="W206" s="4" t="s">
        <v>1988</v>
      </c>
      <c r="X206" s="1">
        <v>29.692</v>
      </c>
    </row>
    <row r="207" spans="5:24" x14ac:dyDescent="0.25">
      <c r="E207" s="4" t="s">
        <v>241</v>
      </c>
      <c r="F207" s="1">
        <v>12.909599999999999</v>
      </c>
      <c r="T207" s="4" t="s">
        <v>1859</v>
      </c>
      <c r="U207" s="1">
        <v>20.440000000000001</v>
      </c>
      <c r="W207" s="4" t="s">
        <v>1859</v>
      </c>
      <c r="X207" s="1">
        <v>9.1980000000000004</v>
      </c>
    </row>
    <row r="208" spans="5:24" x14ac:dyDescent="0.25">
      <c r="E208" s="4" t="s">
        <v>1197</v>
      </c>
      <c r="F208" s="1">
        <v>-3.5489999999999995</v>
      </c>
      <c r="T208" s="4" t="s">
        <v>1564</v>
      </c>
      <c r="U208" s="1">
        <v>37.463999999999999</v>
      </c>
      <c r="W208" s="4" t="s">
        <v>1564</v>
      </c>
      <c r="X208" s="1">
        <v>12.175800000000001</v>
      </c>
    </row>
    <row r="209" spans="5:24" x14ac:dyDescent="0.25">
      <c r="E209" s="4" t="s">
        <v>1720</v>
      </c>
      <c r="F209" s="1">
        <v>3.3088000000000002</v>
      </c>
      <c r="T209" s="4" t="s">
        <v>742</v>
      </c>
      <c r="U209" s="1">
        <v>1074.9679999999998</v>
      </c>
      <c r="W209" s="4" t="s">
        <v>742</v>
      </c>
      <c r="X209" s="1">
        <v>111.95460000000001</v>
      </c>
    </row>
    <row r="210" spans="5:24" x14ac:dyDescent="0.25">
      <c r="E210" s="4" t="s">
        <v>989</v>
      </c>
      <c r="F210" s="1">
        <v>18.143999999999998</v>
      </c>
      <c r="T210" s="4" t="s">
        <v>403</v>
      </c>
      <c r="U210" s="1">
        <v>251.52</v>
      </c>
      <c r="W210" s="4" t="s">
        <v>403</v>
      </c>
      <c r="X210" s="1">
        <v>81.744</v>
      </c>
    </row>
    <row r="211" spans="5:24" x14ac:dyDescent="0.25">
      <c r="E211" s="4" t="s">
        <v>34</v>
      </c>
      <c r="F211" s="1">
        <v>34.356999999999999</v>
      </c>
      <c r="T211" s="4" t="s">
        <v>21</v>
      </c>
      <c r="U211" s="1">
        <v>5994.8700000000008</v>
      </c>
      <c r="W211" s="4" t="s">
        <v>21</v>
      </c>
      <c r="X211" s="1">
        <v>1335.0457999999999</v>
      </c>
    </row>
    <row r="212" spans="5:24" x14ac:dyDescent="0.25">
      <c r="E212" s="4" t="s">
        <v>1214</v>
      </c>
      <c r="F212" s="1">
        <v>-35.905799999999999</v>
      </c>
      <c r="T212" s="4" t="s">
        <v>1777</v>
      </c>
      <c r="U212" s="1">
        <v>425.28</v>
      </c>
      <c r="W212" s="4" t="s">
        <v>1777</v>
      </c>
      <c r="X212" s="1">
        <v>181.5558</v>
      </c>
    </row>
    <row r="213" spans="5:24" x14ac:dyDescent="0.25">
      <c r="E213" s="4" t="s">
        <v>1296</v>
      </c>
      <c r="F213" s="1">
        <v>-28.976400000000002</v>
      </c>
      <c r="T213" s="4" t="s">
        <v>1006</v>
      </c>
      <c r="U213" s="1">
        <v>1563.78</v>
      </c>
      <c r="W213" s="4" t="s">
        <v>1006</v>
      </c>
      <c r="X213" s="1">
        <v>245.02099999999999</v>
      </c>
    </row>
    <row r="214" spans="5:24" x14ac:dyDescent="0.25">
      <c r="E214" s="4" t="s">
        <v>1628</v>
      </c>
      <c r="F214" s="1">
        <v>3.4196</v>
      </c>
      <c r="T214" s="4" t="s">
        <v>439</v>
      </c>
      <c r="U214" s="1">
        <v>25.92</v>
      </c>
      <c r="W214" s="4" t="s">
        <v>439</v>
      </c>
      <c r="X214" s="1">
        <v>9.3960000000000008</v>
      </c>
    </row>
    <row r="215" spans="5:24" x14ac:dyDescent="0.25">
      <c r="E215" s="4" t="s">
        <v>1081</v>
      </c>
      <c r="F215" s="1">
        <v>4.3372000000000002</v>
      </c>
      <c r="T215" s="4" t="s">
        <v>1776</v>
      </c>
      <c r="U215" s="1">
        <v>113.1</v>
      </c>
      <c r="W215" s="4" t="s">
        <v>1776</v>
      </c>
      <c r="X215" s="1">
        <v>56.55</v>
      </c>
    </row>
    <row r="216" spans="5:24" x14ac:dyDescent="0.25">
      <c r="E216" s="4" t="s">
        <v>1530</v>
      </c>
      <c r="F216" s="1">
        <v>-13.797599999999999</v>
      </c>
      <c r="T216" s="4" t="s">
        <v>294</v>
      </c>
      <c r="U216" s="1">
        <v>7.4080000000000004</v>
      </c>
      <c r="W216" s="4" t="s">
        <v>294</v>
      </c>
      <c r="X216" s="1">
        <v>1.2038</v>
      </c>
    </row>
    <row r="217" spans="5:24" x14ac:dyDescent="0.25">
      <c r="E217" s="4" t="s">
        <v>427</v>
      </c>
      <c r="F217" s="1">
        <v>-4.8587999999999996</v>
      </c>
      <c r="T217" s="4" t="s">
        <v>390</v>
      </c>
      <c r="U217" s="1">
        <v>264.74</v>
      </c>
      <c r="W217" s="4" t="s">
        <v>390</v>
      </c>
      <c r="X217" s="1">
        <v>120.92620000000001</v>
      </c>
    </row>
    <row r="218" spans="5:24" x14ac:dyDescent="0.25">
      <c r="E218" s="4" t="s">
        <v>1607</v>
      </c>
      <c r="F218" s="1">
        <v>-44.278199999999998</v>
      </c>
      <c r="T218" s="4" t="s">
        <v>1044</v>
      </c>
      <c r="U218" s="1">
        <v>80.05</v>
      </c>
      <c r="W218" s="4" t="s">
        <v>1044</v>
      </c>
      <c r="X218" s="1">
        <v>39.5381</v>
      </c>
    </row>
    <row r="219" spans="5:24" x14ac:dyDescent="0.25">
      <c r="E219" s="4" t="s">
        <v>236</v>
      </c>
      <c r="F219" s="1">
        <v>218.2518</v>
      </c>
      <c r="T219" s="4" t="s">
        <v>656</v>
      </c>
      <c r="U219" s="1">
        <v>119.94</v>
      </c>
      <c r="W219" s="4" t="s">
        <v>656</v>
      </c>
      <c r="X219" s="1">
        <v>15.992000000000001</v>
      </c>
    </row>
    <row r="220" spans="5:24" x14ac:dyDescent="0.25">
      <c r="E220" s="4" t="s">
        <v>1860</v>
      </c>
      <c r="F220" s="1">
        <v>1.6037999999999999</v>
      </c>
      <c r="T220" s="4" t="s">
        <v>1584</v>
      </c>
      <c r="U220" s="1">
        <v>403.16800000000001</v>
      </c>
      <c r="W220" s="4" t="s">
        <v>1584</v>
      </c>
      <c r="X220" s="1">
        <v>25.198</v>
      </c>
    </row>
    <row r="221" spans="5:24" x14ac:dyDescent="0.25">
      <c r="E221" s="4" t="s">
        <v>618</v>
      </c>
      <c r="F221" s="1">
        <v>1.3</v>
      </c>
      <c r="T221" s="4" t="s">
        <v>1256</v>
      </c>
      <c r="U221" s="1">
        <v>7.6440000000000001</v>
      </c>
      <c r="W221" s="4" t="s">
        <v>1256</v>
      </c>
      <c r="X221" s="1">
        <v>-5.8604000000000003</v>
      </c>
    </row>
    <row r="222" spans="5:24" x14ac:dyDescent="0.25">
      <c r="E222" s="4" t="s">
        <v>331</v>
      </c>
      <c r="F222" s="1">
        <v>0.96799999999999997</v>
      </c>
      <c r="T222" s="4" t="s">
        <v>602</v>
      </c>
      <c r="U222" s="1">
        <v>491.62</v>
      </c>
      <c r="W222" s="4" t="s">
        <v>602</v>
      </c>
      <c r="X222" s="1">
        <v>216.54</v>
      </c>
    </row>
    <row r="223" spans="5:24" x14ac:dyDescent="0.25">
      <c r="E223" s="4" t="s">
        <v>1755</v>
      </c>
      <c r="F223" s="1">
        <v>2.5488</v>
      </c>
      <c r="T223" s="4" t="s">
        <v>571</v>
      </c>
      <c r="U223" s="1">
        <v>2999.95</v>
      </c>
      <c r="W223" s="4" t="s">
        <v>571</v>
      </c>
      <c r="X223" s="1">
        <v>1379.9770000000001</v>
      </c>
    </row>
    <row r="224" spans="5:24" x14ac:dyDescent="0.25">
      <c r="E224" s="4" t="s">
        <v>1248</v>
      </c>
      <c r="F224" s="1">
        <v>4.9432</v>
      </c>
      <c r="T224" s="4" t="s">
        <v>1207</v>
      </c>
      <c r="U224" s="1">
        <v>33.488</v>
      </c>
      <c r="W224" s="4" t="s">
        <v>1207</v>
      </c>
      <c r="X224" s="1">
        <v>5.8604000000000003</v>
      </c>
    </row>
    <row r="225" spans="5:24" x14ac:dyDescent="0.25">
      <c r="E225" s="4" t="s">
        <v>275</v>
      </c>
      <c r="F225" s="1">
        <v>1.4104000000000001</v>
      </c>
      <c r="T225" s="4" t="s">
        <v>1610</v>
      </c>
      <c r="U225" s="1">
        <v>44.290000000000006</v>
      </c>
      <c r="W225" s="4" t="s">
        <v>1610</v>
      </c>
      <c r="X225" s="1">
        <v>21.205100000000002</v>
      </c>
    </row>
    <row r="226" spans="5:24" x14ac:dyDescent="0.25">
      <c r="E226" s="4" t="s">
        <v>1990</v>
      </c>
      <c r="F226" s="1">
        <v>26.3934</v>
      </c>
      <c r="T226" s="4" t="s">
        <v>1375</v>
      </c>
      <c r="U226" s="1">
        <v>52.839999999999996</v>
      </c>
      <c r="W226" s="4" t="s">
        <v>1375</v>
      </c>
      <c r="X226" s="1">
        <v>-40.951000000000001</v>
      </c>
    </row>
    <row r="227" spans="5:24" x14ac:dyDescent="0.25">
      <c r="E227" s="4" t="s">
        <v>287</v>
      </c>
      <c r="F227" s="1">
        <v>31.603000000000002</v>
      </c>
      <c r="T227" s="4" t="s">
        <v>1153</v>
      </c>
      <c r="U227" s="1">
        <v>1066.982</v>
      </c>
      <c r="W227" s="4" t="s">
        <v>1153</v>
      </c>
      <c r="X227" s="1">
        <v>95.702400000000011</v>
      </c>
    </row>
    <row r="228" spans="5:24" x14ac:dyDescent="0.25">
      <c r="E228" s="4" t="s">
        <v>1576</v>
      </c>
      <c r="F228" s="1">
        <v>0.77939999999999998</v>
      </c>
      <c r="T228" s="4" t="s">
        <v>567</v>
      </c>
      <c r="U228" s="1">
        <v>126.3</v>
      </c>
      <c r="W228" s="4" t="s">
        <v>567</v>
      </c>
      <c r="X228" s="1">
        <v>40.415999999999997</v>
      </c>
    </row>
    <row r="229" spans="5:24" x14ac:dyDescent="0.25">
      <c r="E229" s="4" t="s">
        <v>607</v>
      </c>
      <c r="F229" s="1">
        <v>7.2640000000000002</v>
      </c>
      <c r="T229" s="4" t="s">
        <v>139</v>
      </c>
      <c r="U229" s="1">
        <v>1446.6</v>
      </c>
      <c r="W229" s="4" t="s">
        <v>139</v>
      </c>
      <c r="X229" s="1">
        <v>136.32060000000001</v>
      </c>
    </row>
    <row r="230" spans="5:24" x14ac:dyDescent="0.25">
      <c r="E230" s="4" t="s">
        <v>1281</v>
      </c>
      <c r="F230" s="1">
        <v>126.8973</v>
      </c>
      <c r="T230" s="4" t="s">
        <v>512</v>
      </c>
      <c r="U230" s="1">
        <v>189.58799999999999</v>
      </c>
      <c r="W230" s="4" t="s">
        <v>512</v>
      </c>
      <c r="X230" s="1">
        <v>-145.35079999999999</v>
      </c>
    </row>
    <row r="231" spans="5:24" x14ac:dyDescent="0.25">
      <c r="E231" s="4" t="s">
        <v>1745</v>
      </c>
      <c r="F231" s="1">
        <v>327.59219999999999</v>
      </c>
      <c r="T231" s="4" t="s">
        <v>1946</v>
      </c>
      <c r="U231" s="1">
        <v>257.98</v>
      </c>
      <c r="W231" s="4" t="s">
        <v>1946</v>
      </c>
      <c r="X231" s="1">
        <v>74.8142</v>
      </c>
    </row>
    <row r="232" spans="5:24" x14ac:dyDescent="0.25">
      <c r="E232" s="4" t="s">
        <v>1460</v>
      </c>
      <c r="F232" s="1">
        <v>3.1779999999999999</v>
      </c>
      <c r="T232" s="4" t="s">
        <v>1047</v>
      </c>
      <c r="U232" s="1">
        <v>1331.1579999999999</v>
      </c>
      <c r="W232" s="4" t="s">
        <v>1047</v>
      </c>
      <c r="X232" s="1">
        <v>274.91219999999998</v>
      </c>
    </row>
    <row r="233" spans="5:24" x14ac:dyDescent="0.25">
      <c r="E233" s="4" t="s">
        <v>1738</v>
      </c>
      <c r="F233" s="1">
        <v>85.176000000000002</v>
      </c>
      <c r="T233" s="4" t="s">
        <v>75</v>
      </c>
      <c r="U233" s="1">
        <v>124.31</v>
      </c>
      <c r="W233" s="4" t="s">
        <v>75</v>
      </c>
      <c r="X233" s="1">
        <v>55.387600000000006</v>
      </c>
    </row>
    <row r="234" spans="5:24" x14ac:dyDescent="0.25">
      <c r="E234" s="4" t="s">
        <v>1346</v>
      </c>
      <c r="F234" s="1">
        <v>39.748800000000003</v>
      </c>
      <c r="T234" s="4" t="s">
        <v>1111</v>
      </c>
      <c r="U234" s="1">
        <v>47.82</v>
      </c>
      <c r="W234" s="4" t="s">
        <v>1111</v>
      </c>
      <c r="X234" s="1">
        <v>14.346</v>
      </c>
    </row>
    <row r="235" spans="5:24" x14ac:dyDescent="0.25">
      <c r="E235" s="4" t="s">
        <v>1177</v>
      </c>
      <c r="F235" s="1">
        <v>12.504</v>
      </c>
      <c r="T235" s="4" t="s">
        <v>243</v>
      </c>
      <c r="U235" s="1">
        <v>2109.7359999999999</v>
      </c>
      <c r="W235" s="4" t="s">
        <v>243</v>
      </c>
      <c r="X235" s="1">
        <v>-173.27119999999999</v>
      </c>
    </row>
    <row r="236" spans="5:24" x14ac:dyDescent="0.25">
      <c r="E236" s="4" t="s">
        <v>1244</v>
      </c>
      <c r="F236" s="1">
        <v>-69.89</v>
      </c>
      <c r="T236" s="4" t="s">
        <v>56</v>
      </c>
      <c r="U236" s="1">
        <v>158.36199999999999</v>
      </c>
      <c r="W236" s="4" t="s">
        <v>56</v>
      </c>
      <c r="X236" s="1">
        <v>-111.38480000000001</v>
      </c>
    </row>
    <row r="237" spans="5:24" x14ac:dyDescent="0.25">
      <c r="E237" s="4" t="s">
        <v>1923</v>
      </c>
      <c r="F237" s="1">
        <v>7.6967999999999996</v>
      </c>
      <c r="T237" s="4" t="s">
        <v>37</v>
      </c>
      <c r="U237" s="1">
        <v>1487.6255000000001</v>
      </c>
      <c r="W237" s="4" t="s">
        <v>37</v>
      </c>
      <c r="X237" s="1">
        <v>-320.93819999999999</v>
      </c>
    </row>
    <row r="238" spans="5:24" x14ac:dyDescent="0.25">
      <c r="E238" s="4" t="s">
        <v>167</v>
      </c>
      <c r="F238" s="1">
        <v>-77.751900000000006</v>
      </c>
      <c r="T238" s="4" t="s">
        <v>810</v>
      </c>
      <c r="U238" s="1">
        <v>314.44</v>
      </c>
      <c r="W238" s="4" t="s">
        <v>810</v>
      </c>
      <c r="X238" s="1">
        <v>96.203999999999994</v>
      </c>
    </row>
    <row r="239" spans="5:24" x14ac:dyDescent="0.25">
      <c r="E239" s="4" t="s">
        <v>1306</v>
      </c>
      <c r="F239" s="1">
        <v>20.584199999999999</v>
      </c>
      <c r="T239" s="4" t="s">
        <v>898</v>
      </c>
      <c r="U239" s="1">
        <v>235.78400000000002</v>
      </c>
      <c r="W239" s="4" t="s">
        <v>898</v>
      </c>
      <c r="X239" s="1">
        <v>86.267299999999992</v>
      </c>
    </row>
    <row r="240" spans="5:24" x14ac:dyDescent="0.25">
      <c r="E240" s="4" t="s">
        <v>587</v>
      </c>
      <c r="F240" s="1">
        <v>11.92</v>
      </c>
      <c r="T240" s="4" t="s">
        <v>880</v>
      </c>
      <c r="U240" s="1">
        <v>705.84</v>
      </c>
      <c r="W240" s="4" t="s">
        <v>880</v>
      </c>
      <c r="X240" s="1">
        <v>169.02510000000001</v>
      </c>
    </row>
    <row r="241" spans="5:24" x14ac:dyDescent="0.25">
      <c r="E241" s="4" t="s">
        <v>1929</v>
      </c>
      <c r="F241" s="1">
        <v>-55.256</v>
      </c>
      <c r="T241" s="4" t="s">
        <v>283</v>
      </c>
      <c r="U241" s="1">
        <v>1494.5859999999998</v>
      </c>
      <c r="W241" s="4" t="s">
        <v>283</v>
      </c>
      <c r="X241" s="1">
        <v>223.7236</v>
      </c>
    </row>
    <row r="242" spans="5:24" x14ac:dyDescent="0.25">
      <c r="E242" s="4" t="s">
        <v>1007</v>
      </c>
      <c r="F242" s="1">
        <v>0</v>
      </c>
      <c r="T242" s="4" t="s">
        <v>1779</v>
      </c>
      <c r="U242" s="1">
        <v>589.9</v>
      </c>
      <c r="W242" s="4" t="s">
        <v>1779</v>
      </c>
      <c r="X242" s="1">
        <v>147.47499999999999</v>
      </c>
    </row>
    <row r="243" spans="5:24" x14ac:dyDescent="0.25">
      <c r="E243" s="4" t="s">
        <v>365</v>
      </c>
      <c r="F243" s="1">
        <v>-7.4416000000000002</v>
      </c>
      <c r="T243" s="4" t="s">
        <v>752</v>
      </c>
      <c r="U243" s="1">
        <v>270.27100000000002</v>
      </c>
      <c r="W243" s="4" t="s">
        <v>752</v>
      </c>
      <c r="X243" s="1">
        <v>-69.204899999999995</v>
      </c>
    </row>
    <row r="244" spans="5:24" x14ac:dyDescent="0.25">
      <c r="E244" s="4" t="s">
        <v>539</v>
      </c>
      <c r="F244" s="1">
        <v>-169.3236</v>
      </c>
      <c r="T244" s="4" t="s">
        <v>1012</v>
      </c>
      <c r="U244" s="1">
        <v>53.94</v>
      </c>
      <c r="W244" s="4" t="s">
        <v>1012</v>
      </c>
      <c r="X244" s="1">
        <v>15.6426</v>
      </c>
    </row>
    <row r="245" spans="5:24" x14ac:dyDescent="0.25">
      <c r="E245" s="4" t="s">
        <v>350</v>
      </c>
      <c r="F245" s="1">
        <v>9.2344000000000008</v>
      </c>
      <c r="T245" s="4" t="s">
        <v>1462</v>
      </c>
      <c r="U245" s="1">
        <v>230.376</v>
      </c>
      <c r="W245" s="4" t="s">
        <v>1462</v>
      </c>
      <c r="X245" s="1">
        <v>-48.954900000000002</v>
      </c>
    </row>
    <row r="246" spans="5:24" x14ac:dyDescent="0.25">
      <c r="E246" s="4" t="s">
        <v>1626</v>
      </c>
      <c r="F246" s="1">
        <v>117.97620000000001</v>
      </c>
      <c r="T246" s="4" t="s">
        <v>1201</v>
      </c>
      <c r="U246" s="1">
        <v>757.21199999999999</v>
      </c>
      <c r="W246" s="4" t="s">
        <v>1201</v>
      </c>
      <c r="X246" s="1">
        <v>64.194299999999998</v>
      </c>
    </row>
    <row r="247" spans="5:24" x14ac:dyDescent="0.25">
      <c r="E247" s="4" t="s">
        <v>1439</v>
      </c>
      <c r="F247" s="1">
        <v>79.905600000000007</v>
      </c>
      <c r="T247" s="4" t="s">
        <v>798</v>
      </c>
      <c r="U247" s="1">
        <v>191.49</v>
      </c>
      <c r="W247" s="4" t="s">
        <v>798</v>
      </c>
      <c r="X247" s="1">
        <v>89.611199999999997</v>
      </c>
    </row>
    <row r="248" spans="5:24" x14ac:dyDescent="0.25">
      <c r="E248" s="4" t="s">
        <v>1182</v>
      </c>
      <c r="F248" s="1">
        <v>0.52359999999999995</v>
      </c>
      <c r="T248" s="4" t="s">
        <v>255</v>
      </c>
      <c r="U248" s="1">
        <v>14.62</v>
      </c>
      <c r="W248" s="4" t="s">
        <v>255</v>
      </c>
      <c r="X248" s="1">
        <v>6.8714000000000004</v>
      </c>
    </row>
    <row r="249" spans="5:24" x14ac:dyDescent="0.25">
      <c r="E249" s="4" t="s">
        <v>877</v>
      </c>
      <c r="F249" s="1">
        <v>4.1147999999999998</v>
      </c>
      <c r="T249" s="4" t="s">
        <v>1579</v>
      </c>
      <c r="U249" s="1">
        <v>287.32</v>
      </c>
      <c r="W249" s="4" t="s">
        <v>1579</v>
      </c>
      <c r="X249" s="1">
        <v>137.79079999999999</v>
      </c>
    </row>
    <row r="250" spans="5:24" x14ac:dyDescent="0.25">
      <c r="E250" s="4" t="s">
        <v>1290</v>
      </c>
      <c r="F250" s="1">
        <v>13.532400000000001</v>
      </c>
      <c r="T250" s="4" t="s">
        <v>109</v>
      </c>
      <c r="U250" s="1">
        <v>45.98</v>
      </c>
      <c r="W250" s="4" t="s">
        <v>109</v>
      </c>
      <c r="X250" s="1">
        <v>19.7714</v>
      </c>
    </row>
    <row r="251" spans="5:24" x14ac:dyDescent="0.25">
      <c r="E251" s="4" t="s">
        <v>372</v>
      </c>
      <c r="F251" s="1">
        <v>-3.4319999999999999</v>
      </c>
      <c r="T251" s="4" t="s">
        <v>164</v>
      </c>
      <c r="U251" s="1">
        <v>262.55200000000002</v>
      </c>
      <c r="W251" s="4" t="s">
        <v>164</v>
      </c>
      <c r="X251" s="1">
        <v>67.4251</v>
      </c>
    </row>
    <row r="252" spans="5:24" x14ac:dyDescent="0.25">
      <c r="E252" s="4" t="s">
        <v>565</v>
      </c>
      <c r="F252" s="1">
        <v>3.6989999999999998</v>
      </c>
      <c r="T252" s="4" t="s">
        <v>327</v>
      </c>
      <c r="U252" s="1">
        <v>1053.934</v>
      </c>
      <c r="W252" s="4" t="s">
        <v>327</v>
      </c>
      <c r="X252" s="1">
        <v>-68.075199999999995</v>
      </c>
    </row>
    <row r="253" spans="5:24" x14ac:dyDescent="0.25">
      <c r="E253" s="4" t="s">
        <v>89</v>
      </c>
      <c r="F253" s="1">
        <v>-1665.0522000000001</v>
      </c>
      <c r="T253" s="4" t="s">
        <v>1902</v>
      </c>
      <c r="U253" s="1">
        <v>111.93</v>
      </c>
      <c r="W253" s="4" t="s">
        <v>1902</v>
      </c>
      <c r="X253" s="1">
        <v>34.698300000000003</v>
      </c>
    </row>
    <row r="254" spans="5:24" x14ac:dyDescent="0.25">
      <c r="E254" s="4" t="s">
        <v>987</v>
      </c>
      <c r="F254" s="1">
        <v>26.740000000000002</v>
      </c>
      <c r="T254" s="4" t="s">
        <v>118</v>
      </c>
      <c r="U254" s="1">
        <v>336.05999999999995</v>
      </c>
      <c r="W254" s="4" t="s">
        <v>118</v>
      </c>
      <c r="X254" s="1">
        <v>75.887799999999999</v>
      </c>
    </row>
    <row r="255" spans="5:24" x14ac:dyDescent="0.25">
      <c r="E255" s="4" t="s">
        <v>1240</v>
      </c>
      <c r="F255" s="1">
        <v>5.0064000000000002</v>
      </c>
      <c r="T255" s="4" t="s">
        <v>330</v>
      </c>
      <c r="U255" s="1">
        <v>10210.641999999998</v>
      </c>
      <c r="W255" s="4" t="s">
        <v>330</v>
      </c>
      <c r="X255" s="1">
        <v>2356.6855999999998</v>
      </c>
    </row>
    <row r="256" spans="5:24" x14ac:dyDescent="0.25">
      <c r="E256" s="4" t="s">
        <v>1408</v>
      </c>
      <c r="F256" s="1">
        <v>14.307499999999999</v>
      </c>
      <c r="T256" s="4" t="s">
        <v>1894</v>
      </c>
      <c r="U256" s="1">
        <v>383.84</v>
      </c>
      <c r="W256" s="4" t="s">
        <v>1894</v>
      </c>
      <c r="X256" s="1">
        <v>47.98</v>
      </c>
    </row>
    <row r="257" spans="5:24" x14ac:dyDescent="0.25">
      <c r="E257" s="4" t="s">
        <v>762</v>
      </c>
      <c r="F257" s="1">
        <v>13.7536</v>
      </c>
      <c r="T257" s="4" t="s">
        <v>463</v>
      </c>
      <c r="U257" s="1">
        <v>360.51199999999994</v>
      </c>
      <c r="W257" s="4" t="s">
        <v>463</v>
      </c>
      <c r="X257" s="1">
        <v>64.468599999999995</v>
      </c>
    </row>
    <row r="258" spans="5:24" x14ac:dyDescent="0.25">
      <c r="E258" s="4" t="s">
        <v>807</v>
      </c>
      <c r="F258" s="1">
        <v>103.98699999999999</v>
      </c>
      <c r="T258" s="4" t="s">
        <v>306</v>
      </c>
      <c r="U258" s="1">
        <v>3401.7820000000002</v>
      </c>
      <c r="W258" s="4" t="s">
        <v>306</v>
      </c>
      <c r="X258" s="1">
        <v>-408.46310000000005</v>
      </c>
    </row>
    <row r="259" spans="5:24" x14ac:dyDescent="0.25">
      <c r="E259" s="4" t="s">
        <v>1659</v>
      </c>
      <c r="F259" s="1">
        <v>5.4896000000000003</v>
      </c>
      <c r="T259" s="4" t="s">
        <v>1088</v>
      </c>
      <c r="U259" s="1">
        <v>683.89599999999996</v>
      </c>
      <c r="W259" s="4" t="s">
        <v>1088</v>
      </c>
      <c r="X259" s="1">
        <v>109.7816</v>
      </c>
    </row>
    <row r="260" spans="5:24" x14ac:dyDescent="0.25">
      <c r="E260" s="4" t="s">
        <v>1557</v>
      </c>
      <c r="F260" s="1">
        <v>24.599799999999998</v>
      </c>
      <c r="T260" s="4" t="s">
        <v>1725</v>
      </c>
      <c r="U260" s="1">
        <v>6.9240000000000004</v>
      </c>
      <c r="W260" s="4" t="s">
        <v>1725</v>
      </c>
      <c r="X260" s="1">
        <v>-10.385999999999999</v>
      </c>
    </row>
    <row r="261" spans="5:24" x14ac:dyDescent="0.25">
      <c r="E261" s="4" t="s">
        <v>1211</v>
      </c>
      <c r="F261" s="1">
        <v>22.676400000000001</v>
      </c>
      <c r="T261" s="4" t="s">
        <v>158</v>
      </c>
      <c r="U261" s="1">
        <v>272.69599999999997</v>
      </c>
      <c r="W261" s="4" t="s">
        <v>158</v>
      </c>
      <c r="X261" s="1">
        <v>71.875199999999992</v>
      </c>
    </row>
    <row r="262" spans="5:24" x14ac:dyDescent="0.25">
      <c r="E262" s="4" t="s">
        <v>1428</v>
      </c>
      <c r="F262" s="1">
        <v>77.751900000000006</v>
      </c>
      <c r="T262" s="4" t="s">
        <v>1643</v>
      </c>
      <c r="U262" s="1">
        <v>180.98</v>
      </c>
      <c r="W262" s="4" t="s">
        <v>1643</v>
      </c>
      <c r="X262" s="1">
        <v>47.0548</v>
      </c>
    </row>
    <row r="263" spans="5:24" x14ac:dyDescent="0.25">
      <c r="E263" s="4" t="s">
        <v>657</v>
      </c>
      <c r="F263" s="1">
        <v>15.992000000000001</v>
      </c>
      <c r="T263" s="4" t="s">
        <v>661</v>
      </c>
      <c r="U263" s="1">
        <v>301.95999999999998</v>
      </c>
      <c r="W263" s="4" t="s">
        <v>661</v>
      </c>
      <c r="X263" s="1">
        <v>87.568399999999997</v>
      </c>
    </row>
    <row r="264" spans="5:24" x14ac:dyDescent="0.25">
      <c r="E264" s="4" t="s">
        <v>1602</v>
      </c>
      <c r="F264" s="1">
        <v>-1.0943999999999994</v>
      </c>
      <c r="T264" s="4" t="s">
        <v>1963</v>
      </c>
      <c r="U264" s="1">
        <v>32.4</v>
      </c>
      <c r="W264" s="4" t="s">
        <v>1963</v>
      </c>
      <c r="X264" s="1">
        <v>15.552</v>
      </c>
    </row>
    <row r="265" spans="5:24" x14ac:dyDescent="0.25">
      <c r="E265" s="4" t="s">
        <v>1313</v>
      </c>
      <c r="F265" s="1">
        <v>4.7232000000000003</v>
      </c>
      <c r="T265" s="4" t="s">
        <v>309</v>
      </c>
      <c r="U265" s="1">
        <v>2440.5040000000004</v>
      </c>
      <c r="W265" s="4" t="s">
        <v>309</v>
      </c>
      <c r="X265" s="1">
        <v>-145.94059999999999</v>
      </c>
    </row>
    <row r="266" spans="5:24" x14ac:dyDescent="0.25">
      <c r="E266" s="4" t="s">
        <v>301</v>
      </c>
      <c r="F266" s="1">
        <v>-5.6464999999999996</v>
      </c>
      <c r="T266" s="4" t="s">
        <v>1004</v>
      </c>
      <c r="U266" s="1">
        <v>8.3520000000000003</v>
      </c>
      <c r="W266" s="4" t="s">
        <v>1004</v>
      </c>
      <c r="X266" s="1">
        <v>1.2527999999999999</v>
      </c>
    </row>
    <row r="267" spans="5:24" x14ac:dyDescent="0.25">
      <c r="E267" s="4" t="s">
        <v>162</v>
      </c>
      <c r="F267" s="1">
        <v>4.8872</v>
      </c>
      <c r="T267" s="4" t="s">
        <v>1733</v>
      </c>
      <c r="U267" s="1">
        <v>49.25</v>
      </c>
      <c r="W267" s="4" t="s">
        <v>1733</v>
      </c>
      <c r="X267" s="1">
        <v>18.715</v>
      </c>
    </row>
    <row r="268" spans="5:24" x14ac:dyDescent="0.25">
      <c r="E268" s="4" t="s">
        <v>670</v>
      </c>
      <c r="F268" s="1">
        <v>46.575600000000001</v>
      </c>
      <c r="T268" s="4" t="s">
        <v>761</v>
      </c>
      <c r="U268" s="1">
        <v>24.56</v>
      </c>
      <c r="W268" s="4" t="s">
        <v>761</v>
      </c>
      <c r="X268" s="1">
        <v>6.8768000000000002</v>
      </c>
    </row>
    <row r="269" spans="5:24" x14ac:dyDescent="0.25">
      <c r="E269" s="4" t="s">
        <v>597</v>
      </c>
      <c r="F269" s="1">
        <v>-101.6696</v>
      </c>
      <c r="T269" s="4" t="s">
        <v>557</v>
      </c>
      <c r="U269" s="1">
        <v>451.54599999999999</v>
      </c>
      <c r="W269" s="4" t="s">
        <v>557</v>
      </c>
      <c r="X269" s="1">
        <v>82.400300000000001</v>
      </c>
    </row>
    <row r="270" spans="5:24" x14ac:dyDescent="0.25">
      <c r="E270" s="4" t="s">
        <v>1173</v>
      </c>
      <c r="F270" s="1">
        <v>3.36</v>
      </c>
      <c r="T270" s="4" t="s">
        <v>1031</v>
      </c>
      <c r="U270" s="1">
        <v>22.544</v>
      </c>
      <c r="W270" s="4" t="s">
        <v>1031</v>
      </c>
      <c r="X270" s="1">
        <v>5.9676</v>
      </c>
    </row>
    <row r="271" spans="5:24" x14ac:dyDescent="0.25">
      <c r="E271" s="4" t="s">
        <v>1718</v>
      </c>
      <c r="F271" s="1">
        <v>1.7514000000000001</v>
      </c>
      <c r="T271" s="4" t="s">
        <v>1870</v>
      </c>
      <c r="U271" s="1">
        <v>301.95999999999998</v>
      </c>
      <c r="W271" s="4" t="s">
        <v>1870</v>
      </c>
      <c r="X271" s="1">
        <v>45.293999999999997</v>
      </c>
    </row>
    <row r="272" spans="5:24" x14ac:dyDescent="0.25">
      <c r="E272" s="4" t="s">
        <v>543</v>
      </c>
      <c r="F272" s="1">
        <v>8.82</v>
      </c>
      <c r="T272" s="4" t="s">
        <v>45</v>
      </c>
      <c r="U272" s="1">
        <v>4828.68</v>
      </c>
      <c r="W272" s="4" t="s">
        <v>45</v>
      </c>
      <c r="X272" s="1">
        <v>-1810.5627999999999</v>
      </c>
    </row>
    <row r="273" spans="5:24" x14ac:dyDescent="0.25">
      <c r="E273" s="4" t="s">
        <v>1015</v>
      </c>
      <c r="F273" s="1">
        <v>17.5824</v>
      </c>
      <c r="T273" s="4" t="s">
        <v>213</v>
      </c>
      <c r="U273" s="1">
        <v>3322.4459999999995</v>
      </c>
      <c r="W273" s="4" t="s">
        <v>213</v>
      </c>
      <c r="X273" s="1">
        <v>477.97220000000004</v>
      </c>
    </row>
    <row r="274" spans="5:24" x14ac:dyDescent="0.25">
      <c r="E274" s="4" t="s">
        <v>370</v>
      </c>
      <c r="F274" s="1">
        <v>4.0768000000000004</v>
      </c>
      <c r="T274" s="4" t="s">
        <v>168</v>
      </c>
      <c r="U274" s="1">
        <v>4569.6880000000001</v>
      </c>
      <c r="W274" s="4" t="s">
        <v>168</v>
      </c>
      <c r="X274" s="1">
        <v>1709.4411</v>
      </c>
    </row>
    <row r="275" spans="5:24" x14ac:dyDescent="0.25">
      <c r="E275" s="4" t="s">
        <v>1866</v>
      </c>
      <c r="F275" s="1">
        <v>43.197600000000001</v>
      </c>
      <c r="T275" s="4" t="s">
        <v>1123</v>
      </c>
      <c r="U275" s="1">
        <v>630.98599999999999</v>
      </c>
      <c r="W275" s="4" t="s">
        <v>1123</v>
      </c>
      <c r="X275" s="1">
        <v>-774.9452</v>
      </c>
    </row>
    <row r="276" spans="5:24" x14ac:dyDescent="0.25">
      <c r="E276" s="4" t="s">
        <v>1780</v>
      </c>
      <c r="F276" s="1">
        <v>147.47499999999999</v>
      </c>
      <c r="T276" s="4" t="s">
        <v>1459</v>
      </c>
      <c r="U276" s="1">
        <v>63.56</v>
      </c>
      <c r="W276" s="4" t="s">
        <v>1459</v>
      </c>
      <c r="X276" s="1">
        <v>3.1779999999999999</v>
      </c>
    </row>
    <row r="277" spans="5:24" x14ac:dyDescent="0.25">
      <c r="E277" s="4" t="s">
        <v>1403</v>
      </c>
      <c r="F277" s="1">
        <v>-89.088999999999999</v>
      </c>
      <c r="T277" s="4" t="s">
        <v>1125</v>
      </c>
      <c r="U277" s="1">
        <v>76.97</v>
      </c>
      <c r="W277" s="4" t="s">
        <v>1125</v>
      </c>
      <c r="X277" s="1">
        <v>18.383299999999998</v>
      </c>
    </row>
    <row r="278" spans="5:24" x14ac:dyDescent="0.25">
      <c r="E278" s="4" t="s">
        <v>1397</v>
      </c>
      <c r="F278" s="1">
        <v>233.22040000000001</v>
      </c>
      <c r="T278" s="4" t="s">
        <v>1220</v>
      </c>
      <c r="U278" s="1">
        <v>1985.7579999999998</v>
      </c>
      <c r="W278" s="4" t="s">
        <v>1220</v>
      </c>
      <c r="X278" s="1">
        <v>-133.05770000000001</v>
      </c>
    </row>
    <row r="279" spans="5:24" x14ac:dyDescent="0.25">
      <c r="E279" s="4" t="s">
        <v>1229</v>
      </c>
      <c r="F279" s="1">
        <v>-158.102</v>
      </c>
      <c r="T279" s="4" t="s">
        <v>364</v>
      </c>
      <c r="U279" s="1">
        <v>66.661000000000001</v>
      </c>
      <c r="W279" s="4" t="s">
        <v>364</v>
      </c>
      <c r="X279" s="1">
        <v>-4.1045999999999996</v>
      </c>
    </row>
    <row r="280" spans="5:24" x14ac:dyDescent="0.25">
      <c r="E280" s="4" t="s">
        <v>292</v>
      </c>
      <c r="F280" s="1">
        <v>11.505599999999999</v>
      </c>
      <c r="T280" s="4" t="s">
        <v>1682</v>
      </c>
      <c r="U280" s="1">
        <v>665.88</v>
      </c>
      <c r="W280" s="4" t="s">
        <v>1682</v>
      </c>
      <c r="X280" s="1">
        <v>106.5408</v>
      </c>
    </row>
    <row r="281" spans="5:24" x14ac:dyDescent="0.25">
      <c r="E281" s="4" t="s">
        <v>1537</v>
      </c>
      <c r="F281" s="1">
        <v>0.47099999999999997</v>
      </c>
      <c r="T281" s="4" t="s">
        <v>136</v>
      </c>
      <c r="U281" s="1">
        <v>10087.776000000002</v>
      </c>
      <c r="W281" s="4" t="s">
        <v>136</v>
      </c>
      <c r="X281" s="1">
        <v>-439.721</v>
      </c>
    </row>
    <row r="282" spans="5:24" x14ac:dyDescent="0.25">
      <c r="E282" s="4" t="s">
        <v>1896</v>
      </c>
      <c r="F282" s="1">
        <v>12.2715</v>
      </c>
      <c r="T282" s="4" t="s">
        <v>716</v>
      </c>
      <c r="U282" s="1">
        <v>373.57799999999997</v>
      </c>
      <c r="W282" s="4" t="s">
        <v>716</v>
      </c>
      <c r="X282" s="1">
        <v>13.080400000000001</v>
      </c>
    </row>
    <row r="283" spans="5:24" x14ac:dyDescent="0.25">
      <c r="E283" s="4" t="s">
        <v>1516</v>
      </c>
      <c r="F283" s="1">
        <v>62.3904</v>
      </c>
      <c r="T283" s="4" t="s">
        <v>1339</v>
      </c>
      <c r="U283" s="1">
        <v>249.45</v>
      </c>
      <c r="W283" s="4" t="s">
        <v>1339</v>
      </c>
      <c r="X283" s="1">
        <v>110.358</v>
      </c>
    </row>
    <row r="284" spans="5:24" x14ac:dyDescent="0.25">
      <c r="E284" s="4" t="s">
        <v>1819</v>
      </c>
      <c r="F284" s="1">
        <v>3.8654999999999999</v>
      </c>
      <c r="T284" s="4" t="s">
        <v>201</v>
      </c>
      <c r="U284" s="1">
        <v>1929.1779999999999</v>
      </c>
      <c r="W284" s="4" t="s">
        <v>201</v>
      </c>
      <c r="X284" s="1">
        <v>230.76549999999997</v>
      </c>
    </row>
    <row r="285" spans="5:24" x14ac:dyDescent="0.25">
      <c r="E285" s="4" t="s">
        <v>949</v>
      </c>
      <c r="F285" s="1">
        <v>208.78199999999998</v>
      </c>
      <c r="T285" s="4" t="s">
        <v>1065</v>
      </c>
      <c r="U285" s="1">
        <v>278.39999999999998</v>
      </c>
      <c r="W285" s="4" t="s">
        <v>1065</v>
      </c>
      <c r="X285" s="1">
        <v>80.736000000000004</v>
      </c>
    </row>
    <row r="286" spans="5:24" x14ac:dyDescent="0.25">
      <c r="E286" s="4" t="s">
        <v>1920</v>
      </c>
      <c r="F286" s="1">
        <v>19.038599999999999</v>
      </c>
      <c r="T286" s="4" t="s">
        <v>1517</v>
      </c>
      <c r="U286" s="1">
        <v>8.3759999999999994</v>
      </c>
      <c r="W286" s="4" t="s">
        <v>1517</v>
      </c>
      <c r="X286" s="1">
        <v>2.7222</v>
      </c>
    </row>
    <row r="287" spans="5:24" x14ac:dyDescent="0.25">
      <c r="E287" s="4" t="s">
        <v>244</v>
      </c>
      <c r="F287" s="1">
        <v>103.8015</v>
      </c>
      <c r="T287" s="4" t="s">
        <v>1329</v>
      </c>
      <c r="U287" s="1">
        <v>1543.816</v>
      </c>
      <c r="W287" s="4" t="s">
        <v>1329</v>
      </c>
      <c r="X287" s="1">
        <v>75.895099999999999</v>
      </c>
    </row>
    <row r="288" spans="5:24" x14ac:dyDescent="0.25">
      <c r="E288" s="4" t="s">
        <v>1138</v>
      </c>
      <c r="F288" s="1">
        <v>79.163999999999987</v>
      </c>
      <c r="T288" s="4" t="s">
        <v>1647</v>
      </c>
      <c r="U288" s="1">
        <v>408.42200000000003</v>
      </c>
      <c r="W288" s="4" t="s">
        <v>1647</v>
      </c>
      <c r="X288" s="1">
        <v>-5.8346</v>
      </c>
    </row>
    <row r="289" spans="5:24" x14ac:dyDescent="0.25">
      <c r="E289" s="4" t="s">
        <v>1353</v>
      </c>
      <c r="F289" s="1">
        <v>77.484499999999997</v>
      </c>
      <c r="T289" s="4" t="s">
        <v>261</v>
      </c>
      <c r="U289" s="1">
        <v>28.4</v>
      </c>
      <c r="W289" s="4" t="s">
        <v>261</v>
      </c>
      <c r="X289" s="1">
        <v>13.348000000000001</v>
      </c>
    </row>
    <row r="290" spans="5:24" x14ac:dyDescent="0.25">
      <c r="E290" s="4" t="s">
        <v>1036</v>
      </c>
      <c r="F290" s="1">
        <v>3.363</v>
      </c>
      <c r="T290" s="4" t="s">
        <v>504</v>
      </c>
      <c r="U290" s="1">
        <v>28.4</v>
      </c>
      <c r="W290" s="4" t="s">
        <v>504</v>
      </c>
      <c r="X290" s="1">
        <v>11.076000000000001</v>
      </c>
    </row>
    <row r="291" spans="5:24" x14ac:dyDescent="0.25">
      <c r="E291" s="4" t="s">
        <v>325</v>
      </c>
      <c r="F291" s="1">
        <v>31.02</v>
      </c>
      <c r="T291" s="4" t="s">
        <v>1948</v>
      </c>
      <c r="U291" s="1">
        <v>509.95749999999998</v>
      </c>
      <c r="W291" s="4" t="s">
        <v>1948</v>
      </c>
      <c r="X291" s="1">
        <v>41.996499999999997</v>
      </c>
    </row>
    <row r="292" spans="5:24" x14ac:dyDescent="0.25">
      <c r="E292" s="4" t="s">
        <v>629</v>
      </c>
      <c r="F292" s="1">
        <v>78.752799999999993</v>
      </c>
      <c r="T292" s="4" t="s">
        <v>706</v>
      </c>
      <c r="U292" s="1">
        <v>8025.7</v>
      </c>
      <c r="W292" s="4" t="s">
        <v>706</v>
      </c>
      <c r="X292" s="1">
        <v>-3837.1407000000004</v>
      </c>
    </row>
    <row r="293" spans="5:24" x14ac:dyDescent="0.25">
      <c r="E293" s="4" t="s">
        <v>1500</v>
      </c>
      <c r="F293" s="1">
        <v>1.0165999999999999</v>
      </c>
      <c r="T293" s="4" t="s">
        <v>1995</v>
      </c>
      <c r="U293" s="1">
        <v>475.94400000000002</v>
      </c>
      <c r="W293" s="4" t="s">
        <v>1995</v>
      </c>
      <c r="X293" s="1">
        <v>95.188800000000001</v>
      </c>
    </row>
    <row r="294" spans="5:24" x14ac:dyDescent="0.25">
      <c r="E294" s="4" t="s">
        <v>1977</v>
      </c>
      <c r="F294" s="1">
        <v>0.15329999999999999</v>
      </c>
      <c r="T294" s="4" t="s">
        <v>1704</v>
      </c>
      <c r="U294" s="1">
        <v>2421.6899999999996</v>
      </c>
      <c r="W294" s="4" t="s">
        <v>1704</v>
      </c>
      <c r="X294" s="1">
        <v>196.5324</v>
      </c>
    </row>
    <row r="295" spans="5:24" x14ac:dyDescent="0.25">
      <c r="E295" s="4" t="s">
        <v>1561</v>
      </c>
      <c r="F295" s="1">
        <v>20.853000000000002</v>
      </c>
      <c r="T295" s="4" t="s">
        <v>961</v>
      </c>
      <c r="U295" s="1">
        <v>1.744</v>
      </c>
      <c r="W295" s="4" t="s">
        <v>961</v>
      </c>
      <c r="X295" s="1">
        <v>-0.3488</v>
      </c>
    </row>
    <row r="296" spans="5:24" x14ac:dyDescent="0.25">
      <c r="E296" s="4" t="s">
        <v>1028</v>
      </c>
      <c r="F296" s="1">
        <v>4.2336</v>
      </c>
      <c r="T296" s="4" t="s">
        <v>219</v>
      </c>
      <c r="U296" s="1">
        <v>433.79400000000004</v>
      </c>
      <c r="W296" s="4" t="s">
        <v>219</v>
      </c>
      <c r="X296" s="1">
        <v>-124.5548</v>
      </c>
    </row>
    <row r="297" spans="5:24" x14ac:dyDescent="0.25">
      <c r="E297" s="4" t="s">
        <v>931</v>
      </c>
      <c r="F297" s="1">
        <v>2.1728000000000001</v>
      </c>
      <c r="T297" s="4" t="s">
        <v>359</v>
      </c>
      <c r="U297" s="1">
        <v>400.78</v>
      </c>
      <c r="W297" s="4" t="s">
        <v>359</v>
      </c>
      <c r="X297" s="1">
        <v>128.21119999999999</v>
      </c>
    </row>
    <row r="298" spans="5:24" x14ac:dyDescent="0.25">
      <c r="E298" s="4" t="s">
        <v>101</v>
      </c>
      <c r="F298" s="1">
        <v>16.5564</v>
      </c>
      <c r="T298" s="4" t="s">
        <v>1347</v>
      </c>
      <c r="U298" s="1">
        <v>29.04</v>
      </c>
      <c r="W298" s="4" t="s">
        <v>1347</v>
      </c>
      <c r="X298" s="1">
        <v>13.9392</v>
      </c>
    </row>
    <row r="299" spans="5:24" x14ac:dyDescent="0.25">
      <c r="E299" s="4" t="s">
        <v>592</v>
      </c>
      <c r="F299" s="1">
        <v>321.42360000000002</v>
      </c>
      <c r="T299" s="4" t="s">
        <v>1040</v>
      </c>
      <c r="U299" s="1">
        <v>63.503999999999998</v>
      </c>
      <c r="W299" s="4" t="s">
        <v>1040</v>
      </c>
      <c r="X299" s="1">
        <v>19.229399999999998</v>
      </c>
    </row>
    <row r="300" spans="5:24" x14ac:dyDescent="0.25">
      <c r="E300" s="4" t="s">
        <v>1317</v>
      </c>
      <c r="F300" s="1">
        <v>74.974999999999994</v>
      </c>
      <c r="T300" s="4" t="s">
        <v>1288</v>
      </c>
      <c r="U300" s="1">
        <v>405.13</v>
      </c>
      <c r="W300" s="4" t="s">
        <v>1288</v>
      </c>
      <c r="X300" s="1">
        <v>59.250799999999998</v>
      </c>
    </row>
    <row r="301" spans="5:24" x14ac:dyDescent="0.25">
      <c r="E301" s="4" t="s">
        <v>1062</v>
      </c>
      <c r="F301" s="1">
        <v>5.3970000000000002</v>
      </c>
      <c r="T301" s="4" t="s">
        <v>768</v>
      </c>
      <c r="U301" s="1">
        <v>11.36</v>
      </c>
      <c r="W301" s="4" t="s">
        <v>768</v>
      </c>
      <c r="X301" s="1">
        <v>5.3391999999999999</v>
      </c>
    </row>
    <row r="302" spans="5:24" x14ac:dyDescent="0.25">
      <c r="E302" s="4" t="s">
        <v>1380</v>
      </c>
      <c r="F302" s="1">
        <v>10.0282</v>
      </c>
      <c r="T302" s="4" t="s">
        <v>1699</v>
      </c>
      <c r="U302" s="1">
        <v>9.98</v>
      </c>
      <c r="W302" s="4" t="s">
        <v>1699</v>
      </c>
      <c r="X302" s="1">
        <v>-16.466999999999999</v>
      </c>
    </row>
    <row r="303" spans="5:24" x14ac:dyDescent="0.25">
      <c r="E303" s="4" t="s">
        <v>1100</v>
      </c>
      <c r="F303" s="1">
        <v>26.376000000000001</v>
      </c>
      <c r="T303" s="4" t="s">
        <v>1763</v>
      </c>
      <c r="U303" s="1">
        <v>3.3039999999999998</v>
      </c>
      <c r="W303" s="4" t="s">
        <v>1763</v>
      </c>
      <c r="X303" s="1">
        <v>1.1151</v>
      </c>
    </row>
    <row r="304" spans="5:24" x14ac:dyDescent="0.25">
      <c r="E304" s="4" t="s">
        <v>1972</v>
      </c>
      <c r="F304" s="1">
        <v>68.686800000000005</v>
      </c>
      <c r="T304" s="4" t="s">
        <v>224</v>
      </c>
      <c r="U304" s="1">
        <v>622.87600000000009</v>
      </c>
      <c r="W304" s="4" t="s">
        <v>224</v>
      </c>
      <c r="X304" s="1">
        <v>-415.44600000000003</v>
      </c>
    </row>
    <row r="305" spans="5:24" x14ac:dyDescent="0.25">
      <c r="E305" s="4" t="s">
        <v>273</v>
      </c>
      <c r="F305" s="1">
        <v>-16.195999999999998</v>
      </c>
      <c r="T305" s="4" t="s">
        <v>1943</v>
      </c>
      <c r="U305" s="1">
        <v>20.239999999999998</v>
      </c>
      <c r="W305" s="4" t="s">
        <v>1943</v>
      </c>
      <c r="X305" s="1">
        <v>7.8936000000000002</v>
      </c>
    </row>
    <row r="306" spans="5:24" x14ac:dyDescent="0.25">
      <c r="E306" s="4" t="s">
        <v>1144</v>
      </c>
      <c r="F306" s="1">
        <v>11.093999999999999</v>
      </c>
      <c r="T306" s="4" t="s">
        <v>376</v>
      </c>
      <c r="U306" s="1">
        <v>272.37</v>
      </c>
      <c r="W306" s="4" t="s">
        <v>376</v>
      </c>
      <c r="X306" s="1">
        <v>87.543000000000006</v>
      </c>
    </row>
    <row r="307" spans="5:24" x14ac:dyDescent="0.25">
      <c r="E307" s="4" t="s">
        <v>1451</v>
      </c>
      <c r="F307" s="1">
        <v>-225.0976</v>
      </c>
      <c r="T307" s="4" t="s">
        <v>1701</v>
      </c>
      <c r="U307" s="1">
        <v>10.368</v>
      </c>
      <c r="W307" s="4" t="s">
        <v>1701</v>
      </c>
      <c r="X307" s="1">
        <v>3.6288</v>
      </c>
    </row>
    <row r="308" spans="5:24" x14ac:dyDescent="0.25">
      <c r="E308" s="4" t="s">
        <v>1241</v>
      </c>
      <c r="F308" s="1">
        <v>-14.478400000000001</v>
      </c>
      <c r="T308" s="4" t="s">
        <v>1885</v>
      </c>
      <c r="U308" s="1">
        <v>88.96</v>
      </c>
      <c r="W308" s="4" t="s">
        <v>1885</v>
      </c>
      <c r="X308" s="1">
        <v>10.007999999999999</v>
      </c>
    </row>
    <row r="309" spans="5:24" x14ac:dyDescent="0.25">
      <c r="E309" s="4" t="s">
        <v>1678</v>
      </c>
      <c r="F309" s="1">
        <v>24.196000000000002</v>
      </c>
      <c r="T309" s="4" t="s">
        <v>1257</v>
      </c>
      <c r="U309" s="1">
        <v>106.27</v>
      </c>
      <c r="W309" s="4" t="s">
        <v>1257</v>
      </c>
      <c r="X309" s="1">
        <v>33.159599999999998</v>
      </c>
    </row>
    <row r="310" spans="5:24" x14ac:dyDescent="0.25">
      <c r="E310" s="4" t="s">
        <v>1828</v>
      </c>
      <c r="F310" s="1">
        <v>48.118000000000002</v>
      </c>
      <c r="T310" s="4" t="s">
        <v>1529</v>
      </c>
      <c r="U310" s="1">
        <v>200.25</v>
      </c>
      <c r="W310" s="4" t="s">
        <v>1529</v>
      </c>
      <c r="X310" s="1">
        <v>-12.242799999999999</v>
      </c>
    </row>
    <row r="311" spans="5:24" x14ac:dyDescent="0.25">
      <c r="E311" s="4" t="s">
        <v>1371</v>
      </c>
      <c r="F311" s="1">
        <v>41.133200000000002</v>
      </c>
      <c r="T311" s="4" t="s">
        <v>1796</v>
      </c>
      <c r="U311" s="1">
        <v>742.33600000000001</v>
      </c>
      <c r="W311" s="4" t="s">
        <v>1796</v>
      </c>
      <c r="X311" s="1">
        <v>83.512799999999999</v>
      </c>
    </row>
    <row r="312" spans="5:24" x14ac:dyDescent="0.25">
      <c r="E312" s="4" t="s">
        <v>1327</v>
      </c>
      <c r="F312" s="1">
        <v>15.5456</v>
      </c>
      <c r="T312" s="4" t="s">
        <v>419</v>
      </c>
      <c r="U312" s="1">
        <v>1572.7739999999999</v>
      </c>
      <c r="W312" s="4" t="s">
        <v>419</v>
      </c>
      <c r="X312" s="1">
        <v>-250.39919999999995</v>
      </c>
    </row>
    <row r="313" spans="5:24" x14ac:dyDescent="0.25">
      <c r="E313" s="4" t="s">
        <v>1792</v>
      </c>
      <c r="F313" s="1">
        <v>62.82</v>
      </c>
      <c r="T313" s="4" t="s">
        <v>197</v>
      </c>
      <c r="U313" s="1">
        <v>2949.1419999999998</v>
      </c>
      <c r="W313" s="4" t="s">
        <v>197</v>
      </c>
      <c r="X313" s="1">
        <v>-1037.0808000000002</v>
      </c>
    </row>
    <row r="314" spans="5:24" x14ac:dyDescent="0.25">
      <c r="E314" s="4" t="s">
        <v>1808</v>
      </c>
      <c r="F314" s="1">
        <v>0.61560000000000004</v>
      </c>
      <c r="T314" s="4" t="s">
        <v>526</v>
      </c>
      <c r="U314" s="1">
        <v>1118.08</v>
      </c>
      <c r="W314" s="4" t="s">
        <v>526</v>
      </c>
      <c r="X314" s="1">
        <v>351.6825</v>
      </c>
    </row>
    <row r="315" spans="5:24" x14ac:dyDescent="0.25">
      <c r="E315" s="4" t="s">
        <v>215</v>
      </c>
      <c r="F315" s="1">
        <v>24.988399999999999</v>
      </c>
      <c r="T315" s="4" t="s">
        <v>564</v>
      </c>
      <c r="U315" s="1">
        <v>2623.85</v>
      </c>
      <c r="W315" s="4" t="s">
        <v>564</v>
      </c>
      <c r="X315" s="1">
        <v>811.75040000000001</v>
      </c>
    </row>
    <row r="316" spans="5:24" x14ac:dyDescent="0.25">
      <c r="E316" s="4" t="s">
        <v>328</v>
      </c>
      <c r="F316" s="1">
        <v>8.166599999999999</v>
      </c>
      <c r="T316" s="4" t="s">
        <v>1789</v>
      </c>
      <c r="U316" s="1">
        <v>27.509999999999998</v>
      </c>
      <c r="W316" s="4" t="s">
        <v>1789</v>
      </c>
      <c r="X316" s="1">
        <v>12.4575</v>
      </c>
    </row>
    <row r="317" spans="5:24" x14ac:dyDescent="0.25">
      <c r="E317" s="4" t="s">
        <v>417</v>
      </c>
      <c r="F317" s="1">
        <v>2.3311999999999999</v>
      </c>
      <c r="T317" s="4" t="s">
        <v>783</v>
      </c>
      <c r="U317" s="1">
        <v>1371.8320000000001</v>
      </c>
      <c r="W317" s="4" t="s">
        <v>783</v>
      </c>
      <c r="X317" s="1">
        <v>86.133099999999999</v>
      </c>
    </row>
    <row r="318" spans="5:24" x14ac:dyDescent="0.25">
      <c r="E318" s="4" t="s">
        <v>401</v>
      </c>
      <c r="F318" s="1">
        <v>3.58</v>
      </c>
      <c r="T318" s="4" t="s">
        <v>387</v>
      </c>
      <c r="U318" s="1">
        <v>15.135999999999999</v>
      </c>
      <c r="W318" s="4" t="s">
        <v>387</v>
      </c>
      <c r="X318" s="1">
        <v>3.5948000000000002</v>
      </c>
    </row>
    <row r="319" spans="5:24" x14ac:dyDescent="0.25">
      <c r="E319" s="4" t="s">
        <v>668</v>
      </c>
      <c r="F319" s="1">
        <v>43.223399999999998</v>
      </c>
      <c r="T319" s="4" t="s">
        <v>384</v>
      </c>
      <c r="U319" s="1">
        <v>3024.0920000000006</v>
      </c>
      <c r="W319" s="4" t="s">
        <v>384</v>
      </c>
      <c r="X319" s="1">
        <v>525.48710000000005</v>
      </c>
    </row>
    <row r="320" spans="5:24" x14ac:dyDescent="0.25">
      <c r="E320" s="4" t="s">
        <v>1366</v>
      </c>
      <c r="F320" s="1">
        <v>-25.913599999999999</v>
      </c>
      <c r="T320" s="4" t="s">
        <v>1191</v>
      </c>
      <c r="U320" s="1">
        <v>21.56</v>
      </c>
      <c r="W320" s="4" t="s">
        <v>1191</v>
      </c>
      <c r="X320" s="1">
        <v>10.348800000000001</v>
      </c>
    </row>
    <row r="321" spans="5:24" x14ac:dyDescent="0.25">
      <c r="E321" s="4" t="s">
        <v>1848</v>
      </c>
      <c r="F321" s="1">
        <v>-68.1096</v>
      </c>
      <c r="T321" s="4" t="s">
        <v>1312</v>
      </c>
      <c r="U321" s="1">
        <v>17.271999999999998</v>
      </c>
      <c r="W321" s="4" t="s">
        <v>1312</v>
      </c>
      <c r="X321" s="1">
        <v>3.0261999999999998</v>
      </c>
    </row>
    <row r="322" spans="5:24" x14ac:dyDescent="0.25">
      <c r="E322" s="4" t="s">
        <v>908</v>
      </c>
      <c r="F322" s="1">
        <v>93.223200000000006</v>
      </c>
      <c r="T322" s="4" t="s">
        <v>994</v>
      </c>
      <c r="U322" s="1">
        <v>19.440000000000001</v>
      </c>
      <c r="W322" s="4" t="s">
        <v>994</v>
      </c>
      <c r="X322" s="1">
        <v>9.3312000000000008</v>
      </c>
    </row>
    <row r="323" spans="5:24" x14ac:dyDescent="0.25">
      <c r="E323" s="4" t="s">
        <v>1476</v>
      </c>
      <c r="F323" s="1">
        <v>0</v>
      </c>
      <c r="T323" s="4" t="s">
        <v>613</v>
      </c>
      <c r="U323" s="1">
        <v>1769.356</v>
      </c>
      <c r="W323" s="4" t="s">
        <v>613</v>
      </c>
      <c r="X323" s="1">
        <v>397.86539999999997</v>
      </c>
    </row>
    <row r="324" spans="5:24" x14ac:dyDescent="0.25">
      <c r="E324" s="4" t="s">
        <v>448</v>
      </c>
      <c r="F324" s="1">
        <v>-297.6848</v>
      </c>
      <c r="T324" s="4" t="s">
        <v>536</v>
      </c>
      <c r="U324" s="1">
        <v>799.45680000000004</v>
      </c>
      <c r="W324" s="4" t="s">
        <v>536</v>
      </c>
      <c r="X324" s="1">
        <v>26.400999999999996</v>
      </c>
    </row>
    <row r="325" spans="5:24" x14ac:dyDescent="0.25">
      <c r="E325" s="4" t="s">
        <v>1883</v>
      </c>
      <c r="F325" s="1">
        <v>3.9512</v>
      </c>
      <c r="T325" s="4" t="s">
        <v>1684</v>
      </c>
      <c r="U325" s="1">
        <v>4.4189999999999996</v>
      </c>
      <c r="W325" s="4" t="s">
        <v>1684</v>
      </c>
      <c r="X325" s="1">
        <v>-3.3879000000000001</v>
      </c>
    </row>
    <row r="326" spans="5:24" x14ac:dyDescent="0.25">
      <c r="E326" s="4" t="s">
        <v>1431</v>
      </c>
      <c r="F326" s="1">
        <v>23.384</v>
      </c>
      <c r="T326" s="4" t="s">
        <v>870</v>
      </c>
      <c r="U326" s="1">
        <v>87.38</v>
      </c>
      <c r="W326" s="4" t="s">
        <v>870</v>
      </c>
      <c r="X326" s="1">
        <v>37.6586</v>
      </c>
    </row>
    <row r="327" spans="5:24" x14ac:dyDescent="0.25">
      <c r="E327" s="4" t="s">
        <v>170</v>
      </c>
      <c r="F327" s="1">
        <v>-34.7254</v>
      </c>
      <c r="T327" s="4" t="s">
        <v>303</v>
      </c>
      <c r="U327" s="1">
        <v>314.36399999999992</v>
      </c>
      <c r="W327" s="4" t="s">
        <v>303</v>
      </c>
      <c r="X327" s="1">
        <v>-68.416199999999989</v>
      </c>
    </row>
    <row r="328" spans="5:24" x14ac:dyDescent="0.25">
      <c r="E328" s="4" t="s">
        <v>637</v>
      </c>
      <c r="F328" s="1">
        <v>4.9686000000000003</v>
      </c>
      <c r="T328" s="4" t="s">
        <v>2004</v>
      </c>
      <c r="U328" s="1">
        <v>307800.32909999992</v>
      </c>
      <c r="W328" s="4" t="s">
        <v>2004</v>
      </c>
      <c r="X328" s="1">
        <v>24962.700499999999</v>
      </c>
    </row>
    <row r="329" spans="5:24" x14ac:dyDescent="0.25">
      <c r="E329" s="4" t="s">
        <v>1598</v>
      </c>
      <c r="F329" s="1">
        <v>-24.391999999999999</v>
      </c>
    </row>
    <row r="330" spans="5:24" x14ac:dyDescent="0.25">
      <c r="E330" s="4" t="s">
        <v>1034</v>
      </c>
      <c r="F330" s="1">
        <v>16.997499999999999</v>
      </c>
    </row>
    <row r="331" spans="5:24" x14ac:dyDescent="0.25">
      <c r="E331" s="4" t="s">
        <v>464</v>
      </c>
      <c r="F331" s="1">
        <v>158.6097</v>
      </c>
    </row>
    <row r="332" spans="5:24" x14ac:dyDescent="0.25">
      <c r="E332" s="4" t="s">
        <v>315</v>
      </c>
      <c r="F332" s="1">
        <v>44.476799999999997</v>
      </c>
    </row>
    <row r="333" spans="5:24" x14ac:dyDescent="0.25">
      <c r="E333" s="4" t="s">
        <v>976</v>
      </c>
      <c r="F333" s="1">
        <v>-3.5987999999999998</v>
      </c>
    </row>
    <row r="334" spans="5:24" x14ac:dyDescent="0.25">
      <c r="E334" s="4" t="s">
        <v>1395</v>
      </c>
      <c r="F334" s="1">
        <v>17.098199999999999</v>
      </c>
    </row>
    <row r="335" spans="5:24" x14ac:dyDescent="0.25">
      <c r="E335" s="4" t="s">
        <v>1758</v>
      </c>
      <c r="F335" s="1">
        <v>-4.0216000000000003</v>
      </c>
    </row>
    <row r="336" spans="5:24" x14ac:dyDescent="0.25">
      <c r="E336" s="4" t="s">
        <v>1621</v>
      </c>
      <c r="F336" s="1">
        <v>1.9024000000000001</v>
      </c>
    </row>
    <row r="337" spans="5:6" x14ac:dyDescent="0.25">
      <c r="E337" s="4" t="s">
        <v>382</v>
      </c>
      <c r="F337" s="1">
        <v>3.7392000000000003</v>
      </c>
    </row>
    <row r="338" spans="5:6" x14ac:dyDescent="0.25">
      <c r="E338" s="4" t="s">
        <v>1362</v>
      </c>
      <c r="F338" s="1">
        <v>1.476</v>
      </c>
    </row>
    <row r="339" spans="5:6" x14ac:dyDescent="0.25">
      <c r="E339" s="4" t="s">
        <v>1492</v>
      </c>
      <c r="F339" s="1">
        <v>0.25919999999999999</v>
      </c>
    </row>
    <row r="340" spans="5:6" x14ac:dyDescent="0.25">
      <c r="E340" s="4" t="s">
        <v>527</v>
      </c>
      <c r="F340" s="1">
        <v>25.792000000000002</v>
      </c>
    </row>
    <row r="341" spans="5:6" x14ac:dyDescent="0.25">
      <c r="E341" s="4" t="s">
        <v>73</v>
      </c>
      <c r="F341" s="1">
        <v>8.6884000000000015</v>
      </c>
    </row>
    <row r="342" spans="5:6" x14ac:dyDescent="0.25">
      <c r="E342" s="4" t="s">
        <v>1158</v>
      </c>
      <c r="F342" s="1">
        <v>5.0111999999999997</v>
      </c>
    </row>
    <row r="343" spans="5:6" x14ac:dyDescent="0.25">
      <c r="E343" s="4" t="s">
        <v>1676</v>
      </c>
      <c r="F343" s="1">
        <v>28.9664</v>
      </c>
    </row>
    <row r="344" spans="5:6" x14ac:dyDescent="0.25">
      <c r="E344" s="4" t="s">
        <v>1932</v>
      </c>
      <c r="F344" s="1">
        <v>0.33360000000000001</v>
      </c>
    </row>
    <row r="345" spans="5:6" x14ac:dyDescent="0.25">
      <c r="E345" s="4" t="s">
        <v>1051</v>
      </c>
      <c r="F345" s="1">
        <v>0.59040000000000004</v>
      </c>
    </row>
    <row r="346" spans="5:6" x14ac:dyDescent="0.25">
      <c r="E346" s="4" t="s">
        <v>944</v>
      </c>
      <c r="F346" s="1">
        <v>2.6964000000000001</v>
      </c>
    </row>
    <row r="347" spans="5:6" x14ac:dyDescent="0.25">
      <c r="E347" s="4" t="s">
        <v>1303</v>
      </c>
      <c r="F347" s="1">
        <v>25.792000000000002</v>
      </c>
    </row>
    <row r="348" spans="5:6" x14ac:dyDescent="0.25">
      <c r="E348" s="4" t="s">
        <v>1861</v>
      </c>
      <c r="F348" s="1">
        <v>1.4456</v>
      </c>
    </row>
    <row r="349" spans="5:6" x14ac:dyDescent="0.25">
      <c r="E349" s="4" t="s">
        <v>627</v>
      </c>
      <c r="F349" s="1">
        <v>2.3814000000000002</v>
      </c>
    </row>
    <row r="350" spans="5:6" x14ac:dyDescent="0.25">
      <c r="E350" s="4" t="s">
        <v>699</v>
      </c>
      <c r="F350" s="1">
        <v>1.7115</v>
      </c>
    </row>
    <row r="351" spans="5:6" x14ac:dyDescent="0.25">
      <c r="E351" s="4" t="s">
        <v>1939</v>
      </c>
      <c r="F351" s="1">
        <v>3.1095999999999999</v>
      </c>
    </row>
    <row r="352" spans="5:6" x14ac:dyDescent="0.25">
      <c r="E352" s="4" t="s">
        <v>968</v>
      </c>
      <c r="F352" s="1">
        <v>10.6288</v>
      </c>
    </row>
    <row r="353" spans="5:6" x14ac:dyDescent="0.25">
      <c r="E353" s="4" t="s">
        <v>570</v>
      </c>
      <c r="F353" s="1">
        <v>3.5802</v>
      </c>
    </row>
    <row r="354" spans="5:6" x14ac:dyDescent="0.25">
      <c r="E354" s="4" t="s">
        <v>983</v>
      </c>
      <c r="F354" s="1">
        <v>2.0415999999999999</v>
      </c>
    </row>
    <row r="355" spans="5:6" x14ac:dyDescent="0.25">
      <c r="E355" s="4" t="s">
        <v>1181</v>
      </c>
      <c r="F355" s="1">
        <v>2.0649999999999999</v>
      </c>
    </row>
    <row r="356" spans="5:6" x14ac:dyDescent="0.25">
      <c r="E356" s="4" t="s">
        <v>1813</v>
      </c>
      <c r="F356" s="1">
        <v>16.170000000000002</v>
      </c>
    </row>
    <row r="357" spans="5:6" x14ac:dyDescent="0.25">
      <c r="E357" s="4" t="s">
        <v>1697</v>
      </c>
      <c r="F357" s="1">
        <v>0.38219999999999998</v>
      </c>
    </row>
    <row r="358" spans="5:6" x14ac:dyDescent="0.25">
      <c r="E358" s="4" t="s">
        <v>1334</v>
      </c>
      <c r="F358" s="1">
        <v>0.59040000000000004</v>
      </c>
    </row>
    <row r="359" spans="5:6" x14ac:dyDescent="0.25">
      <c r="E359" s="4" t="s">
        <v>1155</v>
      </c>
      <c r="F359" s="1">
        <v>0.59919999999999995</v>
      </c>
    </row>
    <row r="360" spans="5:6" x14ac:dyDescent="0.25">
      <c r="E360" s="4" t="s">
        <v>799</v>
      </c>
      <c r="F360" s="1">
        <v>4.8384</v>
      </c>
    </row>
    <row r="361" spans="5:6" x14ac:dyDescent="0.25">
      <c r="E361" s="4" t="s">
        <v>77</v>
      </c>
      <c r="F361" s="1">
        <v>5.0595999999999997</v>
      </c>
    </row>
    <row r="362" spans="5:6" x14ac:dyDescent="0.25">
      <c r="E362" s="4" t="s">
        <v>418</v>
      </c>
      <c r="F362" s="1">
        <v>1.1160000000000001</v>
      </c>
    </row>
    <row r="363" spans="5:6" x14ac:dyDescent="0.25">
      <c r="E363" s="4" t="s">
        <v>643</v>
      </c>
      <c r="F363" s="1">
        <v>3.504</v>
      </c>
    </row>
    <row r="364" spans="5:6" x14ac:dyDescent="0.25">
      <c r="E364" s="4" t="s">
        <v>252</v>
      </c>
      <c r="F364" s="1">
        <v>3.5802</v>
      </c>
    </row>
    <row r="365" spans="5:6" x14ac:dyDescent="0.25">
      <c r="E365" s="4" t="s">
        <v>1343</v>
      </c>
      <c r="F365" s="1">
        <v>0.47520000000000001</v>
      </c>
    </row>
    <row r="366" spans="5:6" x14ac:dyDescent="0.25">
      <c r="E366" s="4" t="s">
        <v>1670</v>
      </c>
      <c r="F366" s="1">
        <v>6.9383999999999997</v>
      </c>
    </row>
    <row r="367" spans="5:6" x14ac:dyDescent="0.25">
      <c r="E367" s="4" t="s">
        <v>709</v>
      </c>
      <c r="F367" s="1">
        <v>217.5864</v>
      </c>
    </row>
    <row r="368" spans="5:6" x14ac:dyDescent="0.25">
      <c r="E368" s="4" t="s">
        <v>1184</v>
      </c>
      <c r="F368" s="1">
        <v>11.2812</v>
      </c>
    </row>
    <row r="369" spans="5:6" x14ac:dyDescent="0.25">
      <c r="E369" s="4" t="s">
        <v>1294</v>
      </c>
      <c r="F369" s="1">
        <v>9.7327999999999992</v>
      </c>
    </row>
    <row r="370" spans="5:6" x14ac:dyDescent="0.25">
      <c r="E370" s="4" t="s">
        <v>1383</v>
      </c>
      <c r="F370" s="1">
        <v>150.98400000000001</v>
      </c>
    </row>
    <row r="371" spans="5:6" x14ac:dyDescent="0.25">
      <c r="E371" s="4" t="s">
        <v>1116</v>
      </c>
      <c r="F371" s="1">
        <v>-19.775700000000004</v>
      </c>
    </row>
    <row r="372" spans="5:6" x14ac:dyDescent="0.25">
      <c r="E372" s="4" t="s">
        <v>1928</v>
      </c>
      <c r="F372" s="1">
        <v>38.997500000000002</v>
      </c>
    </row>
    <row r="373" spans="5:6" x14ac:dyDescent="0.25">
      <c r="E373" s="4" t="s">
        <v>577</v>
      </c>
      <c r="F373" s="1">
        <v>-10.115600000000001</v>
      </c>
    </row>
    <row r="374" spans="5:6" x14ac:dyDescent="0.25">
      <c r="E374" s="4" t="s">
        <v>647</v>
      </c>
      <c r="F374" s="1">
        <v>28.796399999999998</v>
      </c>
    </row>
    <row r="375" spans="5:6" x14ac:dyDescent="0.25">
      <c r="E375" s="4" t="s">
        <v>797</v>
      </c>
      <c r="F375" s="1">
        <v>39.577999999999996</v>
      </c>
    </row>
    <row r="376" spans="5:6" x14ac:dyDescent="0.25">
      <c r="E376" s="4" t="s">
        <v>1141</v>
      </c>
      <c r="F376" s="1">
        <v>148.49459999999999</v>
      </c>
    </row>
    <row r="377" spans="5:6" x14ac:dyDescent="0.25">
      <c r="E377" s="4" t="s">
        <v>1722</v>
      </c>
      <c r="F377" s="1">
        <v>30.238399999999999</v>
      </c>
    </row>
    <row r="378" spans="5:6" x14ac:dyDescent="0.25">
      <c r="E378" s="4" t="s">
        <v>360</v>
      </c>
      <c r="F378" s="1">
        <v>140.624</v>
      </c>
    </row>
    <row r="379" spans="5:6" x14ac:dyDescent="0.25">
      <c r="E379" s="4" t="s">
        <v>1997</v>
      </c>
      <c r="F379" s="1">
        <v>-2.9940000000000002</v>
      </c>
    </row>
    <row r="380" spans="5:6" x14ac:dyDescent="0.25">
      <c r="E380" s="4" t="s">
        <v>1837</v>
      </c>
      <c r="F380" s="1">
        <v>43.164000000000001</v>
      </c>
    </row>
    <row r="381" spans="5:6" x14ac:dyDescent="0.25">
      <c r="E381" s="4" t="s">
        <v>1260</v>
      </c>
      <c r="F381" s="1">
        <v>14.9925</v>
      </c>
    </row>
    <row r="382" spans="5:6" x14ac:dyDescent="0.25">
      <c r="E382" s="4" t="s">
        <v>1702</v>
      </c>
      <c r="F382" s="1">
        <v>-1.1996</v>
      </c>
    </row>
    <row r="383" spans="5:6" x14ac:dyDescent="0.25">
      <c r="E383" s="4" t="s">
        <v>1245</v>
      </c>
      <c r="F383" s="1">
        <v>21</v>
      </c>
    </row>
    <row r="384" spans="5:6" x14ac:dyDescent="0.25">
      <c r="E384" s="4" t="s">
        <v>1535</v>
      </c>
      <c r="F384" s="1">
        <v>-2.0364</v>
      </c>
    </row>
    <row r="385" spans="5:6" x14ac:dyDescent="0.25">
      <c r="E385" s="4" t="s">
        <v>1850</v>
      </c>
      <c r="F385" s="1">
        <v>11.102399999999999</v>
      </c>
    </row>
    <row r="386" spans="5:6" x14ac:dyDescent="0.25">
      <c r="E386" s="4" t="s">
        <v>885</v>
      </c>
      <c r="F386" s="1">
        <v>8.0464000000000002</v>
      </c>
    </row>
    <row r="387" spans="5:6" x14ac:dyDescent="0.25">
      <c r="E387" s="4" t="s">
        <v>202</v>
      </c>
      <c r="F387" s="1">
        <v>17.601600000000001</v>
      </c>
    </row>
    <row r="388" spans="5:6" x14ac:dyDescent="0.25">
      <c r="E388" s="4" t="s">
        <v>1237</v>
      </c>
      <c r="F388" s="1">
        <v>3.5741999999999998</v>
      </c>
    </row>
    <row r="389" spans="5:6" x14ac:dyDescent="0.25">
      <c r="E389" s="4" t="s">
        <v>320</v>
      </c>
      <c r="F389" s="1">
        <v>6.5</v>
      </c>
    </row>
    <row r="390" spans="5:6" x14ac:dyDescent="0.25">
      <c r="E390" s="4" t="s">
        <v>1903</v>
      </c>
      <c r="F390" s="1">
        <v>34.698300000000003</v>
      </c>
    </row>
    <row r="391" spans="5:6" x14ac:dyDescent="0.25">
      <c r="E391" s="4" t="s">
        <v>1064</v>
      </c>
      <c r="F391" s="1">
        <v>12.8583</v>
      </c>
    </row>
    <row r="392" spans="5:6" x14ac:dyDescent="0.25">
      <c r="E392" s="4" t="s">
        <v>1846</v>
      </c>
      <c r="F392" s="1">
        <v>6.0659999999999998</v>
      </c>
    </row>
    <row r="393" spans="5:6" x14ac:dyDescent="0.25">
      <c r="E393" s="4" t="s">
        <v>1271</v>
      </c>
      <c r="F393" s="1">
        <v>-28.171800000000001</v>
      </c>
    </row>
    <row r="394" spans="5:6" x14ac:dyDescent="0.25">
      <c r="E394" s="4" t="s">
        <v>825</v>
      </c>
      <c r="F394" s="1">
        <v>113.38239999999999</v>
      </c>
    </row>
    <row r="395" spans="5:6" x14ac:dyDescent="0.25">
      <c r="E395" s="4" t="s">
        <v>1968</v>
      </c>
      <c r="F395" s="1">
        <v>15.0984</v>
      </c>
    </row>
    <row r="396" spans="5:6" x14ac:dyDescent="0.25">
      <c r="E396" s="4" t="s">
        <v>1824</v>
      </c>
      <c r="F396" s="1">
        <v>16.2486</v>
      </c>
    </row>
    <row r="397" spans="5:6" x14ac:dyDescent="0.25">
      <c r="E397" s="4" t="s">
        <v>1615</v>
      </c>
      <c r="F397" s="1">
        <v>1.3068</v>
      </c>
    </row>
    <row r="398" spans="5:6" x14ac:dyDescent="0.25">
      <c r="E398" s="4" t="s">
        <v>872</v>
      </c>
      <c r="F398" s="1">
        <v>34.907400000000003</v>
      </c>
    </row>
    <row r="399" spans="5:6" x14ac:dyDescent="0.25">
      <c r="E399" s="4" t="s">
        <v>946</v>
      </c>
      <c r="F399" s="1">
        <v>11.151</v>
      </c>
    </row>
    <row r="400" spans="5:6" x14ac:dyDescent="0.25">
      <c r="E400" s="4" t="s">
        <v>1618</v>
      </c>
      <c r="F400" s="1">
        <v>13.817599999999999</v>
      </c>
    </row>
    <row r="401" spans="5:6" x14ac:dyDescent="0.25">
      <c r="E401" s="4" t="s">
        <v>633</v>
      </c>
      <c r="F401" s="1">
        <v>-0.64399999999999991</v>
      </c>
    </row>
    <row r="402" spans="5:6" x14ac:dyDescent="0.25">
      <c r="E402" s="4" t="s">
        <v>1762</v>
      </c>
      <c r="F402" s="1">
        <v>-299.8116</v>
      </c>
    </row>
    <row r="403" spans="5:6" x14ac:dyDescent="0.25">
      <c r="E403" s="4" t="s">
        <v>745</v>
      </c>
      <c r="F403" s="1">
        <v>6.3684000000000003</v>
      </c>
    </row>
    <row r="404" spans="5:6" x14ac:dyDescent="0.25">
      <c r="E404" s="4" t="s">
        <v>207</v>
      </c>
      <c r="F404" s="1">
        <v>10.909599999999999</v>
      </c>
    </row>
    <row r="405" spans="5:6" x14ac:dyDescent="0.25">
      <c r="E405" s="4" t="s">
        <v>1169</v>
      </c>
      <c r="F405" s="1">
        <v>3.6631999999999998</v>
      </c>
    </row>
    <row r="406" spans="5:6" x14ac:dyDescent="0.25">
      <c r="E406" s="4" t="s">
        <v>712</v>
      </c>
      <c r="F406" s="1">
        <v>87.368400000000008</v>
      </c>
    </row>
    <row r="407" spans="5:6" x14ac:dyDescent="0.25">
      <c r="E407" s="4" t="s">
        <v>672</v>
      </c>
      <c r="F407" s="1">
        <v>272.79199999999997</v>
      </c>
    </row>
    <row r="408" spans="5:6" x14ac:dyDescent="0.25">
      <c r="E408" s="4" t="s">
        <v>1072</v>
      </c>
      <c r="F408" s="1">
        <v>11.166399999999999</v>
      </c>
    </row>
    <row r="409" spans="5:6" x14ac:dyDescent="0.25">
      <c r="E409" s="4" t="s">
        <v>1857</v>
      </c>
      <c r="F409" s="1">
        <v>92.393600000000006</v>
      </c>
    </row>
    <row r="410" spans="5:6" x14ac:dyDescent="0.25">
      <c r="E410" s="4" t="s">
        <v>1734</v>
      </c>
      <c r="F410" s="1">
        <v>18.715</v>
      </c>
    </row>
    <row r="411" spans="5:6" x14ac:dyDescent="0.25">
      <c r="E411" s="4" t="s">
        <v>1851</v>
      </c>
      <c r="F411" s="1">
        <v>527.98400000000004</v>
      </c>
    </row>
    <row r="412" spans="5:6" x14ac:dyDescent="0.25">
      <c r="E412" s="4" t="s">
        <v>832</v>
      </c>
      <c r="F412" s="1">
        <v>40.687800000000003</v>
      </c>
    </row>
    <row r="413" spans="5:6" x14ac:dyDescent="0.25">
      <c r="E413" s="4" t="s">
        <v>173</v>
      </c>
      <c r="F413" s="1">
        <v>6.7965999999999998</v>
      </c>
    </row>
    <row r="414" spans="5:6" x14ac:dyDescent="0.25">
      <c r="E414" s="4" t="s">
        <v>1911</v>
      </c>
      <c r="F414" s="1">
        <v>86.385599999999997</v>
      </c>
    </row>
    <row r="415" spans="5:6" x14ac:dyDescent="0.25">
      <c r="E415" s="4" t="s">
        <v>205</v>
      </c>
      <c r="F415" s="1">
        <v>163.1808</v>
      </c>
    </row>
    <row r="416" spans="5:6" x14ac:dyDescent="0.25">
      <c r="E416" s="4" t="s">
        <v>1827</v>
      </c>
      <c r="F416" s="1">
        <v>53.994599999999998</v>
      </c>
    </row>
    <row r="417" spans="5:6" x14ac:dyDescent="0.25">
      <c r="E417" s="4" t="s">
        <v>1323</v>
      </c>
      <c r="F417" s="1">
        <v>69.992999999999995</v>
      </c>
    </row>
    <row r="418" spans="5:6" x14ac:dyDescent="0.25">
      <c r="E418" s="4" t="s">
        <v>1330</v>
      </c>
      <c r="F418" s="1">
        <v>46.184600000000003</v>
      </c>
    </row>
    <row r="419" spans="5:6" x14ac:dyDescent="0.25">
      <c r="E419" s="4" t="s">
        <v>199</v>
      </c>
      <c r="F419" s="1">
        <v>22.3965</v>
      </c>
    </row>
    <row r="420" spans="5:6" x14ac:dyDescent="0.25">
      <c r="E420" s="4" t="s">
        <v>1522</v>
      </c>
      <c r="F420" s="1">
        <v>21.997800000000002</v>
      </c>
    </row>
    <row r="421" spans="5:6" x14ac:dyDescent="0.25">
      <c r="E421" s="4" t="s">
        <v>1606</v>
      </c>
      <c r="F421" s="1">
        <v>118.983</v>
      </c>
    </row>
    <row r="422" spans="5:6" x14ac:dyDescent="0.25">
      <c r="E422" s="4" t="s">
        <v>1868</v>
      </c>
      <c r="F422" s="1">
        <v>176.78639999999999</v>
      </c>
    </row>
    <row r="423" spans="5:6" x14ac:dyDescent="0.25">
      <c r="E423" s="4" t="s">
        <v>1452</v>
      </c>
      <c r="F423" s="1">
        <v>200.8638</v>
      </c>
    </row>
    <row r="424" spans="5:6" x14ac:dyDescent="0.25">
      <c r="E424" s="4" t="s">
        <v>1136</v>
      </c>
      <c r="F424" s="1">
        <v>26.396699999999999</v>
      </c>
    </row>
    <row r="425" spans="5:6" x14ac:dyDescent="0.25">
      <c r="E425" s="4" t="s">
        <v>1497</v>
      </c>
      <c r="F425" s="1">
        <v>52.497900000000001</v>
      </c>
    </row>
    <row r="426" spans="5:6" x14ac:dyDescent="0.25">
      <c r="E426" s="4" t="s">
        <v>1126</v>
      </c>
      <c r="F426" s="1">
        <v>14.724</v>
      </c>
    </row>
    <row r="427" spans="5:6" x14ac:dyDescent="0.25">
      <c r="E427" s="4" t="s">
        <v>1234</v>
      </c>
      <c r="F427" s="1">
        <v>26.9468</v>
      </c>
    </row>
    <row r="428" spans="5:6" x14ac:dyDescent="0.25">
      <c r="E428" s="4" t="s">
        <v>895</v>
      </c>
      <c r="F428" s="1">
        <v>10.357200000000001</v>
      </c>
    </row>
    <row r="429" spans="5:6" x14ac:dyDescent="0.25">
      <c r="E429" s="4" t="s">
        <v>368</v>
      </c>
      <c r="F429" s="1">
        <v>211.12959999999998</v>
      </c>
    </row>
    <row r="430" spans="5:6" x14ac:dyDescent="0.25">
      <c r="E430" s="4" t="s">
        <v>844</v>
      </c>
      <c r="F430" s="1">
        <v>23.109300000000001</v>
      </c>
    </row>
    <row r="431" spans="5:6" x14ac:dyDescent="0.25">
      <c r="E431" s="4" t="s">
        <v>822</v>
      </c>
      <c r="F431" s="1">
        <v>8.5568000000000008</v>
      </c>
    </row>
    <row r="432" spans="5:6" x14ac:dyDescent="0.25">
      <c r="E432" s="4" t="s">
        <v>780</v>
      </c>
      <c r="F432" s="1">
        <v>34.892800000000001</v>
      </c>
    </row>
    <row r="433" spans="5:6" x14ac:dyDescent="0.25">
      <c r="E433" s="4" t="s">
        <v>604</v>
      </c>
      <c r="F433" s="1">
        <v>38.086399999999998</v>
      </c>
    </row>
    <row r="434" spans="5:6" x14ac:dyDescent="0.25">
      <c r="E434" s="4" t="s">
        <v>1133</v>
      </c>
      <c r="F434" s="1">
        <v>6.1040000000000001</v>
      </c>
    </row>
    <row r="435" spans="5:6" x14ac:dyDescent="0.25">
      <c r="E435" s="4" t="s">
        <v>355</v>
      </c>
      <c r="F435" s="1">
        <v>169.99899999999997</v>
      </c>
    </row>
    <row r="436" spans="5:6" x14ac:dyDescent="0.25">
      <c r="E436" s="4" t="s">
        <v>457</v>
      </c>
      <c r="F436" s="1">
        <v>-337.63799999999998</v>
      </c>
    </row>
    <row r="437" spans="5:6" x14ac:dyDescent="0.25">
      <c r="E437" s="4" t="s">
        <v>514</v>
      </c>
      <c r="F437" s="1">
        <v>287.14859999999999</v>
      </c>
    </row>
    <row r="438" spans="5:6" x14ac:dyDescent="0.25">
      <c r="E438" s="4" t="s">
        <v>868</v>
      </c>
      <c r="F438" s="1">
        <v>-55.668599999999998</v>
      </c>
    </row>
    <row r="439" spans="5:6" x14ac:dyDescent="0.25">
      <c r="E439" s="4" t="s">
        <v>1908</v>
      </c>
      <c r="F439" s="1">
        <v>-147.8655</v>
      </c>
    </row>
    <row r="440" spans="5:6" x14ac:dyDescent="0.25">
      <c r="E440" s="4" t="s">
        <v>1118</v>
      </c>
      <c r="F440" s="1">
        <v>63.686</v>
      </c>
    </row>
    <row r="441" spans="5:6" x14ac:dyDescent="0.25">
      <c r="E441" s="4" t="s">
        <v>921</v>
      </c>
      <c r="F441" s="1">
        <v>24.3276</v>
      </c>
    </row>
    <row r="442" spans="5:6" x14ac:dyDescent="0.25">
      <c r="E442" s="4" t="s">
        <v>836</v>
      </c>
      <c r="F442" s="1">
        <v>21.457000000000001</v>
      </c>
    </row>
    <row r="443" spans="5:6" x14ac:dyDescent="0.25">
      <c r="E443" s="4" t="s">
        <v>719</v>
      </c>
      <c r="F443" s="1">
        <v>-13.871700000000001</v>
      </c>
    </row>
    <row r="444" spans="5:6" x14ac:dyDescent="0.25">
      <c r="E444" s="4" t="s">
        <v>1949</v>
      </c>
      <c r="F444" s="1">
        <v>148.10640000000001</v>
      </c>
    </row>
    <row r="445" spans="5:6" x14ac:dyDescent="0.25">
      <c r="E445" s="4" t="s">
        <v>1586</v>
      </c>
      <c r="F445" s="1">
        <v>10.202999999999999</v>
      </c>
    </row>
    <row r="446" spans="5:6" x14ac:dyDescent="0.25">
      <c r="E446" s="4" t="s">
        <v>1273</v>
      </c>
      <c r="F446" s="1">
        <v>-8.5068000000000001</v>
      </c>
    </row>
    <row r="447" spans="5:6" x14ac:dyDescent="0.25">
      <c r="E447" s="4" t="s">
        <v>993</v>
      </c>
      <c r="F447" s="1">
        <v>120.37200000000001</v>
      </c>
    </row>
    <row r="448" spans="5:6" x14ac:dyDescent="0.25">
      <c r="E448" s="4" t="s">
        <v>1546</v>
      </c>
      <c r="F448" s="1">
        <v>-0.9012</v>
      </c>
    </row>
    <row r="449" spans="5:6" x14ac:dyDescent="0.25">
      <c r="E449" s="4" t="s">
        <v>1649</v>
      </c>
      <c r="F449" s="1">
        <v>12.96</v>
      </c>
    </row>
    <row r="450" spans="5:6" x14ac:dyDescent="0.25">
      <c r="E450" s="4" t="s">
        <v>500</v>
      </c>
      <c r="F450" s="1">
        <v>56.566200000000002</v>
      </c>
    </row>
    <row r="451" spans="5:6" x14ac:dyDescent="0.25">
      <c r="E451" s="4" t="s">
        <v>1953</v>
      </c>
      <c r="F451" s="1">
        <v>41.496000000000002</v>
      </c>
    </row>
    <row r="452" spans="5:6" x14ac:dyDescent="0.25">
      <c r="E452" s="4" t="s">
        <v>1286</v>
      </c>
      <c r="F452" s="1">
        <v>361.29939999999999</v>
      </c>
    </row>
    <row r="453" spans="5:6" x14ac:dyDescent="0.25">
      <c r="E453" s="4" t="s">
        <v>270</v>
      </c>
      <c r="F453" s="1">
        <v>-131.12</v>
      </c>
    </row>
    <row r="454" spans="5:6" x14ac:dyDescent="0.25">
      <c r="E454" s="4" t="s">
        <v>701</v>
      </c>
      <c r="F454" s="1">
        <v>38.7072</v>
      </c>
    </row>
    <row r="455" spans="5:6" x14ac:dyDescent="0.25">
      <c r="E455" s="4" t="s">
        <v>1076</v>
      </c>
      <c r="F455" s="1">
        <v>84.572800000000001</v>
      </c>
    </row>
    <row r="456" spans="5:6" x14ac:dyDescent="0.25">
      <c r="E456" s="4" t="s">
        <v>1310</v>
      </c>
      <c r="F456" s="1">
        <v>10.805400000000001</v>
      </c>
    </row>
    <row r="457" spans="5:6" x14ac:dyDescent="0.25">
      <c r="E457" s="4" t="s">
        <v>165</v>
      </c>
      <c r="F457" s="1">
        <v>62.807499999999997</v>
      </c>
    </row>
    <row r="458" spans="5:6" x14ac:dyDescent="0.25">
      <c r="E458" s="4" t="s">
        <v>1876</v>
      </c>
      <c r="F458" s="1">
        <v>9.5991999999999997</v>
      </c>
    </row>
    <row r="459" spans="5:6" x14ac:dyDescent="0.25">
      <c r="E459" s="4" t="s">
        <v>1686</v>
      </c>
      <c r="F459" s="1">
        <v>51.497500000000002</v>
      </c>
    </row>
    <row r="460" spans="5:6" x14ac:dyDescent="0.25">
      <c r="E460" s="4" t="s">
        <v>1332</v>
      </c>
      <c r="F460" s="1">
        <v>263.17200000000003</v>
      </c>
    </row>
    <row r="461" spans="5:6" x14ac:dyDescent="0.25">
      <c r="E461" s="4" t="s">
        <v>1955</v>
      </c>
      <c r="F461" s="1">
        <v>9.25</v>
      </c>
    </row>
    <row r="462" spans="5:6" x14ac:dyDescent="0.25">
      <c r="E462" s="4" t="s">
        <v>1267</v>
      </c>
      <c r="F462" s="1">
        <v>16.598400000000002</v>
      </c>
    </row>
    <row r="463" spans="5:6" x14ac:dyDescent="0.25">
      <c r="E463" s="4" t="s">
        <v>517</v>
      </c>
      <c r="F463" s="1">
        <v>-12.9122</v>
      </c>
    </row>
    <row r="464" spans="5:6" x14ac:dyDescent="0.25">
      <c r="E464" s="4" t="s">
        <v>1264</v>
      </c>
      <c r="F464" s="1">
        <v>102.5772</v>
      </c>
    </row>
    <row r="465" spans="5:6" x14ac:dyDescent="0.25">
      <c r="E465" s="4" t="s">
        <v>1740</v>
      </c>
      <c r="F465" s="1">
        <v>10.3408</v>
      </c>
    </row>
    <row r="466" spans="5:6" x14ac:dyDescent="0.25">
      <c r="E466" s="4" t="s">
        <v>1588</v>
      </c>
      <c r="F466" s="1">
        <v>9.7439999999999998</v>
      </c>
    </row>
    <row r="467" spans="5:6" x14ac:dyDescent="0.25">
      <c r="E467" s="4" t="s">
        <v>545</v>
      </c>
      <c r="F467" s="1">
        <v>1.9089</v>
      </c>
    </row>
    <row r="468" spans="5:6" x14ac:dyDescent="0.25">
      <c r="E468" s="4" t="s">
        <v>1449</v>
      </c>
      <c r="F468" s="1">
        <v>2.2559999999999998</v>
      </c>
    </row>
    <row r="469" spans="5:6" x14ac:dyDescent="0.25">
      <c r="E469" s="4" t="s">
        <v>1292</v>
      </c>
      <c r="F469" s="1">
        <v>-3.0190000000000001</v>
      </c>
    </row>
    <row r="470" spans="5:6" x14ac:dyDescent="0.25">
      <c r="E470" s="4" t="s">
        <v>120</v>
      </c>
      <c r="F470" s="1">
        <v>4.95</v>
      </c>
    </row>
    <row r="471" spans="5:6" x14ac:dyDescent="0.25">
      <c r="E471" s="4" t="s">
        <v>680</v>
      </c>
      <c r="F471" s="1">
        <v>54.333199999999998</v>
      </c>
    </row>
    <row r="472" spans="5:6" x14ac:dyDescent="0.25">
      <c r="E472" s="4" t="s">
        <v>714</v>
      </c>
      <c r="F472" s="1">
        <v>49.872</v>
      </c>
    </row>
    <row r="473" spans="5:6" x14ac:dyDescent="0.25">
      <c r="E473" s="4" t="s">
        <v>1871</v>
      </c>
      <c r="F473" s="1">
        <v>45.293999999999997</v>
      </c>
    </row>
    <row r="474" spans="5:6" x14ac:dyDescent="0.25">
      <c r="E474" s="4" t="s">
        <v>1464</v>
      </c>
      <c r="F474" s="1">
        <v>86.165599999999998</v>
      </c>
    </row>
    <row r="475" spans="5:6" x14ac:dyDescent="0.25">
      <c r="E475" s="4" t="s">
        <v>1511</v>
      </c>
      <c r="F475" s="1">
        <v>-6.5670000000000002</v>
      </c>
    </row>
    <row r="476" spans="5:6" x14ac:dyDescent="0.25">
      <c r="E476" s="4" t="s">
        <v>1843</v>
      </c>
      <c r="F476" s="1">
        <v>8.7672000000000008</v>
      </c>
    </row>
    <row r="477" spans="5:6" x14ac:dyDescent="0.25">
      <c r="E477" s="4" t="s">
        <v>404</v>
      </c>
      <c r="F477" s="1">
        <v>108.992</v>
      </c>
    </row>
    <row r="478" spans="5:6" x14ac:dyDescent="0.25">
      <c r="E478" s="4" t="s">
        <v>1596</v>
      </c>
      <c r="F478" s="1">
        <v>331.19099999999997</v>
      </c>
    </row>
    <row r="479" spans="5:6" x14ac:dyDescent="0.25">
      <c r="E479" s="4" t="s">
        <v>1309</v>
      </c>
      <c r="F479" s="1">
        <v>304.99</v>
      </c>
    </row>
    <row r="480" spans="5:6" x14ac:dyDescent="0.25">
      <c r="E480" s="4" t="s">
        <v>1895</v>
      </c>
      <c r="F480" s="1">
        <v>15.525</v>
      </c>
    </row>
    <row r="481" spans="5:6" x14ac:dyDescent="0.25">
      <c r="E481" s="4" t="s">
        <v>640</v>
      </c>
      <c r="F481" s="1">
        <v>-20.136199999999999</v>
      </c>
    </row>
    <row r="482" spans="5:6" x14ac:dyDescent="0.25">
      <c r="E482" s="4" t="s">
        <v>819</v>
      </c>
      <c r="F482" s="1">
        <v>35.880000000000003</v>
      </c>
    </row>
    <row r="483" spans="5:6" x14ac:dyDescent="0.25">
      <c r="E483" s="4" t="s">
        <v>211</v>
      </c>
      <c r="F483" s="1">
        <v>102.54599999999999</v>
      </c>
    </row>
    <row r="484" spans="5:6" x14ac:dyDescent="0.25">
      <c r="E484" s="4" t="s">
        <v>141</v>
      </c>
      <c r="F484" s="1">
        <v>111.30240000000001</v>
      </c>
    </row>
    <row r="485" spans="5:6" x14ac:dyDescent="0.25">
      <c r="E485" s="4" t="s">
        <v>1438</v>
      </c>
      <c r="F485" s="1">
        <v>11.328799999999999</v>
      </c>
    </row>
    <row r="486" spans="5:6" x14ac:dyDescent="0.25">
      <c r="E486" s="4" t="s">
        <v>232</v>
      </c>
      <c r="F486" s="1">
        <v>-67.275000000000006</v>
      </c>
    </row>
    <row r="487" spans="5:6" x14ac:dyDescent="0.25">
      <c r="E487" s="4" t="s">
        <v>732</v>
      </c>
      <c r="F487" s="1">
        <v>24.4758</v>
      </c>
    </row>
    <row r="488" spans="5:6" x14ac:dyDescent="0.25">
      <c r="E488" s="4" t="s">
        <v>866</v>
      </c>
      <c r="F488" s="1">
        <v>19.2454</v>
      </c>
    </row>
    <row r="489" spans="5:6" x14ac:dyDescent="0.25">
      <c r="E489" s="4" t="s">
        <v>1299</v>
      </c>
      <c r="F489" s="1">
        <v>70.721999999999994</v>
      </c>
    </row>
    <row r="490" spans="5:6" x14ac:dyDescent="0.25">
      <c r="E490" s="4" t="s">
        <v>612</v>
      </c>
      <c r="F490" s="1">
        <v>108.6876</v>
      </c>
    </row>
    <row r="491" spans="5:6" x14ac:dyDescent="0.25">
      <c r="E491" s="4" t="s">
        <v>649</v>
      </c>
      <c r="F491" s="1">
        <v>624.64499999999998</v>
      </c>
    </row>
    <row r="492" spans="5:6" x14ac:dyDescent="0.25">
      <c r="E492" s="4" t="s">
        <v>1805</v>
      </c>
      <c r="F492" s="1">
        <v>-1181.2824000000001</v>
      </c>
    </row>
    <row r="493" spans="5:6" x14ac:dyDescent="0.25">
      <c r="E493" s="4" t="s">
        <v>1002</v>
      </c>
      <c r="F493" s="1">
        <v>107.346</v>
      </c>
    </row>
    <row r="494" spans="5:6" x14ac:dyDescent="0.25">
      <c r="E494" s="4" t="s">
        <v>704</v>
      </c>
      <c r="F494" s="1">
        <v>-7.3920000000000003</v>
      </c>
    </row>
    <row r="495" spans="5:6" x14ac:dyDescent="0.25">
      <c r="E495" s="4" t="s">
        <v>1278</v>
      </c>
      <c r="F495" s="1">
        <v>-225.55680000000001</v>
      </c>
    </row>
    <row r="496" spans="5:6" x14ac:dyDescent="0.25">
      <c r="E496" s="4" t="s">
        <v>217</v>
      </c>
      <c r="F496" s="1">
        <v>165.38130000000001</v>
      </c>
    </row>
    <row r="497" spans="5:6" x14ac:dyDescent="0.25">
      <c r="E497" s="4" t="s">
        <v>455</v>
      </c>
      <c r="F497" s="1">
        <v>-157.0095</v>
      </c>
    </row>
    <row r="498" spans="5:6" x14ac:dyDescent="0.25">
      <c r="E498" s="4" t="s">
        <v>1289</v>
      </c>
      <c r="F498" s="1">
        <v>126.729</v>
      </c>
    </row>
    <row r="499" spans="5:6" x14ac:dyDescent="0.25">
      <c r="E499" s="4" t="s">
        <v>1048</v>
      </c>
      <c r="F499" s="1">
        <v>95.585999999999999</v>
      </c>
    </row>
    <row r="500" spans="5:6" x14ac:dyDescent="0.25">
      <c r="E500" s="4" t="s">
        <v>503</v>
      </c>
      <c r="F500" s="1">
        <v>450.52800000000002</v>
      </c>
    </row>
    <row r="501" spans="5:6" x14ac:dyDescent="0.25">
      <c r="E501" s="4" t="s">
        <v>1840</v>
      </c>
      <c r="F501" s="1">
        <v>57.4938</v>
      </c>
    </row>
    <row r="502" spans="5:6" x14ac:dyDescent="0.25">
      <c r="E502" s="4" t="s">
        <v>1893</v>
      </c>
      <c r="F502" s="1">
        <v>88.724999999999994</v>
      </c>
    </row>
    <row r="503" spans="5:6" x14ac:dyDescent="0.25">
      <c r="E503" s="4" t="s">
        <v>773</v>
      </c>
      <c r="F503" s="1">
        <v>113.33500000000001</v>
      </c>
    </row>
    <row r="504" spans="5:6" x14ac:dyDescent="0.25">
      <c r="E504" s="4" t="s">
        <v>1532</v>
      </c>
      <c r="F504" s="1">
        <v>169.18199999999999</v>
      </c>
    </row>
    <row r="505" spans="5:6" x14ac:dyDescent="0.25">
      <c r="E505" s="4" t="s">
        <v>1847</v>
      </c>
      <c r="F505" s="1">
        <v>73.194000000000003</v>
      </c>
    </row>
    <row r="506" spans="5:6" x14ac:dyDescent="0.25">
      <c r="E506" s="4" t="s">
        <v>1008</v>
      </c>
      <c r="F506" s="1">
        <v>19.5184</v>
      </c>
    </row>
    <row r="507" spans="5:6" x14ac:dyDescent="0.25">
      <c r="E507" s="4" t="s">
        <v>1611</v>
      </c>
      <c r="F507" s="1">
        <v>-48.872999999999998</v>
      </c>
    </row>
    <row r="508" spans="5:6" x14ac:dyDescent="0.25">
      <c r="E508" s="4" t="s">
        <v>611</v>
      </c>
      <c r="F508" s="1">
        <v>700.98</v>
      </c>
    </row>
    <row r="509" spans="5:6" x14ac:dyDescent="0.25">
      <c r="E509" s="4" t="s">
        <v>1298</v>
      </c>
      <c r="F509" s="1">
        <v>-465.56799999999998</v>
      </c>
    </row>
    <row r="510" spans="5:6" x14ac:dyDescent="0.25">
      <c r="E510" s="4" t="s">
        <v>1901</v>
      </c>
      <c r="F510" s="1">
        <v>7.1196000000000002</v>
      </c>
    </row>
    <row r="511" spans="5:6" x14ac:dyDescent="0.25">
      <c r="E511" s="4" t="s">
        <v>771</v>
      </c>
      <c r="F511" s="1">
        <v>179.74879999999999</v>
      </c>
    </row>
    <row r="512" spans="5:6" x14ac:dyDescent="0.25">
      <c r="E512" s="4" t="s">
        <v>915</v>
      </c>
      <c r="F512" s="1">
        <v>224.63210000000004</v>
      </c>
    </row>
    <row r="513" spans="5:6" x14ac:dyDescent="0.25">
      <c r="E513" s="4" t="s">
        <v>981</v>
      </c>
      <c r="F513" s="1">
        <v>11.196</v>
      </c>
    </row>
    <row r="514" spans="5:6" x14ac:dyDescent="0.25">
      <c r="E514" s="4" t="s">
        <v>1998</v>
      </c>
      <c r="F514" s="1">
        <v>-213.5574</v>
      </c>
    </row>
    <row r="515" spans="5:6" x14ac:dyDescent="0.25">
      <c r="E515" s="4" t="s">
        <v>1491</v>
      </c>
      <c r="F515" s="1">
        <v>-401.8014</v>
      </c>
    </row>
    <row r="516" spans="5:6" x14ac:dyDescent="0.25">
      <c r="E516" s="4" t="s">
        <v>132</v>
      </c>
      <c r="F516" s="1">
        <v>95.59</v>
      </c>
    </row>
    <row r="517" spans="5:6" x14ac:dyDescent="0.25">
      <c r="E517" s="4" t="s">
        <v>60</v>
      </c>
      <c r="F517" s="1">
        <v>-123.858</v>
      </c>
    </row>
    <row r="518" spans="5:6" x14ac:dyDescent="0.25">
      <c r="E518" s="4" t="s">
        <v>1638</v>
      </c>
      <c r="F518" s="1">
        <v>24.359500000000001</v>
      </c>
    </row>
    <row r="519" spans="5:6" x14ac:dyDescent="0.25">
      <c r="E519" s="4" t="s">
        <v>1415</v>
      </c>
      <c r="F519" s="1">
        <v>14.2758</v>
      </c>
    </row>
    <row r="520" spans="5:6" x14ac:dyDescent="0.25">
      <c r="E520" s="4" t="s">
        <v>1247</v>
      </c>
      <c r="F520" s="1">
        <v>6.5339999999999998</v>
      </c>
    </row>
    <row r="521" spans="5:6" x14ac:dyDescent="0.25">
      <c r="E521" s="4" t="s">
        <v>153</v>
      </c>
      <c r="F521" s="1">
        <v>-168.98699999999999</v>
      </c>
    </row>
    <row r="522" spans="5:6" x14ac:dyDescent="0.25">
      <c r="E522" s="4" t="s">
        <v>1514</v>
      </c>
      <c r="F522" s="1">
        <v>-16.425999999999998</v>
      </c>
    </row>
    <row r="523" spans="5:6" x14ac:dyDescent="0.25">
      <c r="E523" s="4" t="s">
        <v>758</v>
      </c>
      <c r="F523" s="1">
        <v>374.99250000000001</v>
      </c>
    </row>
    <row r="524" spans="5:6" x14ac:dyDescent="0.25">
      <c r="E524" s="4" t="s">
        <v>1563</v>
      </c>
      <c r="F524" s="1">
        <v>119.996</v>
      </c>
    </row>
    <row r="525" spans="5:6" x14ac:dyDescent="0.25">
      <c r="E525" s="4" t="s">
        <v>778</v>
      </c>
      <c r="F525" s="1">
        <v>11.7828</v>
      </c>
    </row>
    <row r="526" spans="5:6" x14ac:dyDescent="0.25">
      <c r="E526" s="4" t="s">
        <v>1277</v>
      </c>
      <c r="F526" s="1">
        <v>-166.32</v>
      </c>
    </row>
    <row r="527" spans="5:6" x14ac:dyDescent="0.25">
      <c r="E527" s="4" t="s">
        <v>1025</v>
      </c>
      <c r="F527" s="1">
        <v>51.75</v>
      </c>
    </row>
    <row r="528" spans="5:6" x14ac:dyDescent="0.25">
      <c r="E528" s="4" t="s">
        <v>1115</v>
      </c>
      <c r="F528" s="1">
        <v>7.85</v>
      </c>
    </row>
    <row r="529" spans="5:6" x14ac:dyDescent="0.25">
      <c r="E529" s="4" t="s">
        <v>1809</v>
      </c>
      <c r="F529" s="1">
        <v>64.2</v>
      </c>
    </row>
    <row r="530" spans="5:6" x14ac:dyDescent="0.25">
      <c r="E530" s="4" t="s">
        <v>1931</v>
      </c>
      <c r="F530" s="1">
        <v>65.963399999999993</v>
      </c>
    </row>
    <row r="531" spans="5:6" x14ac:dyDescent="0.25">
      <c r="E531" s="4" t="s">
        <v>116</v>
      </c>
      <c r="F531" s="1">
        <v>0</v>
      </c>
    </row>
    <row r="532" spans="5:6" x14ac:dyDescent="0.25">
      <c r="E532" s="4" t="s">
        <v>696</v>
      </c>
      <c r="F532" s="1">
        <v>29.436799999999998</v>
      </c>
    </row>
    <row r="533" spans="5:6" x14ac:dyDescent="0.25">
      <c r="E533" s="4" t="s">
        <v>1609</v>
      </c>
      <c r="F533" s="1">
        <v>-77.332999999999998</v>
      </c>
    </row>
    <row r="534" spans="5:6" x14ac:dyDescent="0.25">
      <c r="E534" s="4" t="s">
        <v>137</v>
      </c>
      <c r="F534" s="1">
        <v>-15.2225</v>
      </c>
    </row>
    <row r="535" spans="5:6" x14ac:dyDescent="0.25">
      <c r="E535" s="4" t="s">
        <v>694</v>
      </c>
      <c r="F535" s="1">
        <v>-50.097999999999999</v>
      </c>
    </row>
    <row r="536" spans="5:6" x14ac:dyDescent="0.25">
      <c r="E536" s="4" t="s">
        <v>1555</v>
      </c>
      <c r="F536" s="1">
        <v>-5.7587999999999999</v>
      </c>
    </row>
    <row r="537" spans="5:6" x14ac:dyDescent="0.25">
      <c r="E537" s="4" t="s">
        <v>948</v>
      </c>
      <c r="F537" s="1">
        <v>33.774000000000001</v>
      </c>
    </row>
    <row r="538" spans="5:6" x14ac:dyDescent="0.25">
      <c r="E538" s="4" t="s">
        <v>1771</v>
      </c>
      <c r="F538" s="1">
        <v>-5.4801000000000002</v>
      </c>
    </row>
    <row r="539" spans="5:6" x14ac:dyDescent="0.25">
      <c r="E539" s="4" t="s">
        <v>662</v>
      </c>
      <c r="F539" s="1">
        <v>75.489999999999995</v>
      </c>
    </row>
    <row r="540" spans="5:6" x14ac:dyDescent="0.25">
      <c r="E540" s="4" t="s">
        <v>333</v>
      </c>
      <c r="F540" s="1">
        <v>-76.744799999999998</v>
      </c>
    </row>
    <row r="541" spans="5:6" x14ac:dyDescent="0.25">
      <c r="E541" s="4" t="s">
        <v>1711</v>
      </c>
      <c r="F541" s="1">
        <v>-3.5996000000000001</v>
      </c>
    </row>
    <row r="542" spans="5:6" x14ac:dyDescent="0.25">
      <c r="E542" s="4" t="s">
        <v>343</v>
      </c>
      <c r="F542" s="1">
        <v>44.215600000000002</v>
      </c>
    </row>
    <row r="543" spans="5:6" x14ac:dyDescent="0.25">
      <c r="E543" s="4" t="s">
        <v>1753</v>
      </c>
      <c r="F543" s="1">
        <v>140.39599999999999</v>
      </c>
    </row>
    <row r="544" spans="5:6" x14ac:dyDescent="0.25">
      <c r="E544" s="4" t="s">
        <v>1456</v>
      </c>
      <c r="F544" s="1">
        <v>60.356000000000002</v>
      </c>
    </row>
    <row r="545" spans="5:6" x14ac:dyDescent="0.25">
      <c r="E545" s="4" t="s">
        <v>1812</v>
      </c>
      <c r="F545" s="1">
        <v>-7.8587999999999996</v>
      </c>
    </row>
    <row r="546" spans="5:6" x14ac:dyDescent="0.25">
      <c r="E546" s="4" t="s">
        <v>1114</v>
      </c>
      <c r="F546" s="1">
        <v>-206.6232</v>
      </c>
    </row>
    <row r="547" spans="5:6" x14ac:dyDescent="0.25">
      <c r="E547" s="4" t="s">
        <v>1567</v>
      </c>
      <c r="F547" s="1">
        <v>72.792000000000002</v>
      </c>
    </row>
    <row r="548" spans="5:6" x14ac:dyDescent="0.25">
      <c r="E548" s="4" t="s">
        <v>531</v>
      </c>
      <c r="F548" s="1">
        <v>1.7763568394002505E-15</v>
      </c>
    </row>
    <row r="549" spans="5:6" x14ac:dyDescent="0.25">
      <c r="E549" s="4" t="s">
        <v>1644</v>
      </c>
      <c r="F549" s="1">
        <v>47.0548</v>
      </c>
    </row>
    <row r="550" spans="5:6" x14ac:dyDescent="0.25">
      <c r="E550" s="4" t="s">
        <v>522</v>
      </c>
      <c r="F550" s="1">
        <v>-68.512200000000007</v>
      </c>
    </row>
    <row r="551" spans="5:6" x14ac:dyDescent="0.25">
      <c r="E551" s="4" t="s">
        <v>83</v>
      </c>
      <c r="F551" s="1">
        <v>26.509599999999999</v>
      </c>
    </row>
    <row r="552" spans="5:6" x14ac:dyDescent="0.25">
      <c r="E552" s="4" t="s">
        <v>1950</v>
      </c>
      <c r="F552" s="1">
        <v>-59.835599999999999</v>
      </c>
    </row>
    <row r="553" spans="5:6" x14ac:dyDescent="0.25">
      <c r="E553" s="4" t="s">
        <v>222</v>
      </c>
      <c r="F553" s="1">
        <v>1369.8442</v>
      </c>
    </row>
    <row r="554" spans="5:6" x14ac:dyDescent="0.25">
      <c r="E554" s="4" t="s">
        <v>583</v>
      </c>
      <c r="F554" s="1">
        <v>42.747</v>
      </c>
    </row>
    <row r="555" spans="5:6" x14ac:dyDescent="0.25">
      <c r="E555" s="4" t="s">
        <v>1216</v>
      </c>
      <c r="F555" s="1">
        <v>-2.0568</v>
      </c>
    </row>
    <row r="556" spans="5:6" x14ac:dyDescent="0.25">
      <c r="E556" s="4" t="s">
        <v>811</v>
      </c>
      <c r="F556" s="1">
        <v>150.97999999999999</v>
      </c>
    </row>
    <row r="557" spans="5:6" x14ac:dyDescent="0.25">
      <c r="E557" s="4" t="s">
        <v>1934</v>
      </c>
      <c r="F557" s="1">
        <v>320.31720000000001</v>
      </c>
    </row>
    <row r="558" spans="5:6" x14ac:dyDescent="0.25">
      <c r="E558" s="4" t="s">
        <v>1018</v>
      </c>
      <c r="F558" s="1">
        <v>10.7424</v>
      </c>
    </row>
    <row r="559" spans="5:6" x14ac:dyDescent="0.25">
      <c r="E559" s="4" t="s">
        <v>1066</v>
      </c>
      <c r="F559" s="1">
        <v>139.19999999999999</v>
      </c>
    </row>
    <row r="560" spans="5:6" x14ac:dyDescent="0.25">
      <c r="E560" s="4" t="s">
        <v>1716</v>
      </c>
      <c r="F560" s="1">
        <v>-15.4581</v>
      </c>
    </row>
    <row r="561" spans="5:6" x14ac:dyDescent="0.25">
      <c r="E561" s="4" t="s">
        <v>1498</v>
      </c>
      <c r="F561" s="1">
        <v>30.7818</v>
      </c>
    </row>
    <row r="562" spans="5:6" x14ac:dyDescent="0.25">
      <c r="E562" s="4" t="s">
        <v>524</v>
      </c>
      <c r="F562" s="1">
        <v>1.3676999999999999</v>
      </c>
    </row>
    <row r="563" spans="5:6" x14ac:dyDescent="0.25">
      <c r="E563" s="4" t="s">
        <v>1569</v>
      </c>
      <c r="F563" s="1">
        <v>11.597099999999999</v>
      </c>
    </row>
    <row r="564" spans="5:6" x14ac:dyDescent="0.25">
      <c r="E564" s="4" t="s">
        <v>635</v>
      </c>
      <c r="F564" s="1">
        <v>52.917299999999997</v>
      </c>
    </row>
    <row r="565" spans="5:6" x14ac:dyDescent="0.25">
      <c r="E565" s="4" t="s">
        <v>1727</v>
      </c>
      <c r="F565" s="1">
        <v>-27.9312</v>
      </c>
    </row>
    <row r="566" spans="5:6" x14ac:dyDescent="0.25">
      <c r="E566" s="4" t="s">
        <v>781</v>
      </c>
      <c r="F566" s="1">
        <v>69.100800000000007</v>
      </c>
    </row>
    <row r="567" spans="5:6" x14ac:dyDescent="0.25">
      <c r="E567" s="4" t="s">
        <v>375</v>
      </c>
      <c r="F567" s="1">
        <v>-169.37200000000001</v>
      </c>
    </row>
    <row r="568" spans="5:6" x14ac:dyDescent="0.25">
      <c r="E568" s="4" t="s">
        <v>1831</v>
      </c>
      <c r="F568" s="1">
        <v>-83.204999999999998</v>
      </c>
    </row>
    <row r="569" spans="5:6" x14ac:dyDescent="0.25">
      <c r="E569" s="4" t="s">
        <v>1389</v>
      </c>
      <c r="F569" s="1">
        <v>-13.896000000000001</v>
      </c>
    </row>
    <row r="570" spans="5:6" x14ac:dyDescent="0.25">
      <c r="E570" s="4" t="s">
        <v>1392</v>
      </c>
      <c r="F570" s="1">
        <v>35.310400000000001</v>
      </c>
    </row>
    <row r="571" spans="5:6" x14ac:dyDescent="0.25">
      <c r="E571" s="4" t="s">
        <v>1744</v>
      </c>
      <c r="F571" s="1">
        <v>-49.92</v>
      </c>
    </row>
    <row r="572" spans="5:6" x14ac:dyDescent="0.25">
      <c r="E572" s="4" t="s">
        <v>734</v>
      </c>
      <c r="F572" s="1">
        <v>19.4376</v>
      </c>
    </row>
    <row r="573" spans="5:6" x14ac:dyDescent="0.25">
      <c r="E573" s="4" t="s">
        <v>1239</v>
      </c>
      <c r="F573" s="1">
        <v>-37.730000000000004</v>
      </c>
    </row>
    <row r="574" spans="5:6" x14ac:dyDescent="0.25">
      <c r="E574" s="4" t="s">
        <v>1361</v>
      </c>
      <c r="F574" s="1">
        <v>-0.70800000000000018</v>
      </c>
    </row>
    <row r="575" spans="5:6" x14ac:dyDescent="0.25">
      <c r="E575" s="4" t="s">
        <v>1637</v>
      </c>
      <c r="F575" s="1">
        <v>8.8607999999999993</v>
      </c>
    </row>
    <row r="576" spans="5:6" x14ac:dyDescent="0.25">
      <c r="E576" s="4" t="s">
        <v>1187</v>
      </c>
      <c r="F576" s="1">
        <v>29.0136</v>
      </c>
    </row>
    <row r="577" spans="5:6" x14ac:dyDescent="0.25">
      <c r="E577" s="4" t="s">
        <v>1706</v>
      </c>
      <c r="F577" s="1">
        <v>-8.6456999999999997</v>
      </c>
    </row>
    <row r="578" spans="5:6" x14ac:dyDescent="0.25">
      <c r="E578" s="4" t="s">
        <v>1874</v>
      </c>
      <c r="F578" s="1">
        <v>219.45140000000001</v>
      </c>
    </row>
    <row r="579" spans="5:6" x14ac:dyDescent="0.25">
      <c r="E579" s="4" t="s">
        <v>513</v>
      </c>
      <c r="F579" s="1">
        <v>537.16599999999994</v>
      </c>
    </row>
    <row r="580" spans="5:6" x14ac:dyDescent="0.25">
      <c r="E580" s="4" t="s">
        <v>1979</v>
      </c>
      <c r="F580" s="1">
        <v>8.9543999999999997</v>
      </c>
    </row>
    <row r="581" spans="5:6" x14ac:dyDescent="0.25">
      <c r="E581" s="4" t="s">
        <v>962</v>
      </c>
      <c r="F581" s="1">
        <v>10.909600000000001</v>
      </c>
    </row>
    <row r="582" spans="5:6" x14ac:dyDescent="0.25">
      <c r="E582" s="4" t="s">
        <v>933</v>
      </c>
      <c r="F582" s="1">
        <v>8.5608000000000004</v>
      </c>
    </row>
    <row r="583" spans="5:6" x14ac:dyDescent="0.25">
      <c r="E583" s="4" t="s">
        <v>1351</v>
      </c>
      <c r="F583" s="1">
        <v>23.480800000000002</v>
      </c>
    </row>
    <row r="584" spans="5:6" x14ac:dyDescent="0.25">
      <c r="E584" s="4" t="s">
        <v>1052</v>
      </c>
      <c r="F584" s="1">
        <v>-20.4468</v>
      </c>
    </row>
    <row r="585" spans="5:6" x14ac:dyDescent="0.25">
      <c r="E585" s="4" t="s">
        <v>1020</v>
      </c>
      <c r="F585" s="1">
        <v>-7.7640000000000002</v>
      </c>
    </row>
    <row r="586" spans="5:6" x14ac:dyDescent="0.25">
      <c r="E586" s="4" t="s">
        <v>335</v>
      </c>
      <c r="F586" s="1">
        <v>-12.432</v>
      </c>
    </row>
    <row r="587" spans="5:6" x14ac:dyDescent="0.25">
      <c r="E587" s="4" t="s">
        <v>838</v>
      </c>
      <c r="F587" s="1">
        <v>-760.98</v>
      </c>
    </row>
    <row r="588" spans="5:6" x14ac:dyDescent="0.25">
      <c r="E588" s="4" t="s">
        <v>756</v>
      </c>
      <c r="F588" s="1">
        <v>-25.928999999999998</v>
      </c>
    </row>
    <row r="589" spans="5:6" x14ac:dyDescent="0.25">
      <c r="E589" s="4" t="s">
        <v>1320</v>
      </c>
      <c r="F589" s="1">
        <v>723.45540000000005</v>
      </c>
    </row>
    <row r="590" spans="5:6" x14ac:dyDescent="0.25">
      <c r="E590" s="4" t="s">
        <v>1440</v>
      </c>
      <c r="F590" s="1">
        <v>-103.0078</v>
      </c>
    </row>
    <row r="591" spans="5:6" x14ac:dyDescent="0.25">
      <c r="E591" s="4" t="s">
        <v>1042</v>
      </c>
      <c r="F591" s="1">
        <v>124.485</v>
      </c>
    </row>
    <row r="592" spans="5:6" x14ac:dyDescent="0.25">
      <c r="E592" s="4" t="s">
        <v>220</v>
      </c>
      <c r="F592" s="1">
        <v>936.24440000000004</v>
      </c>
    </row>
    <row r="593" spans="5:6" x14ac:dyDescent="0.25">
      <c r="E593" s="4" t="s">
        <v>1407</v>
      </c>
      <c r="F593" s="1">
        <v>252.58799999999999</v>
      </c>
    </row>
    <row r="594" spans="5:6" x14ac:dyDescent="0.25">
      <c r="E594" s="4" t="s">
        <v>1698</v>
      </c>
      <c r="F594" s="1">
        <v>-20.617599999999999</v>
      </c>
    </row>
    <row r="595" spans="5:6" x14ac:dyDescent="0.25">
      <c r="E595" s="4" t="s">
        <v>1592</v>
      </c>
      <c r="F595" s="1">
        <v>6.3743999999999996</v>
      </c>
    </row>
    <row r="596" spans="5:6" x14ac:dyDescent="0.25">
      <c r="E596" s="4" t="s">
        <v>928</v>
      </c>
      <c r="F596" s="1">
        <v>6.7008000000000001</v>
      </c>
    </row>
    <row r="597" spans="5:6" x14ac:dyDescent="0.25">
      <c r="E597" s="4" t="s">
        <v>1354</v>
      </c>
      <c r="F597" s="1">
        <v>28.518000000000001</v>
      </c>
    </row>
    <row r="598" spans="5:6" x14ac:dyDescent="0.25">
      <c r="E598" s="4" t="s">
        <v>184</v>
      </c>
      <c r="F598" s="1">
        <v>-3.7879999999999998</v>
      </c>
    </row>
    <row r="599" spans="5:6" x14ac:dyDescent="0.25">
      <c r="E599" s="4" t="s">
        <v>1379</v>
      </c>
      <c r="F599" s="1">
        <v>62.5488</v>
      </c>
    </row>
    <row r="600" spans="5:6" x14ac:dyDescent="0.25">
      <c r="E600" s="4" t="s">
        <v>1073</v>
      </c>
      <c r="F600" s="1">
        <v>9.2232000000000003</v>
      </c>
    </row>
    <row r="601" spans="5:6" x14ac:dyDescent="0.25">
      <c r="E601" s="4" t="s">
        <v>1942</v>
      </c>
      <c r="F601" s="1">
        <v>76.252499999999998</v>
      </c>
    </row>
    <row r="602" spans="5:6" x14ac:dyDescent="0.25">
      <c r="E602" s="4" t="s">
        <v>856</v>
      </c>
      <c r="F602" s="1">
        <v>46.745999999999995</v>
      </c>
    </row>
    <row r="603" spans="5:6" x14ac:dyDescent="0.25">
      <c r="E603" s="4" t="s">
        <v>645</v>
      </c>
      <c r="F603" s="1">
        <v>35.776399999999995</v>
      </c>
    </row>
    <row r="604" spans="5:6" x14ac:dyDescent="0.25">
      <c r="E604" s="4" t="s">
        <v>924</v>
      </c>
      <c r="F604" s="1">
        <v>153.4725</v>
      </c>
    </row>
    <row r="605" spans="5:6" x14ac:dyDescent="0.25">
      <c r="E605" s="4" t="s">
        <v>69</v>
      </c>
      <c r="F605" s="1">
        <v>67.709999999999994</v>
      </c>
    </row>
    <row r="606" spans="5:6" x14ac:dyDescent="0.25">
      <c r="E606" s="4" t="s">
        <v>1246</v>
      </c>
      <c r="F606" s="1">
        <v>-33.804000000000002</v>
      </c>
    </row>
    <row r="607" spans="5:6" x14ac:dyDescent="0.25">
      <c r="E607" s="4" t="s">
        <v>1411</v>
      </c>
      <c r="F607" s="1">
        <v>11.451599999999999</v>
      </c>
    </row>
    <row r="608" spans="5:6" x14ac:dyDescent="0.25">
      <c r="E608" s="4" t="s">
        <v>1095</v>
      </c>
      <c r="F608" s="1">
        <v>-30.555</v>
      </c>
    </row>
    <row r="609" spans="5:6" x14ac:dyDescent="0.25">
      <c r="E609" s="4" t="s">
        <v>1473</v>
      </c>
      <c r="F609" s="1">
        <v>63.596000000000004</v>
      </c>
    </row>
    <row r="610" spans="5:6" x14ac:dyDescent="0.25">
      <c r="E610" s="4" t="s">
        <v>1622</v>
      </c>
      <c r="F610" s="1">
        <v>767.20050000000003</v>
      </c>
    </row>
    <row r="611" spans="5:6" x14ac:dyDescent="0.25">
      <c r="E611" s="4" t="s">
        <v>1687</v>
      </c>
      <c r="F611" s="1">
        <v>10.744</v>
      </c>
    </row>
    <row r="612" spans="5:6" x14ac:dyDescent="0.25">
      <c r="E612" s="4" t="s">
        <v>1941</v>
      </c>
      <c r="F612" s="1">
        <v>1906.4850000000001</v>
      </c>
    </row>
    <row r="613" spans="5:6" x14ac:dyDescent="0.25">
      <c r="E613" s="4" t="s">
        <v>919</v>
      </c>
      <c r="F613" s="1">
        <v>1276.4871000000001</v>
      </c>
    </row>
    <row r="614" spans="5:6" x14ac:dyDescent="0.25">
      <c r="E614" s="4" t="s">
        <v>53</v>
      </c>
      <c r="F614" s="1">
        <v>132.59219999999999</v>
      </c>
    </row>
    <row r="615" spans="5:6" x14ac:dyDescent="0.25">
      <c r="E615" s="4" t="s">
        <v>606</v>
      </c>
      <c r="F615" s="1">
        <v>-145.52459999999999</v>
      </c>
    </row>
    <row r="616" spans="5:6" x14ac:dyDescent="0.25">
      <c r="E616" s="4" t="s">
        <v>1982</v>
      </c>
      <c r="F616" s="1">
        <v>-10.393599999999999</v>
      </c>
    </row>
    <row r="617" spans="5:6" x14ac:dyDescent="0.25">
      <c r="E617" s="4" t="s">
        <v>979</v>
      </c>
      <c r="F617" s="1">
        <v>30.4682</v>
      </c>
    </row>
    <row r="618" spans="5:6" x14ac:dyDescent="0.25">
      <c r="E618" s="4" t="s">
        <v>1845</v>
      </c>
      <c r="F618" s="1">
        <v>6.4863999999999997</v>
      </c>
    </row>
    <row r="619" spans="5:6" x14ac:dyDescent="0.25">
      <c r="E619" s="4" t="s">
        <v>851</v>
      </c>
      <c r="F619" s="1">
        <v>-13.479200000000001</v>
      </c>
    </row>
    <row r="620" spans="5:6" x14ac:dyDescent="0.25">
      <c r="E620" s="4" t="s">
        <v>817</v>
      </c>
      <c r="F620" s="1">
        <v>32.76</v>
      </c>
    </row>
    <row r="621" spans="5:6" x14ac:dyDescent="0.25">
      <c r="E621" s="4" t="s">
        <v>191</v>
      </c>
      <c r="F621" s="1">
        <v>30.113600000000002</v>
      </c>
    </row>
    <row r="622" spans="5:6" x14ac:dyDescent="0.25">
      <c r="E622" s="4" t="s">
        <v>1933</v>
      </c>
      <c r="F622" s="1">
        <v>23.968800000000002</v>
      </c>
    </row>
    <row r="623" spans="5:6" x14ac:dyDescent="0.25">
      <c r="E623" s="4" t="s">
        <v>1295</v>
      </c>
      <c r="F623" s="1">
        <v>-15.99</v>
      </c>
    </row>
    <row r="624" spans="5:6" x14ac:dyDescent="0.25">
      <c r="E624" s="4" t="s">
        <v>1873</v>
      </c>
      <c r="F624" s="1">
        <v>22.2516</v>
      </c>
    </row>
    <row r="625" spans="5:6" x14ac:dyDescent="0.25">
      <c r="E625" s="4" t="s">
        <v>1045</v>
      </c>
      <c r="F625" s="1">
        <v>28.564799999999998</v>
      </c>
    </row>
    <row r="626" spans="5:6" x14ac:dyDescent="0.25">
      <c r="E626" s="4" t="s">
        <v>385</v>
      </c>
      <c r="F626" s="1">
        <v>3.0318000000000001</v>
      </c>
    </row>
    <row r="627" spans="5:6" x14ac:dyDescent="0.25">
      <c r="E627" s="4" t="s">
        <v>568</v>
      </c>
      <c r="F627" s="1">
        <v>50.519999999999996</v>
      </c>
    </row>
    <row r="628" spans="5:6" x14ac:dyDescent="0.25">
      <c r="E628" s="4" t="s">
        <v>790</v>
      </c>
      <c r="F628" s="1">
        <v>22.0077</v>
      </c>
    </row>
    <row r="629" spans="5:6" x14ac:dyDescent="0.25">
      <c r="E629" s="4" t="s">
        <v>1966</v>
      </c>
      <c r="F629" s="1">
        <v>-10.9611</v>
      </c>
    </row>
    <row r="630" spans="5:6" x14ac:dyDescent="0.25">
      <c r="E630" s="4" t="s">
        <v>1773</v>
      </c>
      <c r="F630" s="1">
        <v>26.649000000000001</v>
      </c>
    </row>
    <row r="631" spans="5:6" x14ac:dyDescent="0.25">
      <c r="E631" s="4" t="s">
        <v>1399</v>
      </c>
      <c r="F631" s="1">
        <v>29.7408</v>
      </c>
    </row>
    <row r="632" spans="5:6" x14ac:dyDescent="0.25">
      <c r="E632" s="4" t="s">
        <v>684</v>
      </c>
      <c r="F632" s="1">
        <v>197.7885</v>
      </c>
    </row>
    <row r="633" spans="5:6" x14ac:dyDescent="0.25">
      <c r="E633" s="4" t="s">
        <v>600</v>
      </c>
      <c r="F633" s="1">
        <v>41.293799999999997</v>
      </c>
    </row>
    <row r="634" spans="5:6" x14ac:dyDescent="0.25">
      <c r="E634" s="4" t="s">
        <v>1425</v>
      </c>
      <c r="F634" s="1">
        <v>1.8353999999999999</v>
      </c>
    </row>
    <row r="635" spans="5:6" x14ac:dyDescent="0.25">
      <c r="E635" s="4" t="s">
        <v>310</v>
      </c>
      <c r="F635" s="1">
        <v>-178.96680000000001</v>
      </c>
    </row>
    <row r="636" spans="5:6" x14ac:dyDescent="0.25">
      <c r="E636" s="4" t="s">
        <v>1086</v>
      </c>
      <c r="F636" s="1">
        <v>18.662400000000002</v>
      </c>
    </row>
    <row r="637" spans="5:6" x14ac:dyDescent="0.25">
      <c r="E637" s="4" t="s">
        <v>352</v>
      </c>
      <c r="F637" s="1">
        <v>-4.4660000000000002</v>
      </c>
    </row>
    <row r="638" spans="5:6" x14ac:dyDescent="0.25">
      <c r="E638" s="4" t="s">
        <v>508</v>
      </c>
      <c r="F638" s="1">
        <v>30.095700000000001</v>
      </c>
    </row>
    <row r="639" spans="5:6" x14ac:dyDescent="0.25">
      <c r="E639" s="4" t="s">
        <v>1769</v>
      </c>
      <c r="F639" s="1">
        <v>22.4316</v>
      </c>
    </row>
    <row r="640" spans="5:6" x14ac:dyDescent="0.25">
      <c r="E640" s="4" t="s">
        <v>603</v>
      </c>
      <c r="F640" s="1">
        <v>481.404</v>
      </c>
    </row>
    <row r="641" spans="5:6" x14ac:dyDescent="0.25">
      <c r="E641" s="4" t="s">
        <v>1830</v>
      </c>
      <c r="F641" s="1">
        <v>32.500799999999998</v>
      </c>
    </row>
    <row r="642" spans="5:6" x14ac:dyDescent="0.25">
      <c r="E642" s="4" t="s">
        <v>1791</v>
      </c>
      <c r="F642" s="1">
        <v>7.6050000000000004</v>
      </c>
    </row>
    <row r="643" spans="5:6" x14ac:dyDescent="0.25">
      <c r="E643" s="4" t="s">
        <v>770</v>
      </c>
      <c r="F643" s="1">
        <v>23.315999999999999</v>
      </c>
    </row>
    <row r="644" spans="5:6" x14ac:dyDescent="0.25">
      <c r="E644" s="4" t="s">
        <v>1079</v>
      </c>
      <c r="F644" s="1">
        <v>166.10040000000001</v>
      </c>
    </row>
    <row r="645" spans="5:6" x14ac:dyDescent="0.25">
      <c r="E645" s="4" t="s">
        <v>380</v>
      </c>
      <c r="F645" s="1">
        <v>64.319999999999993</v>
      </c>
    </row>
    <row r="646" spans="5:6" x14ac:dyDescent="0.25">
      <c r="E646" s="4" t="s">
        <v>1185</v>
      </c>
      <c r="F646" s="1">
        <v>2.2879999999999998</v>
      </c>
    </row>
    <row r="647" spans="5:6" x14ac:dyDescent="0.25">
      <c r="E647" s="4" t="s">
        <v>795</v>
      </c>
      <c r="F647" s="1">
        <v>12.430400000000001</v>
      </c>
    </row>
    <row r="648" spans="5:6" x14ac:dyDescent="0.25">
      <c r="E648" s="4" t="s">
        <v>853</v>
      </c>
      <c r="F648" s="1">
        <v>1.6752</v>
      </c>
    </row>
    <row r="649" spans="5:6" x14ac:dyDescent="0.25">
      <c r="E649" s="4" t="s">
        <v>1005</v>
      </c>
      <c r="F649" s="1">
        <v>5.1504000000000003</v>
      </c>
    </row>
    <row r="650" spans="5:6" x14ac:dyDescent="0.25">
      <c r="E650" s="4" t="s">
        <v>1391</v>
      </c>
      <c r="F650" s="1">
        <v>13.9032</v>
      </c>
    </row>
    <row r="651" spans="5:6" x14ac:dyDescent="0.25">
      <c r="E651" s="4" t="s">
        <v>175</v>
      </c>
      <c r="F651" s="1">
        <v>13.857200000000001</v>
      </c>
    </row>
    <row r="652" spans="5:6" x14ac:dyDescent="0.25">
      <c r="E652" s="4" t="s">
        <v>1673</v>
      </c>
      <c r="F652" s="1">
        <v>34.292499999999997</v>
      </c>
    </row>
    <row r="653" spans="5:6" x14ac:dyDescent="0.25">
      <c r="E653" s="4" t="s">
        <v>1102</v>
      </c>
      <c r="F653" s="1">
        <v>16.302</v>
      </c>
    </row>
    <row r="654" spans="5:6" x14ac:dyDescent="0.25">
      <c r="E654" s="4" t="s">
        <v>585</v>
      </c>
      <c r="F654" s="1">
        <v>-3.0279999999999996</v>
      </c>
    </row>
    <row r="655" spans="5:6" x14ac:dyDescent="0.25">
      <c r="E655" s="4" t="s">
        <v>1578</v>
      </c>
      <c r="F655" s="1">
        <v>50.887200000000007</v>
      </c>
    </row>
    <row r="656" spans="5:6" x14ac:dyDescent="0.25">
      <c r="E656" s="4" t="s">
        <v>1376</v>
      </c>
      <c r="F656" s="1">
        <v>-11.439</v>
      </c>
    </row>
    <row r="657" spans="5:6" x14ac:dyDescent="0.25">
      <c r="E657" s="4" t="s">
        <v>43</v>
      </c>
      <c r="F657" s="1">
        <v>26.314599999999999</v>
      </c>
    </row>
    <row r="658" spans="5:6" x14ac:dyDescent="0.25">
      <c r="E658" s="4" t="s">
        <v>1096</v>
      </c>
      <c r="F658" s="1">
        <v>5.1071999999999997</v>
      </c>
    </row>
    <row r="659" spans="5:6" x14ac:dyDescent="0.25">
      <c r="E659" s="4" t="s">
        <v>1574</v>
      </c>
      <c r="F659" s="1">
        <v>6.24</v>
      </c>
    </row>
    <row r="660" spans="5:6" x14ac:dyDescent="0.25">
      <c r="E660" s="4" t="s">
        <v>1898</v>
      </c>
      <c r="F660" s="1">
        <v>-29.512</v>
      </c>
    </row>
    <row r="661" spans="5:6" x14ac:dyDescent="0.25">
      <c r="E661" s="4" t="s">
        <v>156</v>
      </c>
      <c r="F661" s="1">
        <v>-14.475</v>
      </c>
    </row>
    <row r="662" spans="5:6" x14ac:dyDescent="0.25">
      <c r="E662" s="4" t="s">
        <v>1154</v>
      </c>
      <c r="F662" s="1">
        <v>-34.895600000000002</v>
      </c>
    </row>
    <row r="663" spans="5:6" x14ac:dyDescent="0.25">
      <c r="E663" s="4" t="s">
        <v>535</v>
      </c>
      <c r="F663" s="1">
        <v>-312.06139999999999</v>
      </c>
    </row>
    <row r="664" spans="5:6" x14ac:dyDescent="0.25">
      <c r="E664" s="4" t="s">
        <v>1412</v>
      </c>
      <c r="F664" s="1">
        <v>-52.17</v>
      </c>
    </row>
    <row r="665" spans="5:6" x14ac:dyDescent="0.25">
      <c r="E665" s="4" t="s">
        <v>103</v>
      </c>
      <c r="F665" s="1">
        <v>3.8940000000000001</v>
      </c>
    </row>
    <row r="666" spans="5:6" x14ac:dyDescent="0.25">
      <c r="E666" s="4" t="s">
        <v>951</v>
      </c>
      <c r="F666" s="1">
        <v>-29.481200000000001</v>
      </c>
    </row>
    <row r="667" spans="5:6" x14ac:dyDescent="0.25">
      <c r="E667" s="4" t="s">
        <v>940</v>
      </c>
      <c r="F667" s="1">
        <v>25.986000000000004</v>
      </c>
    </row>
    <row r="668" spans="5:6" x14ac:dyDescent="0.25">
      <c r="E668" s="4" t="s">
        <v>1568</v>
      </c>
      <c r="F668" s="1">
        <v>11.025</v>
      </c>
    </row>
    <row r="669" spans="5:6" x14ac:dyDescent="0.25">
      <c r="E669" s="4" t="s">
        <v>312</v>
      </c>
      <c r="F669" s="1">
        <v>9.6712000000000007</v>
      </c>
    </row>
    <row r="670" spans="5:6" x14ac:dyDescent="0.25">
      <c r="E670" s="4" t="s">
        <v>674</v>
      </c>
      <c r="F670" s="1">
        <v>16.076799999999999</v>
      </c>
    </row>
    <row r="671" spans="5:6" x14ac:dyDescent="0.25">
      <c r="E671" s="4" t="s">
        <v>348</v>
      </c>
      <c r="F671" s="1">
        <v>-8.4923999999999999</v>
      </c>
    </row>
    <row r="672" spans="5:6" x14ac:dyDescent="0.25">
      <c r="E672" s="4" t="s">
        <v>677</v>
      </c>
      <c r="F672" s="1">
        <v>105.72799999999999</v>
      </c>
    </row>
    <row r="673" spans="5:6" x14ac:dyDescent="0.25">
      <c r="E673" s="4" t="s">
        <v>155</v>
      </c>
      <c r="F673" s="1">
        <v>-1.9343999999999999</v>
      </c>
    </row>
    <row r="674" spans="5:6" x14ac:dyDescent="0.25">
      <c r="E674" s="4" t="s">
        <v>1976</v>
      </c>
      <c r="F674" s="1">
        <v>2.0748000000000002</v>
      </c>
    </row>
    <row r="675" spans="5:6" x14ac:dyDescent="0.25">
      <c r="E675" s="4" t="s">
        <v>722</v>
      </c>
      <c r="F675" s="1">
        <v>57.699200000000005</v>
      </c>
    </row>
    <row r="676" spans="5:6" x14ac:dyDescent="0.25">
      <c r="E676" s="4" t="s">
        <v>92</v>
      </c>
      <c r="F676" s="1">
        <v>289.24720000000002</v>
      </c>
    </row>
    <row r="677" spans="5:6" x14ac:dyDescent="0.25">
      <c r="E677" s="4" t="s">
        <v>1839</v>
      </c>
      <c r="F677" s="1">
        <v>403.15600000000001</v>
      </c>
    </row>
    <row r="678" spans="5:6" x14ac:dyDescent="0.25">
      <c r="E678" s="4" t="s">
        <v>1925</v>
      </c>
      <c r="F678" s="1">
        <v>240.8595</v>
      </c>
    </row>
    <row r="679" spans="5:6" x14ac:dyDescent="0.25">
      <c r="E679" s="4" t="s">
        <v>398</v>
      </c>
      <c r="F679" s="1">
        <v>51.333200000000005</v>
      </c>
    </row>
    <row r="680" spans="5:6" x14ac:dyDescent="0.25">
      <c r="E680" s="4" t="s">
        <v>1749</v>
      </c>
      <c r="F680" s="1">
        <v>2.3025000000000002</v>
      </c>
    </row>
    <row r="681" spans="5:6" x14ac:dyDescent="0.25">
      <c r="E681" s="4" t="s">
        <v>1208</v>
      </c>
      <c r="F681" s="1">
        <v>5.8604000000000003</v>
      </c>
    </row>
    <row r="682" spans="5:6" x14ac:dyDescent="0.25">
      <c r="E682" s="4" t="s">
        <v>953</v>
      </c>
      <c r="F682" s="1">
        <v>4.3524000000000003</v>
      </c>
    </row>
    <row r="683" spans="5:6" x14ac:dyDescent="0.25">
      <c r="E683" s="4" t="s">
        <v>1936</v>
      </c>
      <c r="F683" s="1">
        <v>5.2397999999999998</v>
      </c>
    </row>
    <row r="684" spans="5:6" x14ac:dyDescent="0.25">
      <c r="E684" s="4" t="s">
        <v>1655</v>
      </c>
      <c r="F684" s="1">
        <v>0.61919999999999997</v>
      </c>
    </row>
    <row r="685" spans="5:6" x14ac:dyDescent="0.25">
      <c r="E685" s="4" t="s">
        <v>1947</v>
      </c>
      <c r="F685" s="1">
        <v>74.8142</v>
      </c>
    </row>
    <row r="686" spans="5:6" x14ac:dyDescent="0.25">
      <c r="E686" s="4" t="s">
        <v>510</v>
      </c>
      <c r="F686" s="1">
        <v>0.50039999999999996</v>
      </c>
    </row>
    <row r="687" spans="5:6" x14ac:dyDescent="0.25">
      <c r="E687" s="4" t="s">
        <v>1225</v>
      </c>
      <c r="F687" s="1">
        <v>349.33920000000001</v>
      </c>
    </row>
    <row r="688" spans="5:6" x14ac:dyDescent="0.25">
      <c r="E688" s="4" t="s">
        <v>391</v>
      </c>
      <c r="F688" s="1">
        <v>163.11619999999999</v>
      </c>
    </row>
    <row r="689" spans="5:6" x14ac:dyDescent="0.25">
      <c r="E689" s="4" t="s">
        <v>1422</v>
      </c>
      <c r="F689" s="1">
        <v>95.757199999999997</v>
      </c>
    </row>
    <row r="690" spans="5:6" x14ac:dyDescent="0.25">
      <c r="E690" s="4" t="s">
        <v>845</v>
      </c>
      <c r="F690" s="1">
        <v>8.3268000000000004</v>
      </c>
    </row>
    <row r="691" spans="5:6" x14ac:dyDescent="0.25">
      <c r="E691" s="4" t="s">
        <v>299</v>
      </c>
      <c r="F691" s="1">
        <v>12.0276</v>
      </c>
    </row>
    <row r="692" spans="5:6" x14ac:dyDescent="0.25">
      <c r="E692" s="4" t="s">
        <v>731</v>
      </c>
      <c r="F692" s="1">
        <v>3.0813999999999999</v>
      </c>
    </row>
    <row r="693" spans="5:6" x14ac:dyDescent="0.25">
      <c r="E693" s="4" t="s">
        <v>1962</v>
      </c>
      <c r="F693" s="1">
        <v>-6.8815999999999997</v>
      </c>
    </row>
    <row r="694" spans="5:6" x14ac:dyDescent="0.25">
      <c r="E694" s="4" t="s">
        <v>1944</v>
      </c>
      <c r="F694" s="1">
        <v>7.8936000000000002</v>
      </c>
    </row>
    <row r="695" spans="5:6" x14ac:dyDescent="0.25">
      <c r="E695" s="4" t="s">
        <v>1958</v>
      </c>
      <c r="F695" s="1">
        <v>14.572800000000001</v>
      </c>
    </row>
    <row r="696" spans="5:6" x14ac:dyDescent="0.25">
      <c r="E696" s="4" t="s">
        <v>849</v>
      </c>
      <c r="F696" s="1">
        <v>5.9363999999999999</v>
      </c>
    </row>
    <row r="697" spans="5:6" x14ac:dyDescent="0.25">
      <c r="E697" s="4" t="s">
        <v>905</v>
      </c>
      <c r="F697" s="1">
        <v>58.785600000000002</v>
      </c>
    </row>
    <row r="698" spans="5:6" x14ac:dyDescent="0.25">
      <c r="E698" s="4" t="s">
        <v>1919</v>
      </c>
      <c r="F698" s="1">
        <v>20.391999999999999</v>
      </c>
    </row>
    <row r="699" spans="5:6" x14ac:dyDescent="0.25">
      <c r="E699" s="4" t="s">
        <v>1104</v>
      </c>
      <c r="F699" s="1">
        <v>-0.64349999999999996</v>
      </c>
    </row>
    <row r="700" spans="5:6" x14ac:dyDescent="0.25">
      <c r="E700" s="4" t="s">
        <v>707</v>
      </c>
      <c r="F700" s="1">
        <v>-3839.9904000000001</v>
      </c>
    </row>
    <row r="701" spans="5:6" x14ac:dyDescent="0.25">
      <c r="E701" s="4" t="s">
        <v>459</v>
      </c>
      <c r="F701" s="1">
        <v>2.5584000000000002</v>
      </c>
    </row>
    <row r="702" spans="5:6" x14ac:dyDescent="0.25">
      <c r="E702" s="4" t="s">
        <v>1495</v>
      </c>
      <c r="F702" s="1">
        <v>6.6429999999999998</v>
      </c>
    </row>
    <row r="703" spans="5:6" x14ac:dyDescent="0.25">
      <c r="E703" s="4" t="s">
        <v>1666</v>
      </c>
      <c r="F703" s="1">
        <v>2.9321999999999999</v>
      </c>
    </row>
    <row r="704" spans="5:6" x14ac:dyDescent="0.25">
      <c r="E704" s="4" t="s">
        <v>1493</v>
      </c>
      <c r="F704" s="1">
        <v>-32.32</v>
      </c>
    </row>
    <row r="705" spans="5:6" x14ac:dyDescent="0.25">
      <c r="E705" s="4" t="s">
        <v>1204</v>
      </c>
      <c r="F705" s="1">
        <v>49.555199999999999</v>
      </c>
    </row>
    <row r="706" spans="5:6" x14ac:dyDescent="0.25">
      <c r="E706" s="4" t="s">
        <v>1515</v>
      </c>
      <c r="F706" s="1">
        <v>92.243200000000002</v>
      </c>
    </row>
    <row r="707" spans="5:6" x14ac:dyDescent="0.25">
      <c r="E707" s="4" t="s">
        <v>1355</v>
      </c>
      <c r="F707" s="1">
        <v>53.116</v>
      </c>
    </row>
    <row r="708" spans="5:6" x14ac:dyDescent="0.25">
      <c r="E708" s="4" t="s">
        <v>1266</v>
      </c>
      <c r="F708" s="1">
        <v>6.0415999999999999</v>
      </c>
    </row>
    <row r="709" spans="5:6" x14ac:dyDescent="0.25">
      <c r="E709" s="4" t="s">
        <v>1705</v>
      </c>
      <c r="F709" s="1">
        <v>16.703399999999998</v>
      </c>
    </row>
    <row r="710" spans="5:6" x14ac:dyDescent="0.25">
      <c r="E710" s="4" t="s">
        <v>1070</v>
      </c>
      <c r="F710" s="1">
        <v>4.4892000000000003</v>
      </c>
    </row>
    <row r="711" spans="5:6" x14ac:dyDescent="0.25">
      <c r="E711" s="4" t="s">
        <v>505</v>
      </c>
      <c r="F711" s="1">
        <v>11.076000000000001</v>
      </c>
    </row>
    <row r="712" spans="5:6" x14ac:dyDescent="0.25">
      <c r="E712" s="4" t="s">
        <v>1853</v>
      </c>
      <c r="F712" s="1">
        <v>1.5204</v>
      </c>
    </row>
    <row r="713" spans="5:6" x14ac:dyDescent="0.25">
      <c r="E713" s="4" t="s">
        <v>903</v>
      </c>
      <c r="F713" s="1">
        <v>4.8117999999999999</v>
      </c>
    </row>
    <row r="714" spans="5:6" x14ac:dyDescent="0.25">
      <c r="E714" s="4" t="s">
        <v>124</v>
      </c>
      <c r="F714" s="1">
        <v>12.103</v>
      </c>
    </row>
    <row r="715" spans="5:6" x14ac:dyDescent="0.25">
      <c r="E715" s="4" t="s">
        <v>1469</v>
      </c>
      <c r="F715" s="1">
        <v>10.472800000000001</v>
      </c>
    </row>
    <row r="716" spans="5:6" x14ac:dyDescent="0.25">
      <c r="E716" s="4" t="s">
        <v>388</v>
      </c>
      <c r="F716" s="1">
        <v>3.5948000000000002</v>
      </c>
    </row>
    <row r="717" spans="5:6" x14ac:dyDescent="0.25">
      <c r="E717" s="4" t="s">
        <v>558</v>
      </c>
      <c r="F717" s="1">
        <v>40.370399999999997</v>
      </c>
    </row>
    <row r="718" spans="5:6" x14ac:dyDescent="0.25">
      <c r="E718" s="4" t="s">
        <v>784</v>
      </c>
      <c r="F718" s="1">
        <v>153.44549999999998</v>
      </c>
    </row>
    <row r="719" spans="5:6" x14ac:dyDescent="0.25">
      <c r="E719" s="4" t="s">
        <v>540</v>
      </c>
      <c r="F719" s="1">
        <v>7.1820000000000004</v>
      </c>
    </row>
    <row r="720" spans="5:6" x14ac:dyDescent="0.25">
      <c r="E720" s="4" t="s">
        <v>1802</v>
      </c>
      <c r="F720" s="1">
        <v>-7.2588999999999997</v>
      </c>
    </row>
    <row r="721" spans="5:6" x14ac:dyDescent="0.25">
      <c r="E721" s="4" t="s">
        <v>622</v>
      </c>
      <c r="F721" s="1">
        <v>46.796999999999997</v>
      </c>
    </row>
    <row r="722" spans="5:6" x14ac:dyDescent="0.25">
      <c r="E722" s="4" t="s">
        <v>1322</v>
      </c>
      <c r="F722" s="1">
        <v>155.935</v>
      </c>
    </row>
    <row r="723" spans="5:6" x14ac:dyDescent="0.25">
      <c r="E723" s="4" t="s">
        <v>357</v>
      </c>
      <c r="F723" s="1">
        <v>28.7196</v>
      </c>
    </row>
    <row r="724" spans="5:6" x14ac:dyDescent="0.25">
      <c r="E724" s="4" t="s">
        <v>1165</v>
      </c>
      <c r="F724" s="1">
        <v>106.1242</v>
      </c>
    </row>
    <row r="725" spans="5:6" x14ac:dyDescent="0.25">
      <c r="E725" s="4" t="s">
        <v>1110</v>
      </c>
      <c r="F725" s="1">
        <v>-55.655999999999999</v>
      </c>
    </row>
    <row r="726" spans="5:6" x14ac:dyDescent="0.25">
      <c r="E726" s="4" t="s">
        <v>972</v>
      </c>
      <c r="F726" s="1">
        <v>-296.29300000000001</v>
      </c>
    </row>
    <row r="727" spans="5:6" x14ac:dyDescent="0.25">
      <c r="E727" s="4" t="s">
        <v>529</v>
      </c>
      <c r="F727" s="1">
        <v>-303.32159999999999</v>
      </c>
    </row>
    <row r="728" spans="5:6" x14ac:dyDescent="0.25">
      <c r="E728" s="4" t="s">
        <v>738</v>
      </c>
      <c r="F728" s="1">
        <v>-1630.9008000000001</v>
      </c>
    </row>
    <row r="729" spans="5:6" x14ac:dyDescent="0.25">
      <c r="E729" s="4" t="s">
        <v>1406</v>
      </c>
      <c r="F729" s="1">
        <v>-115.7058</v>
      </c>
    </row>
    <row r="730" spans="5:6" x14ac:dyDescent="0.25">
      <c r="E730" s="4" t="s">
        <v>1694</v>
      </c>
      <c r="F730" s="1">
        <v>-833.66399999999999</v>
      </c>
    </row>
    <row r="731" spans="5:6" x14ac:dyDescent="0.25">
      <c r="E731" s="4" t="s">
        <v>1226</v>
      </c>
      <c r="F731" s="1">
        <v>-67.28</v>
      </c>
    </row>
    <row r="732" spans="5:6" x14ac:dyDescent="0.25">
      <c r="E732" s="4" t="s">
        <v>1614</v>
      </c>
      <c r="F732" s="1">
        <v>7.9984000000000002</v>
      </c>
    </row>
    <row r="733" spans="5:6" x14ac:dyDescent="0.25">
      <c r="E733" s="4" t="s">
        <v>1542</v>
      </c>
      <c r="F733" s="1">
        <v>-81.0154</v>
      </c>
    </row>
    <row r="734" spans="5:6" x14ac:dyDescent="0.25">
      <c r="E734" s="4" t="s">
        <v>1806</v>
      </c>
      <c r="F734" s="1">
        <v>-54.881999999999998</v>
      </c>
    </row>
    <row r="735" spans="5:6" x14ac:dyDescent="0.25">
      <c r="E735" s="4" t="s">
        <v>1548</v>
      </c>
      <c r="F735" s="1">
        <v>-12.956799999999999</v>
      </c>
    </row>
    <row r="736" spans="5:6" x14ac:dyDescent="0.25">
      <c r="E736" s="4" t="s">
        <v>1130</v>
      </c>
      <c r="F736" s="1">
        <v>1.6195999999999999</v>
      </c>
    </row>
    <row r="737" spans="5:6" x14ac:dyDescent="0.25">
      <c r="E737" s="4" t="s">
        <v>659</v>
      </c>
      <c r="F737" s="1">
        <v>-14.773</v>
      </c>
    </row>
    <row r="738" spans="5:6" x14ac:dyDescent="0.25">
      <c r="E738" s="4" t="s">
        <v>598</v>
      </c>
      <c r="F738" s="1">
        <v>3.36</v>
      </c>
    </row>
    <row r="739" spans="5:6" x14ac:dyDescent="0.25">
      <c r="E739" s="4" t="s">
        <v>729</v>
      </c>
      <c r="F739" s="1">
        <v>6.9720000000000004</v>
      </c>
    </row>
    <row r="740" spans="5:6" x14ac:dyDescent="0.25">
      <c r="E740" s="4" t="s">
        <v>1623</v>
      </c>
      <c r="F740" s="1">
        <v>-12.795999999999999</v>
      </c>
    </row>
    <row r="741" spans="5:6" x14ac:dyDescent="0.25">
      <c r="E741" s="4" t="s">
        <v>1781</v>
      </c>
      <c r="F741" s="1">
        <v>751.9624</v>
      </c>
    </row>
    <row r="742" spans="5:6" x14ac:dyDescent="0.25">
      <c r="E742" s="4" t="s">
        <v>574</v>
      </c>
      <c r="F742" s="1">
        <v>1379.9770000000001</v>
      </c>
    </row>
    <row r="743" spans="5:6" x14ac:dyDescent="0.25">
      <c r="E743" s="4" t="s">
        <v>519</v>
      </c>
      <c r="F743" s="1">
        <v>43.199100000000001</v>
      </c>
    </row>
    <row r="744" spans="5:6" x14ac:dyDescent="0.25">
      <c r="E744" s="4" t="s">
        <v>776</v>
      </c>
      <c r="F744" s="1">
        <v>138.1506</v>
      </c>
    </row>
    <row r="745" spans="5:6" x14ac:dyDescent="0.25">
      <c r="E745" s="4" t="s">
        <v>863</v>
      </c>
      <c r="F745" s="1">
        <v>-2.0196000000000005</v>
      </c>
    </row>
    <row r="746" spans="5:6" x14ac:dyDescent="0.25">
      <c r="E746" s="4" t="s">
        <v>26</v>
      </c>
      <c r="F746" s="1">
        <v>41.913600000000002</v>
      </c>
    </row>
    <row r="747" spans="5:6" x14ac:dyDescent="0.25">
      <c r="E747" s="4" t="s">
        <v>537</v>
      </c>
      <c r="F747" s="1">
        <v>24.156800000000004</v>
      </c>
    </row>
    <row r="748" spans="5:6" x14ac:dyDescent="0.25">
      <c r="E748" s="4" t="s">
        <v>1913</v>
      </c>
      <c r="F748" s="1">
        <v>14.098000000000001</v>
      </c>
    </row>
    <row r="749" spans="5:6" x14ac:dyDescent="0.25">
      <c r="E749" s="4" t="s">
        <v>1134</v>
      </c>
      <c r="F749" s="1">
        <v>-58.133200000000002</v>
      </c>
    </row>
    <row r="750" spans="5:6" x14ac:dyDescent="0.25">
      <c r="E750" s="4" t="s">
        <v>1418</v>
      </c>
      <c r="F750" s="1">
        <v>121.18989999999999</v>
      </c>
    </row>
    <row r="751" spans="5:6" x14ac:dyDescent="0.25">
      <c r="E751" s="4" t="s">
        <v>337</v>
      </c>
      <c r="F751" s="1">
        <v>-197.71800000000002</v>
      </c>
    </row>
    <row r="752" spans="5:6" x14ac:dyDescent="0.25">
      <c r="E752" s="4" t="s">
        <v>1231</v>
      </c>
      <c r="F752" s="1">
        <v>-526.0204</v>
      </c>
    </row>
    <row r="753" spans="5:6" x14ac:dyDescent="0.25">
      <c r="E753" s="4" t="s">
        <v>493</v>
      </c>
      <c r="F753" s="1">
        <v>25.898399999999999</v>
      </c>
    </row>
    <row r="754" spans="5:6" x14ac:dyDescent="0.25">
      <c r="E754" s="4" t="s">
        <v>1980</v>
      </c>
      <c r="F754" s="1">
        <v>134.99549999999999</v>
      </c>
    </row>
    <row r="755" spans="5:6" x14ac:dyDescent="0.25">
      <c r="E755" s="4" t="s">
        <v>1437</v>
      </c>
      <c r="F755" s="1">
        <v>-447.59469999999999</v>
      </c>
    </row>
    <row r="756" spans="5:6" x14ac:dyDescent="0.25">
      <c r="E756" s="4" t="s">
        <v>40</v>
      </c>
      <c r="F756" s="1">
        <v>-438.74459999999999</v>
      </c>
    </row>
    <row r="757" spans="5:6" x14ac:dyDescent="0.25">
      <c r="E757" s="4" t="s">
        <v>1680</v>
      </c>
      <c r="F757" s="1">
        <v>-325.572</v>
      </c>
    </row>
    <row r="758" spans="5:6" x14ac:dyDescent="0.25">
      <c r="E758" s="4" t="s">
        <v>378</v>
      </c>
      <c r="F758" s="1">
        <v>-131.44499999999999</v>
      </c>
    </row>
    <row r="759" spans="5:6" x14ac:dyDescent="0.25">
      <c r="E759" s="4" t="s">
        <v>307</v>
      </c>
      <c r="F759" s="1">
        <v>-161.875</v>
      </c>
    </row>
    <row r="760" spans="5:6" x14ac:dyDescent="0.25">
      <c r="E760" s="4" t="s">
        <v>396</v>
      </c>
      <c r="F760" s="1">
        <v>26.023200000000003</v>
      </c>
    </row>
    <row r="761" spans="5:6" x14ac:dyDescent="0.25">
      <c r="E761" s="4" t="s">
        <v>1730</v>
      </c>
      <c r="F761" s="1">
        <v>15.074199999999999</v>
      </c>
    </row>
    <row r="762" spans="5:6" x14ac:dyDescent="0.25">
      <c r="E762" s="4" t="s">
        <v>1013</v>
      </c>
      <c r="F762" s="1">
        <v>15.6426</v>
      </c>
    </row>
    <row r="763" spans="5:6" x14ac:dyDescent="0.25">
      <c r="E763" s="4" t="s">
        <v>1393</v>
      </c>
      <c r="F763" s="1">
        <v>8.4450000000000003</v>
      </c>
    </row>
    <row r="764" spans="5:6" x14ac:dyDescent="0.25">
      <c r="E764" s="4" t="s">
        <v>1176</v>
      </c>
      <c r="F764" s="1">
        <v>111.824</v>
      </c>
    </row>
    <row r="765" spans="5:6" x14ac:dyDescent="0.25">
      <c r="E765" s="4" t="s">
        <v>815</v>
      </c>
      <c r="F765" s="1">
        <v>16.3215</v>
      </c>
    </row>
    <row r="766" spans="5:6" x14ac:dyDescent="0.25">
      <c r="E766" s="4" t="s">
        <v>1916</v>
      </c>
      <c r="F766" s="1">
        <v>11.898</v>
      </c>
    </row>
    <row r="767" spans="5:6" x14ac:dyDescent="0.25">
      <c r="E767" s="4" t="s">
        <v>1940</v>
      </c>
      <c r="F767" s="1">
        <v>50.9208</v>
      </c>
    </row>
    <row r="768" spans="5:6" x14ac:dyDescent="0.25">
      <c r="E768" s="4" t="s">
        <v>812</v>
      </c>
      <c r="F768" s="1">
        <v>46.220999999999997</v>
      </c>
    </row>
    <row r="769" spans="5:6" x14ac:dyDescent="0.25">
      <c r="E769" s="4" t="s">
        <v>1112</v>
      </c>
      <c r="F769" s="1">
        <v>14.346</v>
      </c>
    </row>
    <row r="770" spans="5:6" x14ac:dyDescent="0.25">
      <c r="E770" s="4" t="s">
        <v>1605</v>
      </c>
      <c r="F770" s="1">
        <v>9.5968</v>
      </c>
    </row>
    <row r="771" spans="5:6" x14ac:dyDescent="0.25">
      <c r="E771" s="4" t="s">
        <v>1333</v>
      </c>
      <c r="F771" s="1">
        <v>0.64080000000000004</v>
      </c>
    </row>
    <row r="772" spans="5:6" x14ac:dyDescent="0.25">
      <c r="E772" s="4" t="s">
        <v>1585</v>
      </c>
      <c r="F772" s="1">
        <v>25.198</v>
      </c>
    </row>
    <row r="773" spans="5:6" x14ac:dyDescent="0.25">
      <c r="E773" s="4" t="s">
        <v>1475</v>
      </c>
      <c r="F773" s="1">
        <v>4.0994999999999999</v>
      </c>
    </row>
    <row r="774" spans="5:6" x14ac:dyDescent="0.25">
      <c r="E774" s="4" t="s">
        <v>1954</v>
      </c>
      <c r="F774" s="1">
        <v>9.5786999999999995</v>
      </c>
    </row>
    <row r="775" spans="5:6" x14ac:dyDescent="0.25">
      <c r="E775" s="4" t="s">
        <v>728</v>
      </c>
      <c r="F775" s="1">
        <v>146.29679999999999</v>
      </c>
    </row>
    <row r="776" spans="5:6" x14ac:dyDescent="0.25">
      <c r="E776" s="4" t="s">
        <v>424</v>
      </c>
      <c r="F776" s="1">
        <v>3.0996000000000001</v>
      </c>
    </row>
    <row r="777" spans="5:6" x14ac:dyDescent="0.25">
      <c r="E777" s="4" t="s">
        <v>1642</v>
      </c>
      <c r="F777" s="1">
        <v>0.83850000000000002</v>
      </c>
    </row>
    <row r="778" spans="5:6" x14ac:dyDescent="0.25">
      <c r="E778" s="4" t="s">
        <v>846</v>
      </c>
      <c r="F778" s="1">
        <v>5.9311999999999996</v>
      </c>
    </row>
    <row r="779" spans="5:6" x14ac:dyDescent="0.25">
      <c r="E779" s="4" t="s">
        <v>295</v>
      </c>
      <c r="F779" s="1">
        <v>1.2038</v>
      </c>
    </row>
    <row r="780" spans="5:6" x14ac:dyDescent="0.25">
      <c r="E780" s="4" t="s">
        <v>1589</v>
      </c>
      <c r="F780" s="1">
        <v>52.506</v>
      </c>
    </row>
    <row r="781" spans="5:6" x14ac:dyDescent="0.25">
      <c r="E781" s="4" t="s">
        <v>1337</v>
      </c>
      <c r="F781" s="1">
        <v>4.0179999999999998</v>
      </c>
    </row>
    <row r="782" spans="5:6" x14ac:dyDescent="0.25">
      <c r="E782" s="4" t="s">
        <v>1689</v>
      </c>
      <c r="F782" s="1">
        <v>0.82879999999999998</v>
      </c>
    </row>
    <row r="783" spans="5:6" x14ac:dyDescent="0.25">
      <c r="E783" s="4" t="s">
        <v>1593</v>
      </c>
      <c r="F783" s="1">
        <v>12.700800000000001</v>
      </c>
    </row>
    <row r="784" spans="5:6" x14ac:dyDescent="0.25">
      <c r="E784" s="4" t="s">
        <v>266</v>
      </c>
      <c r="F784" s="1">
        <v>2.7324000000000002</v>
      </c>
    </row>
    <row r="785" spans="5:6" x14ac:dyDescent="0.25">
      <c r="E785" s="4" t="s">
        <v>910</v>
      </c>
      <c r="F785" s="1">
        <v>0.80559999999999998</v>
      </c>
    </row>
    <row r="786" spans="5:6" x14ac:dyDescent="0.25">
      <c r="E786" s="4" t="s">
        <v>495</v>
      </c>
      <c r="F786" s="1">
        <v>38.380000000000003</v>
      </c>
    </row>
    <row r="787" spans="5:6" x14ac:dyDescent="0.25">
      <c r="E787" s="4" t="s">
        <v>1467</v>
      </c>
      <c r="F787" s="1">
        <v>-99.266400000000004</v>
      </c>
    </row>
    <row r="788" spans="5:6" x14ac:dyDescent="0.25">
      <c r="E788" s="4" t="s">
        <v>1131</v>
      </c>
      <c r="F788" s="1">
        <v>-430.61700000000002</v>
      </c>
    </row>
    <row r="789" spans="5:6" x14ac:dyDescent="0.25">
      <c r="E789" s="4" t="s">
        <v>886</v>
      </c>
      <c r="F789" s="1">
        <v>-288.32100000000003</v>
      </c>
    </row>
    <row r="790" spans="5:6" x14ac:dyDescent="0.25">
      <c r="E790" s="4" t="s">
        <v>225</v>
      </c>
      <c r="F790" s="1">
        <v>-162.66100000000003</v>
      </c>
    </row>
    <row r="791" spans="5:6" x14ac:dyDescent="0.25">
      <c r="E791" s="4" t="s">
        <v>1826</v>
      </c>
      <c r="F791" s="1">
        <v>-573.94259999999997</v>
      </c>
    </row>
    <row r="792" spans="5:6" x14ac:dyDescent="0.25">
      <c r="E792" s="4" t="s">
        <v>1503</v>
      </c>
      <c r="F792" s="1">
        <v>9.5144000000000002</v>
      </c>
    </row>
    <row r="793" spans="5:6" x14ac:dyDescent="0.25">
      <c r="E793" s="4" t="s">
        <v>664</v>
      </c>
      <c r="F793" s="1">
        <v>28.176400000000001</v>
      </c>
    </row>
    <row r="794" spans="5:6" x14ac:dyDescent="0.25">
      <c r="E794" s="4" t="s">
        <v>753</v>
      </c>
      <c r="F794" s="1">
        <v>6.2957999999999998</v>
      </c>
    </row>
    <row r="795" spans="5:6" x14ac:dyDescent="0.25">
      <c r="E795" s="4" t="s">
        <v>813</v>
      </c>
      <c r="F795" s="1">
        <v>1.5804</v>
      </c>
    </row>
    <row r="796" spans="5:6" x14ac:dyDescent="0.25">
      <c r="E796" s="4" t="s">
        <v>1526</v>
      </c>
      <c r="F796" s="1">
        <v>3.8681999999999999</v>
      </c>
    </row>
    <row r="797" spans="5:6" x14ac:dyDescent="0.25">
      <c r="E797" s="4" t="s">
        <v>959</v>
      </c>
      <c r="F797" s="1">
        <v>4.5216000000000003</v>
      </c>
    </row>
    <row r="798" spans="5:6" x14ac:dyDescent="0.25">
      <c r="E798" s="4" t="s">
        <v>1335</v>
      </c>
      <c r="F798" s="1">
        <v>93.055199999999999</v>
      </c>
    </row>
    <row r="799" spans="5:6" x14ac:dyDescent="0.25">
      <c r="E799" s="4" t="s">
        <v>430</v>
      </c>
      <c r="F799" s="1">
        <v>168.4384</v>
      </c>
    </row>
    <row r="800" spans="5:6" x14ac:dyDescent="0.25">
      <c r="E800" s="4" t="s">
        <v>970</v>
      </c>
      <c r="F800" s="1">
        <v>33.588799999999999</v>
      </c>
    </row>
    <row r="801" spans="5:6" x14ac:dyDescent="0.25">
      <c r="E801" s="4" t="s">
        <v>1484</v>
      </c>
      <c r="F801" s="1">
        <v>-85.238399999999999</v>
      </c>
    </row>
    <row r="802" spans="5:6" x14ac:dyDescent="0.25">
      <c r="E802" s="4" t="s">
        <v>247</v>
      </c>
      <c r="F802" s="1">
        <v>17.765999999999998</v>
      </c>
    </row>
    <row r="803" spans="5:6" x14ac:dyDescent="0.25">
      <c r="E803" s="4" t="s">
        <v>791</v>
      </c>
      <c r="F803" s="1">
        <v>99.489599999999996</v>
      </c>
    </row>
    <row r="804" spans="5:6" x14ac:dyDescent="0.25">
      <c r="E804" s="4" t="s">
        <v>1433</v>
      </c>
      <c r="F804" s="1">
        <v>137.28960000000001</v>
      </c>
    </row>
    <row r="805" spans="5:6" x14ac:dyDescent="0.25">
      <c r="E805" s="4" t="s">
        <v>1010</v>
      </c>
      <c r="F805" s="1">
        <v>90.734999999999999</v>
      </c>
    </row>
    <row r="806" spans="5:6" x14ac:dyDescent="0.25">
      <c r="E806" s="4" t="s">
        <v>1142</v>
      </c>
      <c r="F806" s="1">
        <v>-86.486400000000003</v>
      </c>
    </row>
    <row r="807" spans="5:6" x14ac:dyDescent="0.25">
      <c r="E807" s="4" t="s">
        <v>1890</v>
      </c>
      <c r="F807" s="1">
        <v>12.096</v>
      </c>
    </row>
    <row r="808" spans="5:6" x14ac:dyDescent="0.25">
      <c r="E808" s="4" t="s">
        <v>1427</v>
      </c>
      <c r="F808" s="1">
        <v>80.368200000000002</v>
      </c>
    </row>
    <row r="809" spans="5:6" x14ac:dyDescent="0.25">
      <c r="E809" s="4" t="s">
        <v>556</v>
      </c>
      <c r="F809" s="1">
        <v>-73.843000000000004</v>
      </c>
    </row>
    <row r="810" spans="5:6" x14ac:dyDescent="0.25">
      <c r="E810" s="4" t="s">
        <v>362</v>
      </c>
      <c r="F810" s="1">
        <v>0.3024</v>
      </c>
    </row>
    <row r="811" spans="5:6" x14ac:dyDescent="0.25">
      <c r="E811" s="4" t="s">
        <v>1283</v>
      </c>
      <c r="F811" s="1">
        <v>-263.99669999999998</v>
      </c>
    </row>
    <row r="812" spans="5:6" x14ac:dyDescent="0.25">
      <c r="E812" s="4" t="s">
        <v>1094</v>
      </c>
      <c r="F812" s="1">
        <v>9.7344000000000008</v>
      </c>
    </row>
    <row r="813" spans="5:6" x14ac:dyDescent="0.25">
      <c r="E813" s="4" t="s">
        <v>1787</v>
      </c>
      <c r="F813" s="1">
        <v>-0.59640000000000004</v>
      </c>
    </row>
    <row r="814" spans="5:6" x14ac:dyDescent="0.25">
      <c r="E814" s="4" t="s">
        <v>1645</v>
      </c>
      <c r="F814" s="1">
        <v>3.5640000000000001</v>
      </c>
    </row>
    <row r="815" spans="5:6" x14ac:dyDescent="0.25">
      <c r="E815" s="4" t="s">
        <v>609</v>
      </c>
      <c r="F815" s="1">
        <v>13.932</v>
      </c>
    </row>
    <row r="816" spans="5:6" x14ac:dyDescent="0.25">
      <c r="E816" s="4" t="s">
        <v>285</v>
      </c>
      <c r="F816" s="1">
        <v>-5.7279999999999998</v>
      </c>
    </row>
    <row r="817" spans="5:6" x14ac:dyDescent="0.25">
      <c r="E817" s="4" t="s">
        <v>193</v>
      </c>
      <c r="F817" s="1">
        <v>22.618400000000001</v>
      </c>
    </row>
    <row r="818" spans="5:6" x14ac:dyDescent="0.25">
      <c r="E818" s="4" t="s">
        <v>985</v>
      </c>
      <c r="F818" s="1">
        <v>-2.8735999999999993</v>
      </c>
    </row>
    <row r="819" spans="5:6" x14ac:dyDescent="0.25">
      <c r="E819" s="4" t="s">
        <v>954</v>
      </c>
      <c r="F819" s="1">
        <v>7.2267999999999999</v>
      </c>
    </row>
    <row r="820" spans="5:6" x14ac:dyDescent="0.25">
      <c r="E820" s="4" t="s">
        <v>484</v>
      </c>
      <c r="F820" s="1">
        <v>21.164000000000001</v>
      </c>
    </row>
    <row r="821" spans="5:6" x14ac:dyDescent="0.25">
      <c r="E821" s="4" t="s">
        <v>1679</v>
      </c>
      <c r="F821" s="1">
        <v>-3.0396000000000001</v>
      </c>
    </row>
    <row r="822" spans="5:6" x14ac:dyDescent="0.25">
      <c r="E822" s="4" t="s">
        <v>1707</v>
      </c>
      <c r="F822" s="1">
        <v>44.021999999999998</v>
      </c>
    </row>
    <row r="823" spans="5:6" x14ac:dyDescent="0.25">
      <c r="E823" s="4" t="s">
        <v>1662</v>
      </c>
      <c r="F823" s="1">
        <v>1.5548</v>
      </c>
    </row>
    <row r="824" spans="5:6" x14ac:dyDescent="0.25">
      <c r="E824" s="4" t="s">
        <v>1700</v>
      </c>
      <c r="F824" s="1">
        <v>-16.466999999999999</v>
      </c>
    </row>
    <row r="825" spans="5:6" x14ac:dyDescent="0.25">
      <c r="E825" s="4" t="s">
        <v>1842</v>
      </c>
      <c r="F825" s="1">
        <v>2.004</v>
      </c>
    </row>
    <row r="826" spans="5:6" x14ac:dyDescent="0.25">
      <c r="E826" s="4" t="s">
        <v>1450</v>
      </c>
      <c r="F826" s="1">
        <v>14.832000000000001</v>
      </c>
    </row>
    <row r="827" spans="5:6" x14ac:dyDescent="0.25">
      <c r="E827" s="4" t="s">
        <v>562</v>
      </c>
      <c r="F827" s="1">
        <v>5.3730000000000002</v>
      </c>
    </row>
    <row r="828" spans="5:6" x14ac:dyDescent="0.25">
      <c r="E828" s="4" t="s">
        <v>966</v>
      </c>
      <c r="F828" s="1">
        <v>-7.3567999999999998</v>
      </c>
    </row>
    <row r="829" spans="5:6" x14ac:dyDescent="0.25">
      <c r="E829" s="4" t="s">
        <v>1170</v>
      </c>
      <c r="F829" s="1">
        <v>6.5830000000000002</v>
      </c>
    </row>
    <row r="830" spans="5:6" x14ac:dyDescent="0.25">
      <c r="E830" s="4" t="s">
        <v>147</v>
      </c>
      <c r="F830" s="1">
        <v>-8.6549999999999994</v>
      </c>
    </row>
    <row r="831" spans="5:6" x14ac:dyDescent="0.25">
      <c r="E831" s="4" t="s">
        <v>432</v>
      </c>
      <c r="F831" s="1">
        <v>29.808</v>
      </c>
    </row>
    <row r="832" spans="5:6" x14ac:dyDescent="0.25">
      <c r="E832" s="4" t="s">
        <v>257</v>
      </c>
      <c r="F832" s="1">
        <v>6.8714000000000004</v>
      </c>
    </row>
    <row r="833" spans="5:6" x14ac:dyDescent="0.25">
      <c r="E833" s="4" t="s">
        <v>1195</v>
      </c>
      <c r="F833" s="1">
        <v>10.584</v>
      </c>
    </row>
    <row r="834" spans="5:6" x14ac:dyDescent="0.25">
      <c r="E834" s="4" t="s">
        <v>1685</v>
      </c>
      <c r="F834" s="1">
        <v>11.7782</v>
      </c>
    </row>
    <row r="835" spans="5:6" x14ac:dyDescent="0.25">
      <c r="E835" s="4" t="s">
        <v>1275</v>
      </c>
      <c r="F835" s="1">
        <v>4.5815999999999999</v>
      </c>
    </row>
    <row r="836" spans="5:6" x14ac:dyDescent="0.25">
      <c r="E836" s="4" t="s">
        <v>1899</v>
      </c>
      <c r="F836" s="1">
        <v>1.7248000000000001</v>
      </c>
    </row>
    <row r="837" spans="5:6" x14ac:dyDescent="0.25">
      <c r="E837" s="4" t="s">
        <v>750</v>
      </c>
      <c r="F837" s="1">
        <v>4.2717000000000001</v>
      </c>
    </row>
    <row r="838" spans="5:6" x14ac:dyDescent="0.25">
      <c r="E838" s="4" t="s">
        <v>1359</v>
      </c>
      <c r="F838" s="1">
        <v>2.6496</v>
      </c>
    </row>
    <row r="839" spans="5:6" x14ac:dyDescent="0.25">
      <c r="E839" s="4" t="s">
        <v>1159</v>
      </c>
      <c r="F839" s="1">
        <v>13.2986</v>
      </c>
    </row>
    <row r="840" spans="5:6" x14ac:dyDescent="0.25">
      <c r="E840" s="4" t="s">
        <v>323</v>
      </c>
      <c r="F840" s="1">
        <v>8.8800000000000008</v>
      </c>
    </row>
    <row r="841" spans="5:6" x14ac:dyDescent="0.25">
      <c r="E841" s="4" t="s">
        <v>1274</v>
      </c>
      <c r="F841" s="1">
        <v>5.4611999999999998</v>
      </c>
    </row>
    <row r="842" spans="5:6" x14ac:dyDescent="0.25">
      <c r="E842" s="4" t="s">
        <v>1772</v>
      </c>
      <c r="F842" s="1">
        <v>2.8224</v>
      </c>
    </row>
    <row r="843" spans="5:6" x14ac:dyDescent="0.25">
      <c r="E843" s="4" t="s">
        <v>786</v>
      </c>
      <c r="F843" s="1">
        <v>30.079199999999997</v>
      </c>
    </row>
    <row r="844" spans="5:6" x14ac:dyDescent="0.25">
      <c r="E844" s="4" t="s">
        <v>1552</v>
      </c>
      <c r="F844" s="1">
        <v>9.5081000000000007</v>
      </c>
    </row>
    <row r="845" spans="5:6" x14ac:dyDescent="0.25">
      <c r="E845" s="4" t="s">
        <v>1471</v>
      </c>
      <c r="F845" s="1">
        <v>9</v>
      </c>
    </row>
    <row r="846" spans="5:6" x14ac:dyDescent="0.25">
      <c r="E846" s="4" t="s">
        <v>1790</v>
      </c>
      <c r="F846" s="1">
        <v>7.2176999999999998</v>
      </c>
    </row>
    <row r="847" spans="5:6" x14ac:dyDescent="0.25">
      <c r="E847" s="4" t="s">
        <v>1835</v>
      </c>
      <c r="F847" s="1">
        <v>1.0738000000000001</v>
      </c>
    </row>
    <row r="848" spans="5:6" x14ac:dyDescent="0.25">
      <c r="E848" s="4" t="s">
        <v>1127</v>
      </c>
      <c r="F848" s="1">
        <v>14.8</v>
      </c>
    </row>
    <row r="849" spans="5:6" x14ac:dyDescent="0.25">
      <c r="E849" s="4" t="s">
        <v>1973</v>
      </c>
      <c r="F849" s="1">
        <v>1.4112</v>
      </c>
    </row>
    <row r="850" spans="5:6" x14ac:dyDescent="0.25">
      <c r="E850" s="4" t="s">
        <v>1167</v>
      </c>
      <c r="F850" s="1">
        <v>1.764</v>
      </c>
    </row>
    <row r="851" spans="5:6" x14ac:dyDescent="0.25">
      <c r="E851" s="4" t="s">
        <v>1930</v>
      </c>
      <c r="F851" s="1">
        <v>12.1401</v>
      </c>
    </row>
    <row r="852" spans="5:6" x14ac:dyDescent="0.25">
      <c r="E852" s="4" t="s">
        <v>1731</v>
      </c>
      <c r="F852" s="1">
        <v>10.3071</v>
      </c>
    </row>
    <row r="853" spans="5:6" x14ac:dyDescent="0.25">
      <c r="E853" s="4" t="s">
        <v>834</v>
      </c>
      <c r="F853" s="1">
        <v>5.1791999999999998</v>
      </c>
    </row>
    <row r="854" spans="5:6" x14ac:dyDescent="0.25">
      <c r="E854" s="4" t="s">
        <v>1192</v>
      </c>
      <c r="F854" s="1">
        <v>10.348800000000001</v>
      </c>
    </row>
    <row r="855" spans="5:6" x14ac:dyDescent="0.25">
      <c r="E855" s="4" t="s">
        <v>1340</v>
      </c>
      <c r="F855" s="1">
        <v>7.2</v>
      </c>
    </row>
    <row r="856" spans="5:6" x14ac:dyDescent="0.25">
      <c r="E856" s="4" t="s">
        <v>1921</v>
      </c>
      <c r="F856" s="1">
        <v>5.6375999999999999</v>
      </c>
    </row>
    <row r="857" spans="5:6" x14ac:dyDescent="0.25">
      <c r="E857" s="4" t="s">
        <v>1897</v>
      </c>
      <c r="F857" s="1">
        <v>12.029500000000001</v>
      </c>
    </row>
    <row r="858" spans="5:6" x14ac:dyDescent="0.25">
      <c r="E858" s="4" t="s">
        <v>624</v>
      </c>
      <c r="F858" s="1">
        <v>54.648000000000003</v>
      </c>
    </row>
    <row r="859" spans="5:6" x14ac:dyDescent="0.25">
      <c r="E859" s="4" t="s">
        <v>1357</v>
      </c>
      <c r="F859" s="1">
        <v>56.175199999999997</v>
      </c>
    </row>
    <row r="860" spans="5:6" x14ac:dyDescent="0.25">
      <c r="E860" s="4" t="s">
        <v>1022</v>
      </c>
      <c r="F860" s="1">
        <v>16.2864</v>
      </c>
    </row>
    <row r="861" spans="5:6" x14ac:dyDescent="0.25">
      <c r="E861" s="4" t="s">
        <v>1900</v>
      </c>
      <c r="F861" s="1">
        <v>19.9665</v>
      </c>
    </row>
    <row r="862" spans="5:6" x14ac:dyDescent="0.25">
      <c r="E862" s="4" t="s">
        <v>1242</v>
      </c>
      <c r="F862" s="1">
        <v>296.80720000000002</v>
      </c>
    </row>
    <row r="863" spans="5:6" x14ac:dyDescent="0.25">
      <c r="E863" s="4" t="s">
        <v>1880</v>
      </c>
      <c r="F863" s="1">
        <v>30.097999999999999</v>
      </c>
    </row>
    <row r="864" spans="5:6" x14ac:dyDescent="0.25">
      <c r="E864" s="4" t="s">
        <v>289</v>
      </c>
      <c r="F864" s="1">
        <v>-674.35200000000009</v>
      </c>
    </row>
    <row r="865" spans="5:6" x14ac:dyDescent="0.25">
      <c r="E865" s="4" t="s">
        <v>1436</v>
      </c>
      <c r="F865" s="1">
        <v>200.9546</v>
      </c>
    </row>
    <row r="866" spans="5:6" x14ac:dyDescent="0.25">
      <c r="E866" s="4" t="s">
        <v>1654</v>
      </c>
      <c r="F866" s="1">
        <v>97.1892</v>
      </c>
    </row>
    <row r="867" spans="5:6" x14ac:dyDescent="0.25">
      <c r="E867" s="4" t="s">
        <v>281</v>
      </c>
      <c r="F867" s="1">
        <v>294.81659999999999</v>
      </c>
    </row>
    <row r="868" spans="5:6" x14ac:dyDescent="0.25">
      <c r="E868" s="4" t="s">
        <v>411</v>
      </c>
      <c r="F868" s="1">
        <v>-20.7</v>
      </c>
    </row>
    <row r="869" spans="5:6" x14ac:dyDescent="0.25">
      <c r="E869" s="4" t="s">
        <v>1653</v>
      </c>
      <c r="F869" s="1">
        <v>57.535800000000002</v>
      </c>
    </row>
    <row r="870" spans="5:6" x14ac:dyDescent="0.25">
      <c r="E870" s="4" t="s">
        <v>394</v>
      </c>
      <c r="F870" s="1">
        <v>22.297999999999998</v>
      </c>
    </row>
    <row r="871" spans="5:6" x14ac:dyDescent="0.25">
      <c r="E871" s="4" t="s">
        <v>1823</v>
      </c>
      <c r="F871" s="1">
        <v>5.0688000000000004</v>
      </c>
    </row>
    <row r="872" spans="5:6" x14ac:dyDescent="0.25">
      <c r="E872" s="4" t="s">
        <v>1820</v>
      </c>
      <c r="F872" s="1">
        <v>1.1765000000000001</v>
      </c>
    </row>
    <row r="873" spans="5:6" x14ac:dyDescent="0.25">
      <c r="E873" s="4" t="s">
        <v>1202</v>
      </c>
      <c r="F873" s="1">
        <v>-9.1530000000000005</v>
      </c>
    </row>
    <row r="874" spans="5:6" x14ac:dyDescent="0.25">
      <c r="E874" s="4" t="s">
        <v>549</v>
      </c>
      <c r="F874" s="1">
        <v>455.99200000000002</v>
      </c>
    </row>
    <row r="875" spans="5:6" x14ac:dyDescent="0.25">
      <c r="E875" s="4" t="s">
        <v>991</v>
      </c>
      <c r="F875" s="1">
        <v>193.98059999999998</v>
      </c>
    </row>
    <row r="876" spans="5:6" x14ac:dyDescent="0.25">
      <c r="E876" s="4" t="s">
        <v>1282</v>
      </c>
      <c r="F876" s="1">
        <v>1150.1991</v>
      </c>
    </row>
    <row r="877" spans="5:6" x14ac:dyDescent="0.25">
      <c r="E877" s="4" t="s">
        <v>1528</v>
      </c>
      <c r="F877" s="1">
        <v>-80.48</v>
      </c>
    </row>
    <row r="878" spans="5:6" x14ac:dyDescent="0.25">
      <c r="E878" s="4" t="s">
        <v>854</v>
      </c>
      <c r="F878" s="1">
        <v>17.994</v>
      </c>
    </row>
    <row r="879" spans="5:6" x14ac:dyDescent="0.25">
      <c r="E879" s="4" t="s">
        <v>227</v>
      </c>
      <c r="F879" s="1">
        <v>-7.1963999999999997</v>
      </c>
    </row>
    <row r="880" spans="5:6" x14ac:dyDescent="0.25">
      <c r="E880" s="4" t="s">
        <v>1478</v>
      </c>
      <c r="F880" s="1">
        <v>11.429600000000001</v>
      </c>
    </row>
    <row r="881" spans="5:6" x14ac:dyDescent="0.25">
      <c r="E881" s="4" t="s">
        <v>651</v>
      </c>
      <c r="F881" s="1">
        <v>-0.98459999999999948</v>
      </c>
    </row>
    <row r="882" spans="5:6" x14ac:dyDescent="0.25">
      <c r="E882" s="4" t="s">
        <v>461</v>
      </c>
      <c r="F882" s="1">
        <v>-13.797000000000001</v>
      </c>
    </row>
    <row r="883" spans="5:6" x14ac:dyDescent="0.25">
      <c r="E883" s="4" t="s">
        <v>1784</v>
      </c>
      <c r="F883" s="1">
        <v>6.1289999999999996</v>
      </c>
    </row>
    <row r="884" spans="5:6" x14ac:dyDescent="0.25">
      <c r="E884" s="4" t="s">
        <v>1059</v>
      </c>
      <c r="F884" s="1">
        <v>33.695999999999998</v>
      </c>
    </row>
    <row r="885" spans="5:6" x14ac:dyDescent="0.25">
      <c r="E885" s="4" t="s">
        <v>1488</v>
      </c>
      <c r="F885" s="1">
        <v>204.07140000000001</v>
      </c>
    </row>
    <row r="886" spans="5:6" x14ac:dyDescent="0.25">
      <c r="E886" s="4" t="s">
        <v>498</v>
      </c>
      <c r="F886" s="1">
        <v>6.0812999999999997</v>
      </c>
    </row>
    <row r="887" spans="5:6" x14ac:dyDescent="0.25">
      <c r="E887" s="4" t="s">
        <v>942</v>
      </c>
      <c r="F887" s="1">
        <v>13.734</v>
      </c>
    </row>
    <row r="888" spans="5:6" x14ac:dyDescent="0.25">
      <c r="E888" s="4" t="s">
        <v>1057</v>
      </c>
      <c r="F888" s="1">
        <v>3.6659999999999999</v>
      </c>
    </row>
    <row r="889" spans="5:6" x14ac:dyDescent="0.25">
      <c r="E889" s="4" t="s">
        <v>547</v>
      </c>
      <c r="F889" s="1">
        <v>75.47999999999999</v>
      </c>
    </row>
    <row r="890" spans="5:6" x14ac:dyDescent="0.25">
      <c r="E890" s="4" t="s">
        <v>1603</v>
      </c>
      <c r="F890" s="1">
        <v>0.2334</v>
      </c>
    </row>
    <row r="891" spans="5:6" x14ac:dyDescent="0.25">
      <c r="E891" s="4" t="s">
        <v>620</v>
      </c>
      <c r="F891" s="1">
        <v>0</v>
      </c>
    </row>
    <row r="892" spans="5:6" x14ac:dyDescent="0.25">
      <c r="E892" s="4" t="s">
        <v>1748</v>
      </c>
      <c r="F892" s="1">
        <v>78.894199999999998</v>
      </c>
    </row>
    <row r="893" spans="5:6" x14ac:dyDescent="0.25">
      <c r="E893" s="4" t="s">
        <v>1442</v>
      </c>
      <c r="F893" s="1">
        <v>1.7138</v>
      </c>
    </row>
    <row r="894" spans="5:6" x14ac:dyDescent="0.25">
      <c r="E894" s="4" t="s">
        <v>916</v>
      </c>
      <c r="F894" s="1">
        <v>4.9104000000000001</v>
      </c>
    </row>
    <row r="895" spans="5:6" x14ac:dyDescent="0.25">
      <c r="E895" s="4" t="s">
        <v>1525</v>
      </c>
      <c r="F895" s="1">
        <v>114.6704</v>
      </c>
    </row>
    <row r="896" spans="5:6" x14ac:dyDescent="0.25">
      <c r="E896" s="4" t="s">
        <v>129</v>
      </c>
      <c r="F896" s="1">
        <v>6.2565999999999997</v>
      </c>
    </row>
    <row r="897" spans="5:6" x14ac:dyDescent="0.25">
      <c r="E897" s="4" t="s">
        <v>809</v>
      </c>
      <c r="F897" s="1">
        <v>31.200000000000003</v>
      </c>
    </row>
    <row r="898" spans="5:6" x14ac:dyDescent="0.25">
      <c r="E898" s="4" t="s">
        <v>1672</v>
      </c>
      <c r="F898" s="1">
        <v>3.7919999999999998</v>
      </c>
    </row>
    <row r="899" spans="5:6" x14ac:dyDescent="0.25">
      <c r="E899" s="4" t="s">
        <v>1882</v>
      </c>
      <c r="F899" s="1">
        <v>76.087800000000001</v>
      </c>
    </row>
    <row r="900" spans="5:6" x14ac:dyDescent="0.25">
      <c r="E900" s="4" t="s">
        <v>106</v>
      </c>
      <c r="F900" s="1">
        <v>9.5616000000000003</v>
      </c>
    </row>
    <row r="901" spans="5:6" x14ac:dyDescent="0.25">
      <c r="E901" s="4" t="s">
        <v>1540</v>
      </c>
      <c r="F901" s="1">
        <v>22.6782</v>
      </c>
    </row>
    <row r="902" spans="5:6" x14ac:dyDescent="0.25">
      <c r="E902" s="4" t="s">
        <v>367</v>
      </c>
      <c r="F902" s="1">
        <v>210.49359999999999</v>
      </c>
    </row>
    <row r="903" spans="5:6" x14ac:dyDescent="0.25">
      <c r="E903" s="4" t="s">
        <v>840</v>
      </c>
      <c r="F903" s="1">
        <v>5.2256</v>
      </c>
    </row>
    <row r="904" spans="5:6" x14ac:dyDescent="0.25">
      <c r="E904" s="4" t="s">
        <v>1661</v>
      </c>
      <c r="F904" s="1">
        <v>4.8924000000000003</v>
      </c>
    </row>
    <row r="905" spans="5:6" x14ac:dyDescent="0.25">
      <c r="E905" s="4" t="s">
        <v>765</v>
      </c>
      <c r="F905" s="1">
        <v>10.224</v>
      </c>
    </row>
    <row r="906" spans="5:6" x14ac:dyDescent="0.25">
      <c r="E906" s="4" t="s">
        <v>268</v>
      </c>
      <c r="F906" s="1">
        <v>9.8417999999999992</v>
      </c>
    </row>
    <row r="907" spans="5:6" x14ac:dyDescent="0.25">
      <c r="E907" s="4" t="s">
        <v>1140</v>
      </c>
      <c r="F907" s="1">
        <v>6.3296000000000001</v>
      </c>
    </row>
    <row r="908" spans="5:6" x14ac:dyDescent="0.25">
      <c r="E908" s="4" t="s">
        <v>698</v>
      </c>
      <c r="F908" s="1">
        <v>2.0790000000000002</v>
      </c>
    </row>
    <row r="909" spans="5:6" x14ac:dyDescent="0.25">
      <c r="E909" s="4" t="s">
        <v>743</v>
      </c>
      <c r="F909" s="1">
        <v>5.1281999999999996</v>
      </c>
    </row>
    <row r="910" spans="5:6" x14ac:dyDescent="0.25">
      <c r="E910" s="4" t="s">
        <v>1878</v>
      </c>
      <c r="F910" s="1">
        <v>5.1660000000000004</v>
      </c>
    </row>
    <row r="911" spans="5:6" x14ac:dyDescent="0.25">
      <c r="E911" s="4" t="s">
        <v>1886</v>
      </c>
      <c r="F911" s="1">
        <v>16.262999999999998</v>
      </c>
    </row>
    <row r="912" spans="5:6" x14ac:dyDescent="0.25">
      <c r="E912" s="4" t="s">
        <v>1786</v>
      </c>
      <c r="F912" s="1">
        <v>18.8993</v>
      </c>
    </row>
    <row r="913" spans="5:6" x14ac:dyDescent="0.25">
      <c r="E913" s="4" t="s">
        <v>477</v>
      </c>
      <c r="F913" s="1">
        <v>31.554000000000002</v>
      </c>
    </row>
    <row r="914" spans="5:6" x14ac:dyDescent="0.25">
      <c r="E914" s="4" t="s">
        <v>1019</v>
      </c>
      <c r="F914" s="1">
        <v>-0.1238999999999999</v>
      </c>
    </row>
    <row r="915" spans="5:6" x14ac:dyDescent="0.25">
      <c r="E915" s="4" t="s">
        <v>1765</v>
      </c>
      <c r="F915" s="1">
        <v>1.1151</v>
      </c>
    </row>
    <row r="916" spans="5:6" x14ac:dyDescent="0.25">
      <c r="E916" s="4" t="s">
        <v>1250</v>
      </c>
      <c r="F916" s="1">
        <v>-8.2368000000000006</v>
      </c>
    </row>
    <row r="917" spans="5:6" x14ac:dyDescent="0.25">
      <c r="E917" s="4" t="s">
        <v>913</v>
      </c>
      <c r="F917" s="1">
        <v>-1.8904000000000001</v>
      </c>
    </row>
    <row r="918" spans="5:6" x14ac:dyDescent="0.25">
      <c r="E918" s="4" t="s">
        <v>1444</v>
      </c>
      <c r="F918" s="1">
        <v>45.770400000000002</v>
      </c>
    </row>
    <row r="919" spans="5:6" x14ac:dyDescent="0.25">
      <c r="E919" s="4" t="s">
        <v>1761</v>
      </c>
      <c r="F919" s="1">
        <v>31.376799999999999</v>
      </c>
    </row>
    <row r="920" spans="5:6" x14ac:dyDescent="0.25">
      <c r="E920" s="4" t="s">
        <v>1910</v>
      </c>
      <c r="F920" s="1">
        <v>7.9085999999999999</v>
      </c>
    </row>
    <row r="921" spans="5:6" x14ac:dyDescent="0.25">
      <c r="E921" s="4" t="s">
        <v>1179</v>
      </c>
      <c r="F921" s="1">
        <v>7.7343000000000002</v>
      </c>
    </row>
    <row r="922" spans="5:6" x14ac:dyDescent="0.25">
      <c r="E922" s="4" t="s">
        <v>1985</v>
      </c>
      <c r="F922" s="1">
        <v>9.7439999999999998</v>
      </c>
    </row>
    <row r="923" spans="5:6" x14ac:dyDescent="0.25">
      <c r="E923" s="4" t="s">
        <v>1821</v>
      </c>
      <c r="F923" s="1">
        <v>42.790099999999995</v>
      </c>
    </row>
    <row r="924" spans="5:6" x14ac:dyDescent="0.25">
      <c r="E924" s="4" t="s">
        <v>775</v>
      </c>
      <c r="F924" s="1">
        <v>-68.843599999999995</v>
      </c>
    </row>
    <row r="925" spans="5:6" x14ac:dyDescent="0.25">
      <c r="E925" s="4" t="s">
        <v>1258</v>
      </c>
      <c r="F925" s="1">
        <v>17.209499999999998</v>
      </c>
    </row>
    <row r="926" spans="5:6" x14ac:dyDescent="0.25">
      <c r="E926" s="4" t="s">
        <v>1453</v>
      </c>
      <c r="F926" s="1">
        <v>13.596500000000001</v>
      </c>
    </row>
    <row r="927" spans="5:6" x14ac:dyDescent="0.25">
      <c r="E927" s="4" t="s">
        <v>1681</v>
      </c>
      <c r="F927" s="1">
        <v>2.3328000000000002</v>
      </c>
    </row>
    <row r="928" spans="5:6" x14ac:dyDescent="0.25">
      <c r="E928" s="4" t="s">
        <v>272</v>
      </c>
      <c r="F928" s="1">
        <v>-243.16</v>
      </c>
    </row>
    <row r="929" spans="5:6" x14ac:dyDescent="0.25">
      <c r="E929" s="4" t="s">
        <v>1092</v>
      </c>
      <c r="F929" s="1">
        <v>19.655999999999999</v>
      </c>
    </row>
    <row r="930" spans="5:6" x14ac:dyDescent="0.25">
      <c r="E930" s="4" t="s">
        <v>1373</v>
      </c>
      <c r="F930" s="1">
        <v>9.3184000000000005</v>
      </c>
    </row>
    <row r="931" spans="5:6" x14ac:dyDescent="0.25">
      <c r="E931" s="4" t="s">
        <v>1807</v>
      </c>
      <c r="F931" s="1">
        <v>3.6791999999999998</v>
      </c>
    </row>
    <row r="932" spans="5:6" x14ac:dyDescent="0.25">
      <c r="E932" s="4" t="s">
        <v>409</v>
      </c>
      <c r="F932" s="1">
        <v>-67.876199999999997</v>
      </c>
    </row>
    <row r="933" spans="5:6" x14ac:dyDescent="0.25">
      <c r="E933" s="4" t="s">
        <v>186</v>
      </c>
      <c r="F933" s="1">
        <v>57.917999999999999</v>
      </c>
    </row>
    <row r="934" spans="5:6" x14ac:dyDescent="0.25">
      <c r="E934" s="4" t="s">
        <v>992</v>
      </c>
      <c r="F934" s="1">
        <v>15.849600000000001</v>
      </c>
    </row>
    <row r="935" spans="5:6" x14ac:dyDescent="0.25">
      <c r="E935" s="4" t="s">
        <v>1455</v>
      </c>
      <c r="F935" s="1">
        <v>5.3391999999999999</v>
      </c>
    </row>
    <row r="936" spans="5:6" x14ac:dyDescent="0.25">
      <c r="E936" s="4" t="s">
        <v>532</v>
      </c>
      <c r="F936" s="1">
        <v>36.372</v>
      </c>
    </row>
    <row r="937" spans="5:6" x14ac:dyDescent="0.25">
      <c r="E937" s="4" t="s">
        <v>689</v>
      </c>
      <c r="F937" s="1">
        <v>15.17</v>
      </c>
    </row>
    <row r="938" spans="5:6" x14ac:dyDescent="0.25">
      <c r="E938" s="4" t="s">
        <v>1743</v>
      </c>
      <c r="F938" s="1">
        <v>2365.9818</v>
      </c>
    </row>
    <row r="939" spans="5:6" x14ac:dyDescent="0.25">
      <c r="E939" s="4" t="s">
        <v>1041</v>
      </c>
      <c r="F939" s="1">
        <v>48.151800000000001</v>
      </c>
    </row>
    <row r="940" spans="5:6" x14ac:dyDescent="0.25">
      <c r="E940" s="4" t="s">
        <v>1768</v>
      </c>
      <c r="F940" s="1">
        <v>84.22</v>
      </c>
    </row>
    <row r="941" spans="5:6" x14ac:dyDescent="0.25">
      <c r="E941" s="4" t="s">
        <v>475</v>
      </c>
      <c r="F941" s="1">
        <v>9.4923999999999999</v>
      </c>
    </row>
    <row r="942" spans="5:6" x14ac:dyDescent="0.25">
      <c r="E942" s="4" t="s">
        <v>759</v>
      </c>
      <c r="F942" s="1">
        <v>28.7712</v>
      </c>
    </row>
    <row r="943" spans="5:6" x14ac:dyDescent="0.25">
      <c r="E943" s="4" t="s">
        <v>160</v>
      </c>
      <c r="F943" s="1">
        <v>56.203200000000002</v>
      </c>
    </row>
    <row r="944" spans="5:6" x14ac:dyDescent="0.25">
      <c r="E944" s="4" t="s">
        <v>95</v>
      </c>
      <c r="F944" s="1">
        <v>63.747</v>
      </c>
    </row>
    <row r="945" spans="5:6" x14ac:dyDescent="0.25">
      <c r="E945" s="4" t="s">
        <v>1814</v>
      </c>
      <c r="F945" s="1">
        <v>4.2309000000000001</v>
      </c>
    </row>
    <row r="946" spans="5:6" x14ac:dyDescent="0.25">
      <c r="E946" s="4" t="s">
        <v>725</v>
      </c>
      <c r="F946" s="1">
        <v>8.8623999999999992</v>
      </c>
    </row>
    <row r="947" spans="5:6" x14ac:dyDescent="0.25">
      <c r="E947" s="4" t="s">
        <v>2004</v>
      </c>
      <c r="F947" s="1">
        <v>24962.700500000035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0A70-A45B-4C28-9B1C-BE5C6952CC57}">
  <dimension ref="A1:G9"/>
  <sheetViews>
    <sheetView workbookViewId="0">
      <selection activeCell="B11" sqref="B11"/>
    </sheetView>
  </sheetViews>
  <sheetFormatPr defaultRowHeight="15" x14ac:dyDescent="0.25"/>
  <cols>
    <col min="1" max="1" width="18.140625" bestFit="1" customWidth="1"/>
    <col min="2" max="2" width="14.85546875" customWidth="1"/>
    <col min="4" max="4" width="9.85546875" bestFit="1" customWidth="1"/>
  </cols>
  <sheetData>
    <row r="1" spans="1:7" ht="15.75" x14ac:dyDescent="0.25">
      <c r="A1" s="8" t="s">
        <v>2007</v>
      </c>
      <c r="B1" s="6">
        <f>SUM('Data set'!P:P)</f>
        <v>307800.32910000056</v>
      </c>
    </row>
    <row r="2" spans="1:7" ht="15.75" x14ac:dyDescent="0.25">
      <c r="A2" s="8" t="s">
        <v>2008</v>
      </c>
      <c r="B2" s="7">
        <f>B1/B3</f>
        <v>230.56204426966335</v>
      </c>
    </row>
    <row r="3" spans="1:7" ht="15.75" x14ac:dyDescent="0.25">
      <c r="A3" s="8" t="s">
        <v>2009</v>
      </c>
      <c r="B3" s="5">
        <f>COUNTA('Data set'!D:D)</f>
        <v>1335</v>
      </c>
    </row>
    <row r="4" spans="1:7" ht="15.75" x14ac:dyDescent="0.25">
      <c r="A4" s="8" t="s">
        <v>2010</v>
      </c>
      <c r="B4" s="6">
        <f>SUM('Data set'!O:O)</f>
        <v>24962.700500000003</v>
      </c>
    </row>
    <row r="5" spans="1:7" ht="15.75" x14ac:dyDescent="0.25">
      <c r="A5" s="8" t="s">
        <v>2011</v>
      </c>
      <c r="B5" s="6">
        <f>SUM(Ecommerce_Sales_analysis[Cost])</f>
        <v>282837.62860000017</v>
      </c>
    </row>
    <row r="6" spans="1:7" ht="15.75" x14ac:dyDescent="0.25">
      <c r="A6" s="8" t="s">
        <v>2012</v>
      </c>
      <c r="B6" s="5">
        <f>SUM('Data set'!M:M)</f>
        <v>5108</v>
      </c>
    </row>
    <row r="7" spans="1:7" ht="15.75" x14ac:dyDescent="0.25">
      <c r="A7" s="8" t="s">
        <v>2013</v>
      </c>
      <c r="B7" s="6">
        <f>SUMIF('Data set'!E:E,"Home Office",'Data set'!P:P)</f>
        <v>55597.594000000026</v>
      </c>
    </row>
    <row r="8" spans="1:7" ht="15.75" x14ac:dyDescent="0.25">
      <c r="A8" s="8" t="s">
        <v>2014</v>
      </c>
      <c r="B8" s="6">
        <f>SUMIF('Data set'!E:E,"Consumer",'Data set'!P:P)</f>
        <v>144286.99399999989</v>
      </c>
      <c r="G8" t="s">
        <v>2016</v>
      </c>
    </row>
    <row r="9" spans="1:7" ht="15.75" x14ac:dyDescent="0.25">
      <c r="A9" s="8" t="s">
        <v>2015</v>
      </c>
      <c r="B9" s="6">
        <f>SUMIF('Data set'!E:E,"Corporate",'Data set'!P:P)</f>
        <v>107915.74109999993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1CE0-C093-47C7-85BF-091CFA9B758C}">
  <dimension ref="A1:Q1335"/>
  <sheetViews>
    <sheetView topLeftCell="A65" workbookViewId="0">
      <selection activeCell="D2" sqref="D2:D1335"/>
    </sheetView>
  </sheetViews>
  <sheetFormatPr defaultRowHeight="15" x14ac:dyDescent="0.25"/>
  <cols>
    <col min="1" max="1" width="13" bestFit="1" customWidth="1"/>
    <col min="2" max="2" width="11.7109375" bestFit="1" customWidth="1"/>
    <col min="3" max="3" width="13.85546875" bestFit="1" customWidth="1"/>
    <col min="4" max="4" width="22.7109375" bestFit="1" customWidth="1"/>
    <col min="5" max="5" width="12.140625" bestFit="1" customWidth="1"/>
    <col min="6" max="6" width="12.85546875" bestFit="1" customWidth="1"/>
    <col min="7" max="7" width="18.28515625" bestFit="1" customWidth="1"/>
    <col min="8" max="8" width="18.7109375" bestFit="1" customWidth="1"/>
    <col min="9" max="9" width="9.42578125" bestFit="1" customWidth="1"/>
    <col min="10" max="10" width="14.5703125" bestFit="1" customWidth="1"/>
    <col min="11" max="11" width="15.140625" bestFit="1" customWidth="1"/>
    <col min="12" max="12" width="68.7109375" bestFit="1" customWidth="1"/>
    <col min="13" max="14" width="11" bestFit="1" customWidth="1"/>
    <col min="15" max="15" width="10.7109375" bestFit="1" customWidth="1"/>
    <col min="16" max="16" width="9" bestFit="1" customWidth="1"/>
    <col min="17" max="17" width="11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12</v>
      </c>
      <c r="Q1" s="1" t="s">
        <v>16</v>
      </c>
    </row>
    <row r="2" spans="1:17" x14ac:dyDescent="0.25">
      <c r="A2" s="2">
        <v>42682</v>
      </c>
      <c r="B2" s="2">
        <v>42685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>
        <v>2</v>
      </c>
      <c r="N2" s="1">
        <v>0</v>
      </c>
      <c r="O2" s="1">
        <v>41.913600000000002</v>
      </c>
      <c r="P2" s="1">
        <v>261.95999999999998</v>
      </c>
      <c r="Q2" s="1">
        <v>220.04639999999998</v>
      </c>
    </row>
    <row r="3" spans="1:17" x14ac:dyDescent="0.25">
      <c r="A3" s="2">
        <v>42533</v>
      </c>
      <c r="B3" s="2">
        <v>42537</v>
      </c>
      <c r="C3" s="1" t="s">
        <v>17</v>
      </c>
      <c r="D3" s="1" t="s">
        <v>27</v>
      </c>
      <c r="E3" s="1" t="s">
        <v>28</v>
      </c>
      <c r="F3" s="1" t="s">
        <v>20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>
        <v>2</v>
      </c>
      <c r="N3" s="1">
        <v>0</v>
      </c>
      <c r="O3" s="1">
        <v>6.8714000000000004</v>
      </c>
      <c r="P3" s="1">
        <v>14.62</v>
      </c>
      <c r="Q3" s="1">
        <v>7.7485999999999988</v>
      </c>
    </row>
    <row r="4" spans="1:17" x14ac:dyDescent="0.25">
      <c r="A4" s="2">
        <v>42288</v>
      </c>
      <c r="B4" s="2">
        <v>42295</v>
      </c>
      <c r="C4" s="1" t="s">
        <v>35</v>
      </c>
      <c r="D4" s="1" t="s">
        <v>36</v>
      </c>
      <c r="E4" s="1" t="s">
        <v>19</v>
      </c>
      <c r="F4" s="1" t="s">
        <v>20</v>
      </c>
      <c r="G4" s="1" t="s">
        <v>37</v>
      </c>
      <c r="H4" s="1" t="s">
        <v>38</v>
      </c>
      <c r="I4" s="1" t="s">
        <v>23</v>
      </c>
      <c r="J4" s="1" t="s">
        <v>24</v>
      </c>
      <c r="K4" s="1" t="s">
        <v>39</v>
      </c>
      <c r="L4" s="1" t="s">
        <v>40</v>
      </c>
      <c r="M4" s="1">
        <v>5</v>
      </c>
      <c r="N4" s="1">
        <v>0.45</v>
      </c>
      <c r="O4" s="1">
        <v>-383.03100000000001</v>
      </c>
      <c r="P4" s="1">
        <v>957.57749999999999</v>
      </c>
      <c r="Q4" s="1">
        <v>1340.6085</v>
      </c>
    </row>
    <row r="5" spans="1:17" x14ac:dyDescent="0.25">
      <c r="A5" s="2">
        <v>41799</v>
      </c>
      <c r="B5" s="2">
        <v>41804</v>
      </c>
      <c r="C5" s="1" t="s">
        <v>35</v>
      </c>
      <c r="D5" s="1" t="s">
        <v>41</v>
      </c>
      <c r="E5" s="1" t="s">
        <v>19</v>
      </c>
      <c r="F5" s="1" t="s">
        <v>20</v>
      </c>
      <c r="G5" s="1" t="s">
        <v>29</v>
      </c>
      <c r="H5" s="1" t="s">
        <v>30</v>
      </c>
      <c r="I5" s="1" t="s">
        <v>31</v>
      </c>
      <c r="J5" s="1" t="s">
        <v>24</v>
      </c>
      <c r="K5" s="1" t="s">
        <v>42</v>
      </c>
      <c r="L5" s="1" t="s">
        <v>43</v>
      </c>
      <c r="M5" s="1">
        <v>7</v>
      </c>
      <c r="N5" s="1">
        <v>0</v>
      </c>
      <c r="O5" s="1">
        <v>14.1694</v>
      </c>
      <c r="P5" s="1">
        <v>48.86</v>
      </c>
      <c r="Q5" s="1">
        <v>34.690600000000003</v>
      </c>
    </row>
    <row r="6" spans="1:17" x14ac:dyDescent="0.25">
      <c r="A6" s="2">
        <v>42840</v>
      </c>
      <c r="B6" s="2">
        <v>42845</v>
      </c>
      <c r="C6" s="1" t="s">
        <v>35</v>
      </c>
      <c r="D6" s="1" t="s">
        <v>44</v>
      </c>
      <c r="E6" s="1" t="s">
        <v>19</v>
      </c>
      <c r="F6" s="1" t="s">
        <v>20</v>
      </c>
      <c r="G6" s="1" t="s">
        <v>45</v>
      </c>
      <c r="H6" s="1" t="s">
        <v>46</v>
      </c>
      <c r="I6" s="1" t="s">
        <v>23</v>
      </c>
      <c r="J6" s="1" t="s">
        <v>32</v>
      </c>
      <c r="K6" s="1" t="s">
        <v>47</v>
      </c>
      <c r="L6" s="1" t="s">
        <v>48</v>
      </c>
      <c r="M6" s="1">
        <v>3</v>
      </c>
      <c r="N6" s="1">
        <v>0.2</v>
      </c>
      <c r="O6" s="1">
        <v>5.4432</v>
      </c>
      <c r="P6" s="1">
        <v>15.552</v>
      </c>
      <c r="Q6" s="1">
        <v>10.108799999999999</v>
      </c>
    </row>
    <row r="7" spans="1:17" x14ac:dyDescent="0.25">
      <c r="A7" s="2">
        <v>42709</v>
      </c>
      <c r="B7" s="2">
        <v>42714</v>
      </c>
      <c r="C7" s="1" t="s">
        <v>35</v>
      </c>
      <c r="D7" s="1" t="s">
        <v>49</v>
      </c>
      <c r="E7" s="1" t="s">
        <v>19</v>
      </c>
      <c r="F7" s="1" t="s">
        <v>20</v>
      </c>
      <c r="G7" s="1" t="s">
        <v>50</v>
      </c>
      <c r="H7" s="1" t="s">
        <v>51</v>
      </c>
      <c r="I7" s="1" t="s">
        <v>31</v>
      </c>
      <c r="J7" s="1" t="s">
        <v>32</v>
      </c>
      <c r="K7" s="1" t="s">
        <v>52</v>
      </c>
      <c r="L7" s="1" t="s">
        <v>53</v>
      </c>
      <c r="M7" s="1">
        <v>3</v>
      </c>
      <c r="N7" s="1">
        <v>0.2</v>
      </c>
      <c r="O7" s="1">
        <v>132.59219999999999</v>
      </c>
      <c r="P7" s="1">
        <v>407.976</v>
      </c>
      <c r="Q7" s="1">
        <v>275.38380000000001</v>
      </c>
    </row>
    <row r="8" spans="1:17" x14ac:dyDescent="0.25">
      <c r="A8" s="2">
        <v>42330</v>
      </c>
      <c r="B8" s="2">
        <v>42334</v>
      </c>
      <c r="C8" s="1" t="s">
        <v>35</v>
      </c>
      <c r="D8" s="1" t="s">
        <v>54</v>
      </c>
      <c r="E8" s="1" t="s">
        <v>55</v>
      </c>
      <c r="F8" s="1" t="s">
        <v>20</v>
      </c>
      <c r="G8" s="1" t="s">
        <v>56</v>
      </c>
      <c r="H8" s="1" t="s">
        <v>57</v>
      </c>
      <c r="I8" s="1" t="s">
        <v>58</v>
      </c>
      <c r="J8" s="1" t="s">
        <v>32</v>
      </c>
      <c r="K8" s="1" t="s">
        <v>59</v>
      </c>
      <c r="L8" s="1" t="s">
        <v>60</v>
      </c>
      <c r="M8" s="1">
        <v>5</v>
      </c>
      <c r="N8" s="1">
        <v>0.8</v>
      </c>
      <c r="O8" s="1">
        <v>-123.858</v>
      </c>
      <c r="P8" s="1">
        <v>68.81</v>
      </c>
      <c r="Q8" s="1">
        <v>192.66800000000001</v>
      </c>
    </row>
    <row r="9" spans="1:17" x14ac:dyDescent="0.25">
      <c r="A9" s="2">
        <v>41954</v>
      </c>
      <c r="B9" s="2">
        <v>41961</v>
      </c>
      <c r="C9" s="1" t="s">
        <v>35</v>
      </c>
      <c r="D9" s="1" t="s">
        <v>61</v>
      </c>
      <c r="E9" s="1" t="s">
        <v>19</v>
      </c>
      <c r="F9" s="1" t="s">
        <v>20</v>
      </c>
      <c r="G9" s="1" t="s">
        <v>62</v>
      </c>
      <c r="H9" s="1" t="s">
        <v>63</v>
      </c>
      <c r="I9" s="1" t="s">
        <v>58</v>
      </c>
      <c r="J9" s="1" t="s">
        <v>32</v>
      </c>
      <c r="K9" s="1" t="s">
        <v>64</v>
      </c>
      <c r="L9" s="1" t="s">
        <v>65</v>
      </c>
      <c r="M9" s="1">
        <v>6</v>
      </c>
      <c r="N9" s="1">
        <v>0</v>
      </c>
      <c r="O9" s="1">
        <v>13.317600000000001</v>
      </c>
      <c r="P9" s="1">
        <v>665.88</v>
      </c>
      <c r="Q9" s="1">
        <v>652.56240000000003</v>
      </c>
    </row>
    <row r="10" spans="1:17" x14ac:dyDescent="0.25">
      <c r="A10" s="2">
        <v>41772</v>
      </c>
      <c r="B10" s="2">
        <v>41774</v>
      </c>
      <c r="C10" s="1" t="s">
        <v>17</v>
      </c>
      <c r="D10" s="1" t="s">
        <v>66</v>
      </c>
      <c r="E10" s="1" t="s">
        <v>19</v>
      </c>
      <c r="F10" s="1" t="s">
        <v>20</v>
      </c>
      <c r="G10" s="1" t="s">
        <v>67</v>
      </c>
      <c r="H10" s="1" t="s">
        <v>68</v>
      </c>
      <c r="I10" s="1" t="s">
        <v>31</v>
      </c>
      <c r="J10" s="1" t="s">
        <v>32</v>
      </c>
      <c r="K10" s="1" t="s">
        <v>64</v>
      </c>
      <c r="L10" s="1" t="s">
        <v>69</v>
      </c>
      <c r="M10" s="1">
        <v>2</v>
      </c>
      <c r="N10" s="1">
        <v>0</v>
      </c>
      <c r="O10" s="1">
        <v>9.99</v>
      </c>
      <c r="P10" s="1">
        <v>55.5</v>
      </c>
      <c r="Q10" s="1">
        <v>45.51</v>
      </c>
    </row>
    <row r="11" spans="1:17" x14ac:dyDescent="0.25">
      <c r="A11" s="2">
        <v>41878</v>
      </c>
      <c r="B11" s="2">
        <v>41883</v>
      </c>
      <c r="C11" s="1" t="s">
        <v>17</v>
      </c>
      <c r="D11" s="1" t="s">
        <v>70</v>
      </c>
      <c r="E11" s="1" t="s">
        <v>19</v>
      </c>
      <c r="F11" s="1" t="s">
        <v>20</v>
      </c>
      <c r="G11" s="1" t="s">
        <v>71</v>
      </c>
      <c r="H11" s="1" t="s">
        <v>30</v>
      </c>
      <c r="I11" s="1" t="s">
        <v>31</v>
      </c>
      <c r="J11" s="1" t="s">
        <v>32</v>
      </c>
      <c r="K11" s="1" t="s">
        <v>72</v>
      </c>
      <c r="L11" s="1" t="s">
        <v>73</v>
      </c>
      <c r="M11" s="1">
        <v>2</v>
      </c>
      <c r="N11" s="1">
        <v>0</v>
      </c>
      <c r="O11" s="1">
        <v>2.4824000000000002</v>
      </c>
      <c r="P11" s="1">
        <v>8.56</v>
      </c>
      <c r="Q11" s="1">
        <v>6.0776000000000003</v>
      </c>
    </row>
    <row r="12" spans="1:17" x14ac:dyDescent="0.25">
      <c r="A12" s="2">
        <v>42713</v>
      </c>
      <c r="B12" s="2">
        <v>42717</v>
      </c>
      <c r="C12" s="1" t="s">
        <v>35</v>
      </c>
      <c r="D12" s="1" t="s">
        <v>74</v>
      </c>
      <c r="E12" s="1" t="s">
        <v>28</v>
      </c>
      <c r="F12" s="1" t="s">
        <v>20</v>
      </c>
      <c r="G12" s="1" t="s">
        <v>75</v>
      </c>
      <c r="H12" s="1" t="s">
        <v>76</v>
      </c>
      <c r="I12" s="1" t="s">
        <v>58</v>
      </c>
      <c r="J12" s="1" t="s">
        <v>32</v>
      </c>
      <c r="K12" s="1" t="s">
        <v>72</v>
      </c>
      <c r="L12" s="1" t="s">
        <v>77</v>
      </c>
      <c r="M12">
        <v>7</v>
      </c>
      <c r="N12">
        <v>0</v>
      </c>
      <c r="O12">
        <v>5.0595999999999997</v>
      </c>
      <c r="P12">
        <v>19.46</v>
      </c>
      <c r="Q12">
        <v>14.400400000000001</v>
      </c>
    </row>
    <row r="13" spans="1:17" x14ac:dyDescent="0.25">
      <c r="A13" s="2">
        <v>42932</v>
      </c>
      <c r="B13" s="2">
        <v>42934</v>
      </c>
      <c r="C13" s="1" t="s">
        <v>17</v>
      </c>
      <c r="D13" s="1" t="s">
        <v>78</v>
      </c>
      <c r="E13" s="1" t="s">
        <v>19</v>
      </c>
      <c r="F13" s="1" t="s">
        <v>20</v>
      </c>
      <c r="G13" s="1" t="s">
        <v>79</v>
      </c>
      <c r="H13" s="1" t="s">
        <v>80</v>
      </c>
      <c r="I13" s="1" t="s">
        <v>81</v>
      </c>
      <c r="J13" s="1" t="s">
        <v>24</v>
      </c>
      <c r="K13" s="1" t="s">
        <v>82</v>
      </c>
      <c r="L13" s="1" t="s">
        <v>83</v>
      </c>
      <c r="M13">
        <v>2</v>
      </c>
      <c r="N13">
        <v>0.3</v>
      </c>
      <c r="O13">
        <v>-1.0196000000000001</v>
      </c>
      <c r="P13">
        <v>71.372</v>
      </c>
      <c r="Q13">
        <v>72.391599999999997</v>
      </c>
    </row>
    <row r="14" spans="1:17" x14ac:dyDescent="0.25">
      <c r="A14" s="2">
        <v>42272</v>
      </c>
      <c r="B14" s="2">
        <v>42277</v>
      </c>
      <c r="C14" s="1" t="s">
        <v>35</v>
      </c>
      <c r="D14" s="1" t="s">
        <v>84</v>
      </c>
      <c r="E14" s="1" t="s">
        <v>19</v>
      </c>
      <c r="F14" s="1" t="s">
        <v>20</v>
      </c>
      <c r="G14" s="1" t="s">
        <v>85</v>
      </c>
      <c r="H14" s="1" t="s">
        <v>68</v>
      </c>
      <c r="I14" s="1" t="s">
        <v>31</v>
      </c>
      <c r="J14" s="1" t="s">
        <v>24</v>
      </c>
      <c r="K14" s="1" t="s">
        <v>39</v>
      </c>
      <c r="L14" s="1" t="s">
        <v>40</v>
      </c>
      <c r="M14">
        <v>3</v>
      </c>
      <c r="N14">
        <v>0</v>
      </c>
      <c r="O14">
        <v>240.26490000000001</v>
      </c>
      <c r="P14">
        <v>1044.6300000000001</v>
      </c>
      <c r="Q14">
        <v>804.3651000000001</v>
      </c>
    </row>
    <row r="15" spans="1:17" x14ac:dyDescent="0.25">
      <c r="A15" s="2">
        <v>42385</v>
      </c>
      <c r="B15" s="2">
        <v>42389</v>
      </c>
      <c r="C15" s="1" t="s">
        <v>17</v>
      </c>
      <c r="D15" s="1" t="s">
        <v>86</v>
      </c>
      <c r="E15" s="1" t="s">
        <v>19</v>
      </c>
      <c r="F15" s="1" t="s">
        <v>20</v>
      </c>
      <c r="G15" s="1" t="s">
        <v>29</v>
      </c>
      <c r="H15" s="1" t="s">
        <v>30</v>
      </c>
      <c r="I15" s="1" t="s">
        <v>31</v>
      </c>
      <c r="J15" s="1" t="s">
        <v>32</v>
      </c>
      <c r="K15" s="1" t="s">
        <v>52</v>
      </c>
      <c r="L15" s="1" t="s">
        <v>87</v>
      </c>
      <c r="M15">
        <v>2</v>
      </c>
      <c r="N15">
        <v>0.2</v>
      </c>
      <c r="O15">
        <v>4.2224000000000004</v>
      </c>
      <c r="P15">
        <v>11.648</v>
      </c>
      <c r="Q15">
        <v>7.4255999999999993</v>
      </c>
    </row>
    <row r="16" spans="1:17" x14ac:dyDescent="0.25">
      <c r="A16" s="2">
        <v>42264</v>
      </c>
      <c r="B16" s="2">
        <v>42268</v>
      </c>
      <c r="C16" s="1" t="s">
        <v>35</v>
      </c>
      <c r="D16" s="1" t="s">
        <v>88</v>
      </c>
      <c r="E16" s="1" t="s">
        <v>19</v>
      </c>
      <c r="F16" s="1" t="s">
        <v>20</v>
      </c>
      <c r="G16" s="1" t="s">
        <v>79</v>
      </c>
      <c r="H16" s="1" t="s">
        <v>80</v>
      </c>
      <c r="I16" s="1" t="s">
        <v>81</v>
      </c>
      <c r="J16" s="1" t="s">
        <v>24</v>
      </c>
      <c r="K16" s="1" t="s">
        <v>25</v>
      </c>
      <c r="L16" s="1" t="s">
        <v>89</v>
      </c>
      <c r="M16">
        <v>7</v>
      </c>
      <c r="N16">
        <v>0.5</v>
      </c>
      <c r="O16">
        <v>-1665.0522000000001</v>
      </c>
      <c r="P16">
        <v>3083.43</v>
      </c>
      <c r="Q16">
        <v>4748.4822000000004</v>
      </c>
    </row>
    <row r="17" spans="1:17" x14ac:dyDescent="0.25">
      <c r="A17" s="2">
        <v>43027</v>
      </c>
      <c r="B17" s="2">
        <v>43031</v>
      </c>
      <c r="C17" s="1" t="s">
        <v>17</v>
      </c>
      <c r="D17" s="1" t="s">
        <v>90</v>
      </c>
      <c r="E17" s="1" t="s">
        <v>55</v>
      </c>
      <c r="F17" s="1" t="s">
        <v>20</v>
      </c>
      <c r="G17" s="1" t="s">
        <v>91</v>
      </c>
      <c r="H17" s="1" t="s">
        <v>57</v>
      </c>
      <c r="I17" s="1" t="s">
        <v>58</v>
      </c>
      <c r="J17" s="1" t="s">
        <v>32</v>
      </c>
      <c r="K17" s="1" t="s">
        <v>47</v>
      </c>
      <c r="L17" s="1" t="s">
        <v>92</v>
      </c>
      <c r="M17">
        <v>3</v>
      </c>
      <c r="N17">
        <v>0.2</v>
      </c>
      <c r="O17">
        <v>9.9467999999999996</v>
      </c>
      <c r="P17">
        <v>29.472000000000001</v>
      </c>
      <c r="Q17">
        <v>19.525200000000002</v>
      </c>
    </row>
    <row r="18" spans="1:17" x14ac:dyDescent="0.25">
      <c r="A18" s="2">
        <v>42365</v>
      </c>
      <c r="B18" s="2">
        <v>42369</v>
      </c>
      <c r="C18" s="1" t="s">
        <v>35</v>
      </c>
      <c r="D18" s="1" t="s">
        <v>93</v>
      </c>
      <c r="E18" s="1" t="s">
        <v>55</v>
      </c>
      <c r="F18" s="1" t="s">
        <v>20</v>
      </c>
      <c r="G18" s="1" t="s">
        <v>91</v>
      </c>
      <c r="H18" s="1" t="s">
        <v>57</v>
      </c>
      <c r="I18" s="1" t="s">
        <v>58</v>
      </c>
      <c r="J18" s="1" t="s">
        <v>32</v>
      </c>
      <c r="K18" s="1" t="s">
        <v>94</v>
      </c>
      <c r="L18" s="1" t="s">
        <v>95</v>
      </c>
      <c r="M18">
        <v>9</v>
      </c>
      <c r="N18">
        <v>0.2</v>
      </c>
      <c r="O18">
        <v>35.414999999999999</v>
      </c>
      <c r="P18">
        <v>113.328</v>
      </c>
      <c r="Q18">
        <v>77.913000000000011</v>
      </c>
    </row>
    <row r="19" spans="1:17" x14ac:dyDescent="0.25">
      <c r="A19" s="2">
        <v>42988</v>
      </c>
      <c r="B19" s="2">
        <v>42993</v>
      </c>
      <c r="C19" s="1" t="s">
        <v>35</v>
      </c>
      <c r="D19" s="1" t="s">
        <v>96</v>
      </c>
      <c r="E19" s="1" t="s">
        <v>28</v>
      </c>
      <c r="F19" s="1" t="s">
        <v>20</v>
      </c>
      <c r="G19" s="1" t="s">
        <v>97</v>
      </c>
      <c r="H19" s="1" t="s">
        <v>98</v>
      </c>
      <c r="I19" s="1" t="s">
        <v>58</v>
      </c>
      <c r="J19" s="1" t="s">
        <v>99</v>
      </c>
      <c r="K19" s="1" t="s">
        <v>100</v>
      </c>
      <c r="L19" s="1" t="s">
        <v>101</v>
      </c>
      <c r="M19">
        <v>4</v>
      </c>
      <c r="N19">
        <v>0.2</v>
      </c>
      <c r="O19">
        <v>16.5564</v>
      </c>
      <c r="P19">
        <v>147.16800000000001</v>
      </c>
      <c r="Q19">
        <v>130.61160000000001</v>
      </c>
    </row>
    <row r="20" spans="1:17" x14ac:dyDescent="0.25">
      <c r="A20" s="2">
        <v>42568</v>
      </c>
      <c r="B20" s="2">
        <v>42573</v>
      </c>
      <c r="C20" s="1" t="s">
        <v>35</v>
      </c>
      <c r="D20" s="1" t="s">
        <v>102</v>
      </c>
      <c r="E20" s="1" t="s">
        <v>28</v>
      </c>
      <c r="F20" s="1" t="s">
        <v>20</v>
      </c>
      <c r="G20" s="1" t="s">
        <v>29</v>
      </c>
      <c r="H20" s="1" t="s">
        <v>30</v>
      </c>
      <c r="I20" s="1" t="s">
        <v>31</v>
      </c>
      <c r="J20" s="1" t="s">
        <v>32</v>
      </c>
      <c r="K20" s="1" t="s">
        <v>64</v>
      </c>
      <c r="L20" s="1" t="s">
        <v>103</v>
      </c>
      <c r="M20">
        <v>2</v>
      </c>
      <c r="N20">
        <v>0</v>
      </c>
      <c r="O20">
        <v>3.8940000000000001</v>
      </c>
      <c r="P20">
        <v>77.88</v>
      </c>
      <c r="Q20">
        <v>73.98599999999999</v>
      </c>
    </row>
    <row r="21" spans="1:17" x14ac:dyDescent="0.25">
      <c r="A21" s="2">
        <v>42997</v>
      </c>
      <c r="B21" s="2">
        <v>43001</v>
      </c>
      <c r="C21" s="1" t="s">
        <v>35</v>
      </c>
      <c r="D21" s="1" t="s">
        <v>104</v>
      </c>
      <c r="E21" s="1" t="s">
        <v>28</v>
      </c>
      <c r="F21" s="1" t="s">
        <v>20</v>
      </c>
      <c r="G21" s="1" t="s">
        <v>105</v>
      </c>
      <c r="H21" s="1" t="s">
        <v>38</v>
      </c>
      <c r="I21" s="1" t="s">
        <v>23</v>
      </c>
      <c r="J21" s="1" t="s">
        <v>32</v>
      </c>
      <c r="K21" s="1" t="s">
        <v>64</v>
      </c>
      <c r="L21" s="1" t="s">
        <v>106</v>
      </c>
      <c r="M21">
        <v>2</v>
      </c>
      <c r="N21">
        <v>0.2</v>
      </c>
      <c r="O21">
        <v>9.5616000000000003</v>
      </c>
      <c r="P21">
        <v>95.616</v>
      </c>
      <c r="Q21">
        <v>86.054400000000001</v>
      </c>
    </row>
    <row r="22" spans="1:17" x14ac:dyDescent="0.25">
      <c r="A22" s="2">
        <v>42440</v>
      </c>
      <c r="B22" s="2">
        <v>42442</v>
      </c>
      <c r="C22" s="1" t="s">
        <v>107</v>
      </c>
      <c r="D22" s="1" t="s">
        <v>108</v>
      </c>
      <c r="E22" s="1" t="s">
        <v>28</v>
      </c>
      <c r="F22" s="1" t="s">
        <v>20</v>
      </c>
      <c r="G22" s="1" t="s">
        <v>109</v>
      </c>
      <c r="H22" s="1" t="s">
        <v>110</v>
      </c>
      <c r="I22" s="1" t="s">
        <v>58</v>
      </c>
      <c r="J22" s="1" t="s">
        <v>99</v>
      </c>
      <c r="K22" s="1" t="s">
        <v>111</v>
      </c>
      <c r="L22" s="1" t="s">
        <v>112</v>
      </c>
      <c r="M22">
        <v>2</v>
      </c>
      <c r="N22">
        <v>0</v>
      </c>
      <c r="O22">
        <v>19.7714</v>
      </c>
      <c r="P22">
        <v>45.98</v>
      </c>
      <c r="Q22">
        <v>26.208599999999997</v>
      </c>
    </row>
    <row r="23" spans="1:17" x14ac:dyDescent="0.25">
      <c r="A23" s="2">
        <v>41932</v>
      </c>
      <c r="B23" s="2">
        <v>41937</v>
      </c>
      <c r="C23" s="1" t="s">
        <v>17</v>
      </c>
      <c r="D23" s="1" t="s">
        <v>113</v>
      </c>
      <c r="E23" s="1" t="s">
        <v>19</v>
      </c>
      <c r="F23" s="1" t="s">
        <v>20</v>
      </c>
      <c r="G23" s="1" t="s">
        <v>114</v>
      </c>
      <c r="H23" s="1" t="s">
        <v>115</v>
      </c>
      <c r="I23" s="1" t="s">
        <v>58</v>
      </c>
      <c r="J23" s="1" t="s">
        <v>32</v>
      </c>
      <c r="K23" s="1" t="s">
        <v>64</v>
      </c>
      <c r="L23" s="1" t="s">
        <v>116</v>
      </c>
      <c r="M23">
        <v>4</v>
      </c>
      <c r="N23">
        <v>0</v>
      </c>
      <c r="O23">
        <v>8.4784000000000006</v>
      </c>
      <c r="P23">
        <v>211.96</v>
      </c>
      <c r="Q23">
        <v>203.48160000000001</v>
      </c>
    </row>
    <row r="24" spans="1:17" x14ac:dyDescent="0.25">
      <c r="A24" s="2">
        <v>42541</v>
      </c>
      <c r="B24" s="2">
        <v>42546</v>
      </c>
      <c r="C24" s="1" t="s">
        <v>35</v>
      </c>
      <c r="D24" s="1" t="s">
        <v>117</v>
      </c>
      <c r="E24" s="1" t="s">
        <v>19</v>
      </c>
      <c r="F24" s="1" t="s">
        <v>20</v>
      </c>
      <c r="G24" s="1" t="s">
        <v>118</v>
      </c>
      <c r="H24" s="1" t="s">
        <v>119</v>
      </c>
      <c r="I24" s="1" t="s">
        <v>81</v>
      </c>
      <c r="J24" s="1" t="s">
        <v>99</v>
      </c>
      <c r="K24" s="1" t="s">
        <v>111</v>
      </c>
      <c r="L24" s="1" t="s">
        <v>120</v>
      </c>
      <c r="M24">
        <v>3</v>
      </c>
      <c r="N24">
        <v>0</v>
      </c>
      <c r="O24">
        <v>4.95</v>
      </c>
      <c r="P24">
        <v>45</v>
      </c>
      <c r="Q24">
        <v>40.049999999999997</v>
      </c>
    </row>
    <row r="25" spans="1:17" x14ac:dyDescent="0.25">
      <c r="A25" s="2">
        <v>42112</v>
      </c>
      <c r="B25" s="2">
        <v>42116</v>
      </c>
      <c r="C25" s="1" t="s">
        <v>35</v>
      </c>
      <c r="D25" s="1" t="s">
        <v>121</v>
      </c>
      <c r="E25" s="1" t="s">
        <v>19</v>
      </c>
      <c r="F25" s="1" t="s">
        <v>20</v>
      </c>
      <c r="G25" s="1" t="s">
        <v>122</v>
      </c>
      <c r="H25" s="1" t="s">
        <v>123</v>
      </c>
      <c r="I25" s="1" t="s">
        <v>58</v>
      </c>
      <c r="J25" s="1" t="s">
        <v>32</v>
      </c>
      <c r="K25" s="1" t="s">
        <v>52</v>
      </c>
      <c r="L25" s="1" t="s">
        <v>124</v>
      </c>
      <c r="M25">
        <v>6</v>
      </c>
      <c r="N25">
        <v>0</v>
      </c>
      <c r="O25">
        <v>17.9634</v>
      </c>
      <c r="P25">
        <v>38.22</v>
      </c>
      <c r="Q25">
        <v>20.256599999999999</v>
      </c>
    </row>
    <row r="26" spans="1:17" x14ac:dyDescent="0.25">
      <c r="A26" s="2">
        <v>42715</v>
      </c>
      <c r="B26" s="2">
        <v>42721</v>
      </c>
      <c r="C26" s="1" t="s">
        <v>35</v>
      </c>
      <c r="D26" s="1" t="s">
        <v>125</v>
      </c>
      <c r="E26" s="1" t="s">
        <v>28</v>
      </c>
      <c r="F26" s="1" t="s">
        <v>20</v>
      </c>
      <c r="G26" s="1" t="s">
        <v>126</v>
      </c>
      <c r="H26" s="1" t="s">
        <v>127</v>
      </c>
      <c r="I26" s="1" t="s">
        <v>81</v>
      </c>
      <c r="J26" s="1" t="s">
        <v>32</v>
      </c>
      <c r="K26" s="1" t="s">
        <v>128</v>
      </c>
      <c r="L26" s="1" t="s">
        <v>129</v>
      </c>
      <c r="M26">
        <v>7</v>
      </c>
      <c r="N26">
        <v>0</v>
      </c>
      <c r="O26">
        <v>6.2565999999999997</v>
      </c>
      <c r="P26">
        <v>15.26</v>
      </c>
      <c r="Q26">
        <v>9.0033999999999992</v>
      </c>
    </row>
    <row r="27" spans="1:17" x14ac:dyDescent="0.25">
      <c r="A27" s="2">
        <v>42538</v>
      </c>
      <c r="B27" s="2">
        <v>42539</v>
      </c>
      <c r="C27" s="1" t="s">
        <v>107</v>
      </c>
      <c r="D27" s="1" t="s">
        <v>130</v>
      </c>
      <c r="E27" s="1" t="s">
        <v>19</v>
      </c>
      <c r="F27" s="1" t="s">
        <v>20</v>
      </c>
      <c r="G27" s="1" t="s">
        <v>131</v>
      </c>
      <c r="H27" s="1" t="s">
        <v>127</v>
      </c>
      <c r="I27" s="1" t="s">
        <v>81</v>
      </c>
      <c r="J27" s="1" t="s">
        <v>32</v>
      </c>
      <c r="K27" s="1" t="s">
        <v>64</v>
      </c>
      <c r="L27" s="1" t="s">
        <v>132</v>
      </c>
      <c r="M27">
        <v>6</v>
      </c>
      <c r="N27">
        <v>0</v>
      </c>
      <c r="O27">
        <v>52.14</v>
      </c>
      <c r="P27">
        <v>208.56</v>
      </c>
      <c r="Q27">
        <v>156.42000000000002</v>
      </c>
    </row>
    <row r="28" spans="1:17" x14ac:dyDescent="0.25">
      <c r="A28" s="2">
        <v>42332</v>
      </c>
      <c r="B28" s="2">
        <v>42338</v>
      </c>
      <c r="C28" s="1" t="s">
        <v>35</v>
      </c>
      <c r="D28" s="1" t="s">
        <v>133</v>
      </c>
      <c r="E28" s="1" t="s">
        <v>19</v>
      </c>
      <c r="F28" s="1" t="s">
        <v>20</v>
      </c>
      <c r="G28" s="1" t="s">
        <v>29</v>
      </c>
      <c r="H28" s="1" t="s">
        <v>30</v>
      </c>
      <c r="I28" s="1" t="s">
        <v>31</v>
      </c>
      <c r="J28" s="1" t="s">
        <v>99</v>
      </c>
      <c r="K28" s="1" t="s">
        <v>111</v>
      </c>
      <c r="L28" s="1" t="s">
        <v>134</v>
      </c>
      <c r="M28">
        <v>2</v>
      </c>
      <c r="N28">
        <v>0</v>
      </c>
      <c r="O28">
        <v>6.1512000000000002</v>
      </c>
      <c r="P28">
        <v>13.98</v>
      </c>
      <c r="Q28">
        <v>7.8288000000000002</v>
      </c>
    </row>
    <row r="29" spans="1:17" x14ac:dyDescent="0.25">
      <c r="A29" s="2">
        <v>42124</v>
      </c>
      <c r="B29" s="2">
        <v>42129</v>
      </c>
      <c r="C29" s="1" t="s">
        <v>35</v>
      </c>
      <c r="D29" s="1" t="s">
        <v>135</v>
      </c>
      <c r="E29" s="1" t="s">
        <v>55</v>
      </c>
      <c r="F29" s="1" t="s">
        <v>20</v>
      </c>
      <c r="G29" s="1" t="s">
        <v>136</v>
      </c>
      <c r="H29" s="1" t="s">
        <v>98</v>
      </c>
      <c r="I29" s="1" t="s">
        <v>58</v>
      </c>
      <c r="J29" s="1" t="s">
        <v>24</v>
      </c>
      <c r="K29" s="1" t="s">
        <v>82</v>
      </c>
      <c r="L29" s="1" t="s">
        <v>137</v>
      </c>
      <c r="M29">
        <v>5</v>
      </c>
      <c r="N29">
        <v>0.3</v>
      </c>
      <c r="O29">
        <v>-15.2225</v>
      </c>
      <c r="P29">
        <v>213.11500000000001</v>
      </c>
      <c r="Q29">
        <v>228.33750000000001</v>
      </c>
    </row>
    <row r="30" spans="1:17" x14ac:dyDescent="0.25">
      <c r="A30" s="2">
        <v>41978</v>
      </c>
      <c r="B30" s="2">
        <v>41983</v>
      </c>
      <c r="C30" s="1" t="s">
        <v>35</v>
      </c>
      <c r="D30" s="1" t="s">
        <v>138</v>
      </c>
      <c r="E30" s="1" t="s">
        <v>28</v>
      </c>
      <c r="F30" s="1" t="s">
        <v>20</v>
      </c>
      <c r="G30" s="1" t="s">
        <v>139</v>
      </c>
      <c r="H30" s="1" t="s">
        <v>140</v>
      </c>
      <c r="I30" s="1" t="s">
        <v>31</v>
      </c>
      <c r="J30" s="1" t="s">
        <v>32</v>
      </c>
      <c r="K30" s="1" t="s">
        <v>72</v>
      </c>
      <c r="L30" s="1" t="s">
        <v>141</v>
      </c>
      <c r="M30">
        <v>8</v>
      </c>
      <c r="N30">
        <v>0.2</v>
      </c>
      <c r="O30">
        <v>111.30240000000001</v>
      </c>
      <c r="P30">
        <v>1113.0239999999999</v>
      </c>
      <c r="Q30">
        <v>1001.7215999999999</v>
      </c>
    </row>
    <row r="31" spans="1:17" x14ac:dyDescent="0.25">
      <c r="A31" s="2">
        <v>42525</v>
      </c>
      <c r="B31" s="2">
        <v>42527</v>
      </c>
      <c r="C31" s="1" t="s">
        <v>107</v>
      </c>
      <c r="D31" s="1" t="s">
        <v>142</v>
      </c>
      <c r="E31" s="1" t="s">
        <v>19</v>
      </c>
      <c r="F31" s="1" t="s">
        <v>20</v>
      </c>
      <c r="G31" s="1" t="s">
        <v>143</v>
      </c>
      <c r="H31" s="1" t="s">
        <v>144</v>
      </c>
      <c r="I31" s="1" t="s">
        <v>23</v>
      </c>
      <c r="J31" s="1" t="s">
        <v>32</v>
      </c>
      <c r="K31" s="1" t="s">
        <v>47</v>
      </c>
      <c r="L31" s="1" t="s">
        <v>145</v>
      </c>
      <c r="M31">
        <v>2</v>
      </c>
      <c r="N31">
        <v>0</v>
      </c>
      <c r="O31">
        <v>35.663600000000002</v>
      </c>
      <c r="P31">
        <v>75.88</v>
      </c>
      <c r="Q31">
        <v>40.216399999999993</v>
      </c>
    </row>
    <row r="32" spans="1:17" x14ac:dyDescent="0.25">
      <c r="A32" s="2">
        <v>42631</v>
      </c>
      <c r="B32" s="2">
        <v>42636</v>
      </c>
      <c r="C32" s="1" t="s">
        <v>35</v>
      </c>
      <c r="D32" s="1" t="s">
        <v>146</v>
      </c>
      <c r="E32" s="1" t="s">
        <v>19</v>
      </c>
      <c r="F32" s="1" t="s">
        <v>20</v>
      </c>
      <c r="G32" s="1" t="s">
        <v>126</v>
      </c>
      <c r="H32" s="1" t="s">
        <v>127</v>
      </c>
      <c r="I32" s="1" t="s">
        <v>81</v>
      </c>
      <c r="J32" s="1" t="s">
        <v>32</v>
      </c>
      <c r="K32" s="1" t="s">
        <v>52</v>
      </c>
      <c r="L32" s="1" t="s">
        <v>147</v>
      </c>
      <c r="M32">
        <v>1</v>
      </c>
      <c r="N32">
        <v>0.2</v>
      </c>
      <c r="O32">
        <v>1.7310000000000001</v>
      </c>
      <c r="P32">
        <v>4.6159999999999997</v>
      </c>
      <c r="Q32">
        <v>2.8849999999999998</v>
      </c>
    </row>
    <row r="33" spans="1:17" x14ac:dyDescent="0.25">
      <c r="A33" s="2">
        <v>42992</v>
      </c>
      <c r="B33" s="2">
        <v>42995</v>
      </c>
      <c r="C33" s="1" t="s">
        <v>17</v>
      </c>
      <c r="D33" s="1" t="s">
        <v>88</v>
      </c>
      <c r="E33" s="1" t="s">
        <v>19</v>
      </c>
      <c r="F33" s="1" t="s">
        <v>20</v>
      </c>
      <c r="G33" s="1" t="s">
        <v>148</v>
      </c>
      <c r="H33" s="1" t="s">
        <v>115</v>
      </c>
      <c r="I33" s="1" t="s">
        <v>58</v>
      </c>
      <c r="J33" s="1" t="s">
        <v>32</v>
      </c>
      <c r="K33" s="1" t="s">
        <v>47</v>
      </c>
      <c r="L33" s="1" t="s">
        <v>149</v>
      </c>
      <c r="M33">
        <v>3</v>
      </c>
      <c r="N33">
        <v>0</v>
      </c>
      <c r="O33">
        <v>8.7629999999999999</v>
      </c>
      <c r="P33">
        <v>19.05</v>
      </c>
      <c r="Q33">
        <v>10.287000000000001</v>
      </c>
    </row>
    <row r="34" spans="1:17" x14ac:dyDescent="0.25">
      <c r="A34" s="2">
        <v>42120</v>
      </c>
      <c r="B34" s="2">
        <v>42126</v>
      </c>
      <c r="C34" s="1" t="s">
        <v>35</v>
      </c>
      <c r="D34" s="1" t="s">
        <v>150</v>
      </c>
      <c r="E34" s="1" t="s">
        <v>19</v>
      </c>
      <c r="F34" s="1" t="s">
        <v>20</v>
      </c>
      <c r="G34" s="1" t="s">
        <v>151</v>
      </c>
      <c r="H34" s="1" t="s">
        <v>152</v>
      </c>
      <c r="I34" s="1" t="s">
        <v>23</v>
      </c>
      <c r="J34" s="1" t="s">
        <v>24</v>
      </c>
      <c r="K34" s="1" t="s">
        <v>82</v>
      </c>
      <c r="L34" s="1" t="s">
        <v>153</v>
      </c>
      <c r="M34">
        <v>8</v>
      </c>
      <c r="N34">
        <v>0.2</v>
      </c>
      <c r="O34">
        <v>-114.3912</v>
      </c>
      <c r="P34">
        <v>831.93600000000004</v>
      </c>
      <c r="Q34">
        <v>946.32720000000006</v>
      </c>
    </row>
    <row r="35" spans="1:17" x14ac:dyDescent="0.25">
      <c r="A35" s="2">
        <v>43078</v>
      </c>
      <c r="B35" s="2">
        <v>43080</v>
      </c>
      <c r="C35" s="1" t="s">
        <v>107</v>
      </c>
      <c r="D35" s="1" t="s">
        <v>154</v>
      </c>
      <c r="E35" s="1" t="s">
        <v>28</v>
      </c>
      <c r="F35" s="1" t="s">
        <v>20</v>
      </c>
      <c r="G35" s="1" t="s">
        <v>91</v>
      </c>
      <c r="H35" s="1" t="s">
        <v>57</v>
      </c>
      <c r="I35" s="1" t="s">
        <v>58</v>
      </c>
      <c r="J35" s="1" t="s">
        <v>32</v>
      </c>
      <c r="K35" s="1" t="s">
        <v>52</v>
      </c>
      <c r="L35" s="1" t="s">
        <v>155</v>
      </c>
      <c r="M35">
        <v>3</v>
      </c>
      <c r="N35">
        <v>0.8</v>
      </c>
      <c r="O35">
        <v>-1.9343999999999999</v>
      </c>
      <c r="P35">
        <v>1.248</v>
      </c>
      <c r="Q35">
        <v>3.1823999999999999</v>
      </c>
    </row>
    <row r="36" spans="1:17" x14ac:dyDescent="0.25">
      <c r="A36" s="2">
        <v>41969</v>
      </c>
      <c r="B36" s="2">
        <v>41974</v>
      </c>
      <c r="C36" s="1" t="s">
        <v>17</v>
      </c>
      <c r="D36" s="1" t="s">
        <v>150</v>
      </c>
      <c r="E36" s="1" t="s">
        <v>19</v>
      </c>
      <c r="F36" s="1" t="s">
        <v>20</v>
      </c>
      <c r="G36" s="1" t="s">
        <v>91</v>
      </c>
      <c r="H36" s="1" t="s">
        <v>57</v>
      </c>
      <c r="I36" s="1" t="s">
        <v>58</v>
      </c>
      <c r="J36" s="1" t="s">
        <v>24</v>
      </c>
      <c r="K36" s="1" t="s">
        <v>42</v>
      </c>
      <c r="L36" s="1" t="s">
        <v>156</v>
      </c>
      <c r="M36">
        <v>5</v>
      </c>
      <c r="N36">
        <v>0.6</v>
      </c>
      <c r="O36">
        <v>-14.475</v>
      </c>
      <c r="P36">
        <v>19.3</v>
      </c>
      <c r="Q36">
        <v>33.774999999999999</v>
      </c>
    </row>
    <row r="37" spans="1:17" x14ac:dyDescent="0.25">
      <c r="A37" s="2">
        <v>42533</v>
      </c>
      <c r="B37" s="2">
        <v>42536</v>
      </c>
      <c r="C37" s="1" t="s">
        <v>107</v>
      </c>
      <c r="D37" s="1" t="s">
        <v>157</v>
      </c>
      <c r="E37" s="1" t="s">
        <v>28</v>
      </c>
      <c r="F37" s="1" t="s">
        <v>20</v>
      </c>
      <c r="G37" s="1" t="s">
        <v>158</v>
      </c>
      <c r="H37" s="1" t="s">
        <v>159</v>
      </c>
      <c r="I37" s="1" t="s">
        <v>23</v>
      </c>
      <c r="J37" s="1" t="s">
        <v>32</v>
      </c>
      <c r="K37" s="1" t="s">
        <v>59</v>
      </c>
      <c r="L37" s="1" t="s">
        <v>160</v>
      </c>
      <c r="M37">
        <v>1</v>
      </c>
      <c r="N37">
        <v>0</v>
      </c>
      <c r="O37">
        <v>56.203200000000002</v>
      </c>
      <c r="P37">
        <v>208.16</v>
      </c>
      <c r="Q37">
        <v>151.95679999999999</v>
      </c>
    </row>
    <row r="38" spans="1:17" x14ac:dyDescent="0.25">
      <c r="A38" s="2">
        <v>41924</v>
      </c>
      <c r="B38" s="2">
        <v>41928</v>
      </c>
      <c r="C38" s="1" t="s">
        <v>35</v>
      </c>
      <c r="D38" s="1" t="s">
        <v>161</v>
      </c>
      <c r="E38" s="1" t="s">
        <v>19</v>
      </c>
      <c r="F38" s="1" t="s">
        <v>20</v>
      </c>
      <c r="G38" s="1" t="s">
        <v>71</v>
      </c>
      <c r="H38" s="1" t="s">
        <v>30</v>
      </c>
      <c r="I38" s="1" t="s">
        <v>31</v>
      </c>
      <c r="J38" s="1" t="s">
        <v>32</v>
      </c>
      <c r="K38" s="1" t="s">
        <v>72</v>
      </c>
      <c r="L38" s="1" t="s">
        <v>162</v>
      </c>
      <c r="M38">
        <v>5</v>
      </c>
      <c r="N38">
        <v>0</v>
      </c>
      <c r="O38">
        <v>4.1719999999999997</v>
      </c>
      <c r="P38">
        <v>14.9</v>
      </c>
      <c r="Q38">
        <v>10.728000000000002</v>
      </c>
    </row>
    <row r="39" spans="1:17" x14ac:dyDescent="0.25">
      <c r="A39" s="2">
        <v>42250</v>
      </c>
      <c r="B39" s="2">
        <v>42255</v>
      </c>
      <c r="C39" s="1" t="s">
        <v>35</v>
      </c>
      <c r="D39" s="1" t="s">
        <v>163</v>
      </c>
      <c r="E39" s="1" t="s">
        <v>28</v>
      </c>
      <c r="F39" s="1" t="s">
        <v>20</v>
      </c>
      <c r="G39" s="1" t="s">
        <v>164</v>
      </c>
      <c r="H39" s="1" t="s">
        <v>46</v>
      </c>
      <c r="I39" s="1" t="s">
        <v>23</v>
      </c>
      <c r="J39" s="1" t="s">
        <v>32</v>
      </c>
      <c r="K39" s="1" t="s">
        <v>94</v>
      </c>
      <c r="L39" s="1" t="s">
        <v>165</v>
      </c>
      <c r="M39">
        <v>7</v>
      </c>
      <c r="N39">
        <v>0.2</v>
      </c>
      <c r="O39">
        <v>62.807499999999997</v>
      </c>
      <c r="P39">
        <v>200.98400000000001</v>
      </c>
      <c r="Q39">
        <v>138.1765</v>
      </c>
    </row>
    <row r="40" spans="1:17" x14ac:dyDescent="0.25">
      <c r="A40" s="2">
        <v>43052</v>
      </c>
      <c r="B40" s="2">
        <v>43055</v>
      </c>
      <c r="C40" s="1" t="s">
        <v>107</v>
      </c>
      <c r="D40" s="1" t="s">
        <v>166</v>
      </c>
      <c r="E40" s="1" t="s">
        <v>55</v>
      </c>
      <c r="F40" s="1" t="s">
        <v>20</v>
      </c>
      <c r="G40" s="1" t="s">
        <v>136</v>
      </c>
      <c r="H40" s="1" t="s">
        <v>98</v>
      </c>
      <c r="I40" s="1" t="s">
        <v>58</v>
      </c>
      <c r="J40" s="1" t="s">
        <v>32</v>
      </c>
      <c r="K40" s="1" t="s">
        <v>64</v>
      </c>
      <c r="L40" s="1" t="s">
        <v>167</v>
      </c>
      <c r="M40">
        <v>3</v>
      </c>
      <c r="N40">
        <v>0.2</v>
      </c>
      <c r="O40">
        <v>-48.954900000000002</v>
      </c>
      <c r="P40">
        <v>230.376</v>
      </c>
      <c r="Q40">
        <v>279.33089999999999</v>
      </c>
    </row>
    <row r="41" spans="1:17" x14ac:dyDescent="0.25">
      <c r="A41" s="2">
        <v>42883</v>
      </c>
      <c r="B41" s="2">
        <v>42885</v>
      </c>
      <c r="C41" s="1" t="s">
        <v>17</v>
      </c>
      <c r="D41" s="1" t="s">
        <v>113</v>
      </c>
      <c r="E41" s="1" t="s">
        <v>19</v>
      </c>
      <c r="F41" s="1" t="s">
        <v>20</v>
      </c>
      <c r="G41" s="1" t="s">
        <v>168</v>
      </c>
      <c r="H41" s="1" t="s">
        <v>169</v>
      </c>
      <c r="I41" s="1" t="s">
        <v>23</v>
      </c>
      <c r="J41" s="1" t="s">
        <v>24</v>
      </c>
      <c r="K41" s="1" t="s">
        <v>82</v>
      </c>
      <c r="L41" s="1" t="s">
        <v>170</v>
      </c>
      <c r="M41">
        <v>2</v>
      </c>
      <c r="N41">
        <v>0</v>
      </c>
      <c r="O41">
        <v>33.215600000000002</v>
      </c>
      <c r="P41">
        <v>301.95999999999998</v>
      </c>
      <c r="Q41">
        <v>268.74439999999998</v>
      </c>
    </row>
    <row r="42" spans="1:17" x14ac:dyDescent="0.25">
      <c r="A42" s="2">
        <v>43034</v>
      </c>
      <c r="B42" s="2">
        <v>43041</v>
      </c>
      <c r="C42" s="1" t="s">
        <v>35</v>
      </c>
      <c r="D42" s="1" t="s">
        <v>171</v>
      </c>
      <c r="E42" s="1" t="s">
        <v>19</v>
      </c>
      <c r="F42" s="1" t="s">
        <v>20</v>
      </c>
      <c r="G42" s="1" t="s">
        <v>172</v>
      </c>
      <c r="H42" s="1" t="s">
        <v>110</v>
      </c>
      <c r="I42" s="1" t="s">
        <v>58</v>
      </c>
      <c r="J42" s="1" t="s">
        <v>99</v>
      </c>
      <c r="K42" s="1" t="s">
        <v>111</v>
      </c>
      <c r="L42" s="1" t="s">
        <v>173</v>
      </c>
      <c r="M42">
        <v>1</v>
      </c>
      <c r="N42">
        <v>0</v>
      </c>
      <c r="O42">
        <v>6.7965999999999998</v>
      </c>
      <c r="P42">
        <v>19.989999999999998</v>
      </c>
      <c r="Q42">
        <v>13.193399999999999</v>
      </c>
    </row>
    <row r="43" spans="1:17" x14ac:dyDescent="0.25">
      <c r="A43" s="2">
        <v>42465</v>
      </c>
      <c r="B43" s="2">
        <v>42470</v>
      </c>
      <c r="C43" s="1" t="s">
        <v>17</v>
      </c>
      <c r="D43" s="1" t="s">
        <v>174</v>
      </c>
      <c r="E43" s="1" t="s">
        <v>55</v>
      </c>
      <c r="F43" s="1" t="s">
        <v>20</v>
      </c>
      <c r="G43" s="1" t="s">
        <v>91</v>
      </c>
      <c r="H43" s="1" t="s">
        <v>57</v>
      </c>
      <c r="I43" s="1" t="s">
        <v>58</v>
      </c>
      <c r="J43" s="1" t="s">
        <v>32</v>
      </c>
      <c r="K43" s="1" t="s">
        <v>64</v>
      </c>
      <c r="L43" s="1" t="s">
        <v>175</v>
      </c>
      <c r="M43">
        <v>7</v>
      </c>
      <c r="N43">
        <v>0.2</v>
      </c>
      <c r="O43">
        <v>13.857200000000001</v>
      </c>
      <c r="P43">
        <v>158.36799999999999</v>
      </c>
      <c r="Q43">
        <v>144.51079999999999</v>
      </c>
    </row>
    <row r="44" spans="1:17" x14ac:dyDescent="0.25">
      <c r="A44" s="2">
        <v>42630</v>
      </c>
      <c r="B44" s="2">
        <v>42635</v>
      </c>
      <c r="C44" s="1" t="s">
        <v>35</v>
      </c>
      <c r="D44" s="1" t="s">
        <v>176</v>
      </c>
      <c r="E44" s="1" t="s">
        <v>28</v>
      </c>
      <c r="F44" s="1" t="s">
        <v>20</v>
      </c>
      <c r="G44" s="1" t="s">
        <v>29</v>
      </c>
      <c r="H44" s="1" t="s">
        <v>30</v>
      </c>
      <c r="I44" s="1" t="s">
        <v>31</v>
      </c>
      <c r="J44" s="1" t="s">
        <v>32</v>
      </c>
      <c r="K44" s="1" t="s">
        <v>72</v>
      </c>
      <c r="L44" s="1" t="s">
        <v>177</v>
      </c>
      <c r="M44">
        <v>3</v>
      </c>
      <c r="N44">
        <v>0</v>
      </c>
      <c r="O44">
        <v>6.633</v>
      </c>
      <c r="P44">
        <v>20.100000000000001</v>
      </c>
      <c r="Q44">
        <v>13.467000000000002</v>
      </c>
    </row>
    <row r="45" spans="1:17" x14ac:dyDescent="0.25">
      <c r="A45" s="2">
        <v>42035</v>
      </c>
      <c r="B45" s="2">
        <v>42040</v>
      </c>
      <c r="C45" s="1" t="s">
        <v>17</v>
      </c>
      <c r="D45" s="1" t="s">
        <v>178</v>
      </c>
      <c r="E45" s="1" t="s">
        <v>19</v>
      </c>
      <c r="F45" s="1" t="s">
        <v>20</v>
      </c>
      <c r="G45" s="1" t="s">
        <v>179</v>
      </c>
      <c r="H45" s="1" t="s">
        <v>110</v>
      </c>
      <c r="I45" s="1" t="s">
        <v>58</v>
      </c>
      <c r="J45" s="1" t="s">
        <v>32</v>
      </c>
      <c r="K45" s="1" t="s">
        <v>47</v>
      </c>
      <c r="L45" s="1" t="s">
        <v>180</v>
      </c>
      <c r="M45">
        <v>2</v>
      </c>
      <c r="N45">
        <v>0</v>
      </c>
      <c r="O45">
        <v>6.2207999999999997</v>
      </c>
      <c r="P45">
        <v>12.96</v>
      </c>
      <c r="Q45">
        <v>6.7392000000000012</v>
      </c>
    </row>
    <row r="46" spans="1:17" x14ac:dyDescent="0.25">
      <c r="A46" s="2">
        <v>43045</v>
      </c>
      <c r="B46" s="2">
        <v>43051</v>
      </c>
      <c r="C46" s="1" t="s">
        <v>35</v>
      </c>
      <c r="D46" s="1" t="s">
        <v>181</v>
      </c>
      <c r="E46" s="1" t="s">
        <v>55</v>
      </c>
      <c r="F46" s="1" t="s">
        <v>20</v>
      </c>
      <c r="G46" s="1" t="s">
        <v>182</v>
      </c>
      <c r="H46" s="1" t="s">
        <v>183</v>
      </c>
      <c r="I46" s="1" t="s">
        <v>31</v>
      </c>
      <c r="J46" s="1" t="s">
        <v>32</v>
      </c>
      <c r="K46" s="1" t="s">
        <v>52</v>
      </c>
      <c r="L46" s="1" t="s">
        <v>184</v>
      </c>
      <c r="M46">
        <v>1</v>
      </c>
      <c r="N46">
        <v>0.7</v>
      </c>
      <c r="O46">
        <v>-3.7879999999999998</v>
      </c>
      <c r="P46">
        <v>5.6820000000000004</v>
      </c>
      <c r="Q46">
        <v>9.4700000000000006</v>
      </c>
    </row>
    <row r="47" spans="1:17" x14ac:dyDescent="0.25">
      <c r="A47" s="2">
        <v>43048</v>
      </c>
      <c r="B47" s="2">
        <v>43050</v>
      </c>
      <c r="C47" s="1" t="s">
        <v>17</v>
      </c>
      <c r="D47" s="1" t="s">
        <v>185</v>
      </c>
      <c r="E47" s="1" t="s">
        <v>55</v>
      </c>
      <c r="F47" s="1" t="s">
        <v>20</v>
      </c>
      <c r="G47" s="1" t="s">
        <v>126</v>
      </c>
      <c r="H47" s="1" t="s">
        <v>127</v>
      </c>
      <c r="I47" s="1" t="s">
        <v>81</v>
      </c>
      <c r="J47" s="1" t="s">
        <v>24</v>
      </c>
      <c r="K47" s="1" t="s">
        <v>42</v>
      </c>
      <c r="L47" s="1" t="s">
        <v>186</v>
      </c>
      <c r="M47">
        <v>7</v>
      </c>
      <c r="N47">
        <v>0</v>
      </c>
      <c r="O47">
        <v>40.5426</v>
      </c>
      <c r="P47">
        <v>96.53</v>
      </c>
      <c r="Q47">
        <v>55.987400000000001</v>
      </c>
    </row>
    <row r="48" spans="1:17" x14ac:dyDescent="0.25">
      <c r="A48" s="2">
        <v>42903</v>
      </c>
      <c r="B48" s="2">
        <v>42906</v>
      </c>
      <c r="C48" s="1" t="s">
        <v>107</v>
      </c>
      <c r="D48" s="1" t="s">
        <v>187</v>
      </c>
      <c r="E48" s="1" t="s">
        <v>19</v>
      </c>
      <c r="F48" s="1" t="s">
        <v>20</v>
      </c>
      <c r="G48" s="1" t="s">
        <v>71</v>
      </c>
      <c r="H48" s="1" t="s">
        <v>30</v>
      </c>
      <c r="I48" s="1" t="s">
        <v>31</v>
      </c>
      <c r="J48" s="1" t="s">
        <v>32</v>
      </c>
      <c r="K48" s="1" t="s">
        <v>52</v>
      </c>
      <c r="L48" s="1" t="s">
        <v>188</v>
      </c>
      <c r="M48">
        <v>3</v>
      </c>
      <c r="N48">
        <v>0.2</v>
      </c>
      <c r="O48">
        <v>17.959199999999999</v>
      </c>
      <c r="P48">
        <v>51.311999999999998</v>
      </c>
      <c r="Q48">
        <v>33.352800000000002</v>
      </c>
    </row>
    <row r="49" spans="1:17" x14ac:dyDescent="0.25">
      <c r="A49" s="2">
        <v>42619</v>
      </c>
      <c r="B49" s="2">
        <v>42624</v>
      </c>
      <c r="C49" s="1" t="s">
        <v>35</v>
      </c>
      <c r="D49" s="1" t="s">
        <v>189</v>
      </c>
      <c r="E49" s="1" t="s">
        <v>28</v>
      </c>
      <c r="F49" s="1" t="s">
        <v>20</v>
      </c>
      <c r="G49" s="1" t="s">
        <v>190</v>
      </c>
      <c r="H49" s="1" t="s">
        <v>110</v>
      </c>
      <c r="I49" s="1" t="s">
        <v>58</v>
      </c>
      <c r="J49" s="1" t="s">
        <v>32</v>
      </c>
      <c r="K49" s="1" t="s">
        <v>59</v>
      </c>
      <c r="L49" s="1" t="s">
        <v>191</v>
      </c>
      <c r="M49">
        <v>6</v>
      </c>
      <c r="N49">
        <v>0</v>
      </c>
      <c r="O49">
        <v>22.5852</v>
      </c>
      <c r="P49">
        <v>77.88</v>
      </c>
      <c r="Q49">
        <v>55.294799999999995</v>
      </c>
    </row>
    <row r="50" spans="1:17" x14ac:dyDescent="0.25">
      <c r="A50" s="2">
        <v>42611</v>
      </c>
      <c r="B50" s="2">
        <v>42615</v>
      </c>
      <c r="C50" s="1" t="s">
        <v>35</v>
      </c>
      <c r="D50" s="1" t="s">
        <v>192</v>
      </c>
      <c r="E50" s="1" t="s">
        <v>55</v>
      </c>
      <c r="F50" s="1" t="s">
        <v>20</v>
      </c>
      <c r="G50" s="1" t="s">
        <v>136</v>
      </c>
      <c r="H50" s="1" t="s">
        <v>98</v>
      </c>
      <c r="I50" s="1" t="s">
        <v>58</v>
      </c>
      <c r="J50" s="1" t="s">
        <v>32</v>
      </c>
      <c r="K50" s="1" t="s">
        <v>47</v>
      </c>
      <c r="L50" s="1" t="s">
        <v>193</v>
      </c>
      <c r="M50">
        <v>7</v>
      </c>
      <c r="N50">
        <v>0.2</v>
      </c>
      <c r="O50">
        <v>22.618400000000001</v>
      </c>
      <c r="P50">
        <v>64.623999999999995</v>
      </c>
      <c r="Q50">
        <v>42.005599999999994</v>
      </c>
    </row>
    <row r="51" spans="1:17" x14ac:dyDescent="0.25">
      <c r="A51" s="2">
        <v>42705</v>
      </c>
      <c r="B51" s="2">
        <v>42708</v>
      </c>
      <c r="C51" s="1" t="s">
        <v>17</v>
      </c>
      <c r="D51" s="1" t="s">
        <v>194</v>
      </c>
      <c r="E51" s="1" t="s">
        <v>19</v>
      </c>
      <c r="F51" s="1" t="s">
        <v>20</v>
      </c>
      <c r="G51" s="1" t="s">
        <v>172</v>
      </c>
      <c r="H51" s="1" t="s">
        <v>110</v>
      </c>
      <c r="I51" s="1" t="s">
        <v>58</v>
      </c>
      <c r="J51" s="1" t="s">
        <v>32</v>
      </c>
      <c r="K51" s="1" t="s">
        <v>47</v>
      </c>
      <c r="L51" s="1" t="s">
        <v>195</v>
      </c>
      <c r="M51">
        <v>4</v>
      </c>
      <c r="N51">
        <v>0</v>
      </c>
      <c r="O51">
        <v>11.720800000000001</v>
      </c>
      <c r="P51">
        <v>23.92</v>
      </c>
      <c r="Q51">
        <v>12.199200000000001</v>
      </c>
    </row>
    <row r="52" spans="1:17" x14ac:dyDescent="0.25">
      <c r="A52" s="2">
        <v>42321</v>
      </c>
      <c r="B52" s="2">
        <v>42325</v>
      </c>
      <c r="C52" s="1" t="s">
        <v>35</v>
      </c>
      <c r="D52" s="1" t="s">
        <v>196</v>
      </c>
      <c r="E52" s="1" t="s">
        <v>19</v>
      </c>
      <c r="F52" s="1" t="s">
        <v>20</v>
      </c>
      <c r="G52" s="1" t="s">
        <v>197</v>
      </c>
      <c r="H52" s="1" t="s">
        <v>198</v>
      </c>
      <c r="I52" s="1" t="s">
        <v>31</v>
      </c>
      <c r="J52" s="1" t="s">
        <v>99</v>
      </c>
      <c r="K52" s="1" t="s">
        <v>111</v>
      </c>
      <c r="L52" s="1" t="s">
        <v>199</v>
      </c>
      <c r="M52">
        <v>6</v>
      </c>
      <c r="N52">
        <v>0.2</v>
      </c>
      <c r="O52">
        <v>-26.875800000000002</v>
      </c>
      <c r="P52">
        <v>238.89599999999999</v>
      </c>
      <c r="Q52">
        <v>265.77179999999998</v>
      </c>
    </row>
    <row r="53" spans="1:17" x14ac:dyDescent="0.25">
      <c r="A53" s="2">
        <v>43062</v>
      </c>
      <c r="B53" s="2">
        <v>43067</v>
      </c>
      <c r="C53" s="1" t="s">
        <v>35</v>
      </c>
      <c r="D53" s="1" t="s">
        <v>200</v>
      </c>
      <c r="E53" s="1" t="s">
        <v>19</v>
      </c>
      <c r="F53" s="1" t="s">
        <v>20</v>
      </c>
      <c r="G53" s="1" t="s">
        <v>201</v>
      </c>
      <c r="H53" s="1" t="s">
        <v>46</v>
      </c>
      <c r="I53" s="1" t="s">
        <v>23</v>
      </c>
      <c r="J53" s="1" t="s">
        <v>99</v>
      </c>
      <c r="K53" s="1" t="s">
        <v>111</v>
      </c>
      <c r="L53" s="1" t="s">
        <v>202</v>
      </c>
      <c r="M53">
        <v>8</v>
      </c>
      <c r="N53">
        <v>0.2</v>
      </c>
      <c r="O53">
        <v>17.601600000000001</v>
      </c>
      <c r="P53">
        <v>74.111999999999995</v>
      </c>
      <c r="Q53">
        <v>56.51039999999999</v>
      </c>
    </row>
    <row r="54" spans="1:17" x14ac:dyDescent="0.25">
      <c r="A54" s="2">
        <v>42292</v>
      </c>
      <c r="B54" s="2">
        <v>42297</v>
      </c>
      <c r="C54" s="1" t="s">
        <v>35</v>
      </c>
      <c r="D54" s="1" t="s">
        <v>203</v>
      </c>
      <c r="E54" s="1" t="s">
        <v>55</v>
      </c>
      <c r="F54" s="1" t="s">
        <v>20</v>
      </c>
      <c r="G54" s="1" t="s">
        <v>204</v>
      </c>
      <c r="H54" s="1" t="s">
        <v>98</v>
      </c>
      <c r="I54" s="1" t="s">
        <v>58</v>
      </c>
      <c r="J54" s="1" t="s">
        <v>99</v>
      </c>
      <c r="K54" s="1" t="s">
        <v>111</v>
      </c>
      <c r="L54" s="1" t="s">
        <v>205</v>
      </c>
      <c r="M54">
        <v>5</v>
      </c>
      <c r="N54">
        <v>0.2</v>
      </c>
      <c r="O54">
        <v>67.992000000000004</v>
      </c>
      <c r="P54">
        <v>339.96</v>
      </c>
      <c r="Q54">
        <v>271.96799999999996</v>
      </c>
    </row>
    <row r="55" spans="1:17" x14ac:dyDescent="0.25">
      <c r="A55" s="2">
        <v>43094</v>
      </c>
      <c r="B55" s="2">
        <v>43099</v>
      </c>
      <c r="C55" s="1" t="s">
        <v>35</v>
      </c>
      <c r="D55" s="1" t="s">
        <v>206</v>
      </c>
      <c r="E55" s="1" t="s">
        <v>28</v>
      </c>
      <c r="F55" s="1" t="s">
        <v>20</v>
      </c>
      <c r="G55" s="1" t="s">
        <v>126</v>
      </c>
      <c r="H55" s="1" t="s">
        <v>127</v>
      </c>
      <c r="I55" s="1" t="s">
        <v>81</v>
      </c>
      <c r="J55" s="1" t="s">
        <v>24</v>
      </c>
      <c r="K55" s="1" t="s">
        <v>42</v>
      </c>
      <c r="L55" s="1" t="s">
        <v>207</v>
      </c>
      <c r="M55">
        <v>2</v>
      </c>
      <c r="N55">
        <v>0</v>
      </c>
      <c r="O55">
        <v>10.909599999999999</v>
      </c>
      <c r="P55">
        <v>41.96</v>
      </c>
      <c r="Q55">
        <v>31.050400000000003</v>
      </c>
    </row>
    <row r="56" spans="1:17" x14ac:dyDescent="0.25">
      <c r="A56" s="2">
        <v>42677</v>
      </c>
      <c r="B56" s="2">
        <v>42684</v>
      </c>
      <c r="C56" s="1" t="s">
        <v>35</v>
      </c>
      <c r="D56" s="1" t="s">
        <v>208</v>
      </c>
      <c r="E56" s="1" t="s">
        <v>19</v>
      </c>
      <c r="F56" s="1" t="s">
        <v>20</v>
      </c>
      <c r="G56" s="1" t="s">
        <v>209</v>
      </c>
      <c r="H56" s="1" t="s">
        <v>210</v>
      </c>
      <c r="I56" s="1" t="s">
        <v>58</v>
      </c>
      <c r="J56" s="1" t="s">
        <v>32</v>
      </c>
      <c r="K56" s="1" t="s">
        <v>72</v>
      </c>
      <c r="L56" s="1" t="s">
        <v>211</v>
      </c>
      <c r="M56">
        <v>2</v>
      </c>
      <c r="N56">
        <v>0</v>
      </c>
      <c r="O56">
        <v>22.788</v>
      </c>
      <c r="P56">
        <v>75.959999999999994</v>
      </c>
      <c r="Q56">
        <v>53.171999999999997</v>
      </c>
    </row>
    <row r="57" spans="1:17" x14ac:dyDescent="0.25">
      <c r="A57" s="2">
        <v>41876</v>
      </c>
      <c r="B57" s="2">
        <v>41878</v>
      </c>
      <c r="C57" s="1" t="s">
        <v>17</v>
      </c>
      <c r="D57" s="1" t="s">
        <v>212</v>
      </c>
      <c r="E57" s="1" t="s">
        <v>19</v>
      </c>
      <c r="F57" s="1" t="s">
        <v>20</v>
      </c>
      <c r="G57" s="1" t="s">
        <v>213</v>
      </c>
      <c r="H57" s="1" t="s">
        <v>214</v>
      </c>
      <c r="I57" s="1" t="s">
        <v>81</v>
      </c>
      <c r="J57" s="1" t="s">
        <v>32</v>
      </c>
      <c r="K57" s="1" t="s">
        <v>128</v>
      </c>
      <c r="L57" s="1" t="s">
        <v>215</v>
      </c>
      <c r="M57">
        <v>14</v>
      </c>
      <c r="N57">
        <v>0.2</v>
      </c>
      <c r="O57">
        <v>14.534800000000001</v>
      </c>
      <c r="P57">
        <v>40.095999999999997</v>
      </c>
      <c r="Q57">
        <v>25.561199999999996</v>
      </c>
    </row>
    <row r="58" spans="1:17" x14ac:dyDescent="0.25">
      <c r="A58" s="2">
        <v>42065</v>
      </c>
      <c r="B58" s="2">
        <v>42069</v>
      </c>
      <c r="C58" s="1" t="s">
        <v>35</v>
      </c>
      <c r="D58" s="1" t="s">
        <v>216</v>
      </c>
      <c r="E58" s="1" t="s">
        <v>19</v>
      </c>
      <c r="F58" s="1" t="s">
        <v>20</v>
      </c>
      <c r="G58" s="1" t="s">
        <v>50</v>
      </c>
      <c r="H58" s="1" t="s">
        <v>51</v>
      </c>
      <c r="I58" s="1" t="s">
        <v>31</v>
      </c>
      <c r="J58" s="1" t="s">
        <v>24</v>
      </c>
      <c r="K58" s="1" t="s">
        <v>39</v>
      </c>
      <c r="L58" s="1" t="s">
        <v>217</v>
      </c>
      <c r="M58">
        <v>3</v>
      </c>
      <c r="N58">
        <v>0</v>
      </c>
      <c r="O58">
        <v>165.38130000000001</v>
      </c>
      <c r="P58">
        <v>787.53</v>
      </c>
      <c r="Q58">
        <v>622.14869999999996</v>
      </c>
    </row>
    <row r="59" spans="1:17" x14ac:dyDescent="0.25">
      <c r="A59" s="2">
        <v>42099</v>
      </c>
      <c r="B59" s="2">
        <v>42104</v>
      </c>
      <c r="C59" s="1" t="s">
        <v>35</v>
      </c>
      <c r="D59" s="1" t="s">
        <v>218</v>
      </c>
      <c r="E59" s="1" t="s">
        <v>28</v>
      </c>
      <c r="F59" s="1" t="s">
        <v>20</v>
      </c>
      <c r="G59" s="1" t="s">
        <v>219</v>
      </c>
      <c r="H59" s="1" t="s">
        <v>152</v>
      </c>
      <c r="I59" s="1" t="s">
        <v>23</v>
      </c>
      <c r="J59" s="1" t="s">
        <v>32</v>
      </c>
      <c r="K59" s="1" t="s">
        <v>52</v>
      </c>
      <c r="L59" s="1" t="s">
        <v>220</v>
      </c>
      <c r="M59">
        <v>1</v>
      </c>
      <c r="N59">
        <v>0.7</v>
      </c>
      <c r="O59">
        <v>-115.71559999999999</v>
      </c>
      <c r="P59">
        <v>157.79400000000001</v>
      </c>
      <c r="Q59">
        <v>273.50959999999998</v>
      </c>
    </row>
    <row r="60" spans="1:17" x14ac:dyDescent="0.25">
      <c r="A60" s="2">
        <v>41999</v>
      </c>
      <c r="B60" s="2">
        <v>42001</v>
      </c>
      <c r="C60" s="1" t="s">
        <v>17</v>
      </c>
      <c r="D60" s="1" t="s">
        <v>221</v>
      </c>
      <c r="E60" s="1" t="s">
        <v>55</v>
      </c>
      <c r="F60" s="1" t="s">
        <v>20</v>
      </c>
      <c r="G60" s="1" t="s">
        <v>91</v>
      </c>
      <c r="H60" s="1" t="s">
        <v>57</v>
      </c>
      <c r="I60" s="1" t="s">
        <v>58</v>
      </c>
      <c r="J60" s="1" t="s">
        <v>24</v>
      </c>
      <c r="K60" s="1" t="s">
        <v>82</v>
      </c>
      <c r="L60" s="1" t="s">
        <v>222</v>
      </c>
      <c r="M60">
        <v>3</v>
      </c>
      <c r="N60">
        <v>0.3</v>
      </c>
      <c r="O60">
        <v>-8.5793999999999997</v>
      </c>
      <c r="P60">
        <v>600.55799999999999</v>
      </c>
      <c r="Q60">
        <v>609.13739999999996</v>
      </c>
    </row>
    <row r="61" spans="1:17" x14ac:dyDescent="0.25">
      <c r="A61" s="2">
        <v>41902</v>
      </c>
      <c r="B61" s="2">
        <v>41907</v>
      </c>
      <c r="C61" s="1" t="s">
        <v>35</v>
      </c>
      <c r="D61" s="1" t="s">
        <v>223</v>
      </c>
      <c r="E61" s="1" t="s">
        <v>19</v>
      </c>
      <c r="F61" s="1" t="s">
        <v>20</v>
      </c>
      <c r="G61" s="1" t="s">
        <v>224</v>
      </c>
      <c r="H61" s="1" t="s">
        <v>98</v>
      </c>
      <c r="I61" s="1" t="s">
        <v>58</v>
      </c>
      <c r="J61" s="1" t="s">
        <v>24</v>
      </c>
      <c r="K61" s="1" t="s">
        <v>39</v>
      </c>
      <c r="L61" s="1" t="s">
        <v>225</v>
      </c>
      <c r="M61">
        <v>6</v>
      </c>
      <c r="N61">
        <v>0.5</v>
      </c>
      <c r="O61">
        <v>-407.68200000000002</v>
      </c>
      <c r="P61">
        <v>617.70000000000005</v>
      </c>
      <c r="Q61">
        <v>1025.3820000000001</v>
      </c>
    </row>
    <row r="62" spans="1:17" x14ac:dyDescent="0.25">
      <c r="A62" s="2">
        <v>42768</v>
      </c>
      <c r="B62" s="2">
        <v>42771</v>
      </c>
      <c r="C62" s="1" t="s">
        <v>107</v>
      </c>
      <c r="D62" s="1" t="s">
        <v>226</v>
      </c>
      <c r="E62" s="1" t="s">
        <v>28</v>
      </c>
      <c r="F62" s="1" t="s">
        <v>20</v>
      </c>
      <c r="G62" s="1" t="s">
        <v>213</v>
      </c>
      <c r="H62" s="1" t="s">
        <v>214</v>
      </c>
      <c r="I62" s="1" t="s">
        <v>81</v>
      </c>
      <c r="J62" s="1" t="s">
        <v>99</v>
      </c>
      <c r="K62" s="1" t="s">
        <v>100</v>
      </c>
      <c r="L62" s="1" t="s">
        <v>227</v>
      </c>
      <c r="M62">
        <v>5</v>
      </c>
      <c r="N62">
        <v>0.4</v>
      </c>
      <c r="O62">
        <v>-11.994</v>
      </c>
      <c r="P62">
        <v>59.97</v>
      </c>
      <c r="Q62">
        <v>71.963999999999999</v>
      </c>
    </row>
    <row r="63" spans="1:17" x14ac:dyDescent="0.25">
      <c r="A63" s="2">
        <v>42656</v>
      </c>
      <c r="B63" s="2">
        <v>42662</v>
      </c>
      <c r="C63" s="1" t="s">
        <v>35</v>
      </c>
      <c r="D63" s="1" t="s">
        <v>228</v>
      </c>
      <c r="E63" s="1" t="s">
        <v>19</v>
      </c>
      <c r="F63" s="1" t="s">
        <v>20</v>
      </c>
      <c r="G63" s="1" t="s">
        <v>229</v>
      </c>
      <c r="H63" s="1" t="s">
        <v>30</v>
      </c>
      <c r="I63" s="1" t="s">
        <v>31</v>
      </c>
      <c r="J63" s="1" t="s">
        <v>32</v>
      </c>
      <c r="K63" s="1" t="s">
        <v>47</v>
      </c>
      <c r="L63" s="1" t="s">
        <v>230</v>
      </c>
      <c r="M63">
        <v>3</v>
      </c>
      <c r="N63">
        <v>0</v>
      </c>
      <c r="O63">
        <v>9.6191999999999993</v>
      </c>
      <c r="P63">
        <v>20.04</v>
      </c>
      <c r="Q63">
        <v>10.4208</v>
      </c>
    </row>
    <row r="64" spans="1:17" x14ac:dyDescent="0.25">
      <c r="A64" s="2">
        <v>42618</v>
      </c>
      <c r="B64" s="2">
        <v>42620</v>
      </c>
      <c r="C64" s="1" t="s">
        <v>17</v>
      </c>
      <c r="D64" s="1" t="s">
        <v>231</v>
      </c>
      <c r="E64" s="1" t="s">
        <v>28</v>
      </c>
      <c r="F64" s="1" t="s">
        <v>20</v>
      </c>
      <c r="G64" s="1" t="s">
        <v>79</v>
      </c>
      <c r="H64" s="1" t="s">
        <v>80</v>
      </c>
      <c r="I64" s="1" t="s">
        <v>81</v>
      </c>
      <c r="J64" s="1" t="s">
        <v>24</v>
      </c>
      <c r="K64" s="1" t="s">
        <v>42</v>
      </c>
      <c r="L64" s="1" t="s">
        <v>232</v>
      </c>
      <c r="M64">
        <v>2</v>
      </c>
      <c r="N64">
        <v>0.2</v>
      </c>
      <c r="O64">
        <v>10.35</v>
      </c>
      <c r="P64">
        <v>82.8</v>
      </c>
      <c r="Q64">
        <v>72.45</v>
      </c>
    </row>
    <row r="65" spans="1:17" x14ac:dyDescent="0.25">
      <c r="A65" s="2">
        <v>43091</v>
      </c>
      <c r="B65" s="2">
        <v>43096</v>
      </c>
      <c r="C65" s="1" t="s">
        <v>35</v>
      </c>
      <c r="D65" s="1" t="s">
        <v>233</v>
      </c>
      <c r="E65" s="1" t="s">
        <v>19</v>
      </c>
      <c r="F65" s="1" t="s">
        <v>20</v>
      </c>
      <c r="G65" s="1" t="s">
        <v>234</v>
      </c>
      <c r="H65" s="1" t="s">
        <v>235</v>
      </c>
      <c r="I65" s="1" t="s">
        <v>58</v>
      </c>
      <c r="J65" s="1" t="s">
        <v>32</v>
      </c>
      <c r="K65" s="1" t="s">
        <v>59</v>
      </c>
      <c r="L65" s="1" t="s">
        <v>236</v>
      </c>
      <c r="M65">
        <v>3</v>
      </c>
      <c r="N65">
        <v>0</v>
      </c>
      <c r="O65">
        <v>218.2518</v>
      </c>
      <c r="P65">
        <v>839.43</v>
      </c>
      <c r="Q65">
        <v>621.17819999999995</v>
      </c>
    </row>
    <row r="66" spans="1:17" x14ac:dyDescent="0.25">
      <c r="A66" s="2">
        <v>42254</v>
      </c>
      <c r="B66" s="2">
        <v>42259</v>
      </c>
      <c r="C66" s="1" t="s">
        <v>35</v>
      </c>
      <c r="D66" s="1" t="s">
        <v>237</v>
      </c>
      <c r="E66" s="1" t="s">
        <v>19</v>
      </c>
      <c r="F66" s="1" t="s">
        <v>20</v>
      </c>
      <c r="G66" s="1" t="s">
        <v>238</v>
      </c>
      <c r="H66" s="1" t="s">
        <v>30</v>
      </c>
      <c r="I66" s="1" t="s">
        <v>31</v>
      </c>
      <c r="J66" s="1" t="s">
        <v>32</v>
      </c>
      <c r="K66" s="1" t="s">
        <v>64</v>
      </c>
      <c r="L66" s="1" t="s">
        <v>167</v>
      </c>
      <c r="M66">
        <v>7</v>
      </c>
      <c r="N66">
        <v>0</v>
      </c>
      <c r="O66">
        <v>20.157900000000001</v>
      </c>
      <c r="P66">
        <v>671.93</v>
      </c>
      <c r="Q66">
        <v>651.77209999999991</v>
      </c>
    </row>
    <row r="67" spans="1:17" x14ac:dyDescent="0.25">
      <c r="A67" s="2">
        <v>41934</v>
      </c>
      <c r="B67" s="2">
        <v>41940</v>
      </c>
      <c r="C67" s="1" t="s">
        <v>35</v>
      </c>
      <c r="D67" s="1" t="s">
        <v>239</v>
      </c>
      <c r="E67" s="1" t="s">
        <v>55</v>
      </c>
      <c r="F67" s="1" t="s">
        <v>20</v>
      </c>
      <c r="G67" s="1" t="s">
        <v>240</v>
      </c>
      <c r="H67" s="1" t="s">
        <v>214</v>
      </c>
      <c r="I67" s="1" t="s">
        <v>81</v>
      </c>
      <c r="J67" s="1" t="s">
        <v>24</v>
      </c>
      <c r="K67" s="1" t="s">
        <v>42</v>
      </c>
      <c r="L67" s="1" t="s">
        <v>241</v>
      </c>
      <c r="M67">
        <v>4</v>
      </c>
      <c r="N67">
        <v>0.2</v>
      </c>
      <c r="O67">
        <v>12.909599999999999</v>
      </c>
      <c r="P67">
        <v>93.888000000000005</v>
      </c>
      <c r="Q67">
        <v>80.978400000000008</v>
      </c>
    </row>
    <row r="68" spans="1:17" x14ac:dyDescent="0.25">
      <c r="A68" s="2">
        <v>42709</v>
      </c>
      <c r="B68" s="2">
        <v>42713</v>
      </c>
      <c r="C68" s="1" t="s">
        <v>35</v>
      </c>
      <c r="D68" s="1" t="s">
        <v>242</v>
      </c>
      <c r="E68" s="1" t="s">
        <v>28</v>
      </c>
      <c r="F68" s="1" t="s">
        <v>20</v>
      </c>
      <c r="G68" s="1" t="s">
        <v>243</v>
      </c>
      <c r="H68" s="1" t="s">
        <v>63</v>
      </c>
      <c r="I68" s="1" t="s">
        <v>58</v>
      </c>
      <c r="J68" s="1" t="s">
        <v>99</v>
      </c>
      <c r="K68" s="1" t="s">
        <v>100</v>
      </c>
      <c r="L68" s="1" t="s">
        <v>244</v>
      </c>
      <c r="M68">
        <v>11</v>
      </c>
      <c r="N68">
        <v>0</v>
      </c>
      <c r="O68">
        <v>103.8015</v>
      </c>
      <c r="P68">
        <v>384.45</v>
      </c>
      <c r="Q68">
        <v>280.64850000000001</v>
      </c>
    </row>
    <row r="69" spans="1:17" x14ac:dyDescent="0.25">
      <c r="A69" s="2">
        <v>42442</v>
      </c>
      <c r="B69" s="2">
        <v>42445</v>
      </c>
      <c r="C69" s="1" t="s">
        <v>107</v>
      </c>
      <c r="D69" s="1" t="s">
        <v>245</v>
      </c>
      <c r="E69" s="1" t="s">
        <v>55</v>
      </c>
      <c r="F69" s="1" t="s">
        <v>20</v>
      </c>
      <c r="G69" s="1" t="s">
        <v>246</v>
      </c>
      <c r="H69" s="1" t="s">
        <v>140</v>
      </c>
      <c r="I69" s="1" t="s">
        <v>31</v>
      </c>
      <c r="J69" s="1" t="s">
        <v>32</v>
      </c>
      <c r="K69" s="1" t="s">
        <v>59</v>
      </c>
      <c r="L69" s="1" t="s">
        <v>247</v>
      </c>
      <c r="M69">
        <v>5</v>
      </c>
      <c r="N69">
        <v>0.2</v>
      </c>
      <c r="O69">
        <v>17.765999999999998</v>
      </c>
      <c r="P69">
        <v>157.91999999999999</v>
      </c>
      <c r="Q69">
        <v>140.154</v>
      </c>
    </row>
    <row r="70" spans="1:17" x14ac:dyDescent="0.25">
      <c r="A70" s="2">
        <v>42155</v>
      </c>
      <c r="B70" s="2">
        <v>42157</v>
      </c>
      <c r="C70" s="1" t="s">
        <v>107</v>
      </c>
      <c r="D70" s="1" t="s">
        <v>248</v>
      </c>
      <c r="E70" s="1" t="s">
        <v>28</v>
      </c>
      <c r="F70" s="1" t="s">
        <v>20</v>
      </c>
      <c r="G70" s="1" t="s">
        <v>249</v>
      </c>
      <c r="H70" s="1" t="s">
        <v>30</v>
      </c>
      <c r="I70" s="1" t="s">
        <v>31</v>
      </c>
      <c r="J70" s="1" t="s">
        <v>32</v>
      </c>
      <c r="K70" s="1" t="s">
        <v>47</v>
      </c>
      <c r="L70" s="1" t="s">
        <v>250</v>
      </c>
      <c r="M70">
        <v>7</v>
      </c>
      <c r="N70">
        <v>0</v>
      </c>
      <c r="O70">
        <v>26.271000000000001</v>
      </c>
      <c r="P70">
        <v>58.38</v>
      </c>
      <c r="Q70">
        <v>32.109000000000002</v>
      </c>
    </row>
    <row r="71" spans="1:17" x14ac:dyDescent="0.25">
      <c r="A71" s="2">
        <v>42152</v>
      </c>
      <c r="B71" s="2">
        <v>42158</v>
      </c>
      <c r="C71" s="1" t="s">
        <v>35</v>
      </c>
      <c r="D71" s="1" t="s">
        <v>251</v>
      </c>
      <c r="E71" s="1" t="s">
        <v>55</v>
      </c>
      <c r="F71" s="1" t="s">
        <v>20</v>
      </c>
      <c r="G71" s="1" t="s">
        <v>50</v>
      </c>
      <c r="H71" s="1" t="s">
        <v>51</v>
      </c>
      <c r="I71" s="1" t="s">
        <v>31</v>
      </c>
      <c r="J71" s="1" t="s">
        <v>32</v>
      </c>
      <c r="K71" s="1" t="s">
        <v>72</v>
      </c>
      <c r="L71" s="1" t="s">
        <v>252</v>
      </c>
      <c r="M71">
        <v>3</v>
      </c>
      <c r="N71">
        <v>0</v>
      </c>
      <c r="O71">
        <v>1.7901</v>
      </c>
      <c r="P71">
        <v>6.63</v>
      </c>
      <c r="Q71">
        <v>4.8399000000000001</v>
      </c>
    </row>
    <row r="72" spans="1:17" x14ac:dyDescent="0.25">
      <c r="A72" s="2">
        <v>41699</v>
      </c>
      <c r="B72" s="2">
        <v>41704</v>
      </c>
      <c r="C72" s="1" t="s">
        <v>17</v>
      </c>
      <c r="D72" s="1" t="s">
        <v>253</v>
      </c>
      <c r="E72" s="1" t="s">
        <v>19</v>
      </c>
      <c r="F72" s="1" t="s">
        <v>20</v>
      </c>
      <c r="G72" s="1" t="s">
        <v>50</v>
      </c>
      <c r="H72" s="1" t="s">
        <v>51</v>
      </c>
      <c r="I72" s="1" t="s">
        <v>31</v>
      </c>
      <c r="J72" s="1" t="s">
        <v>24</v>
      </c>
      <c r="K72" s="1" t="s">
        <v>82</v>
      </c>
      <c r="L72" s="1" t="s">
        <v>222</v>
      </c>
      <c r="M72">
        <v>2</v>
      </c>
      <c r="N72">
        <v>0.2</v>
      </c>
      <c r="O72">
        <v>51.476399999999998</v>
      </c>
      <c r="P72">
        <v>457.56799999999998</v>
      </c>
      <c r="Q72">
        <v>406.09159999999997</v>
      </c>
    </row>
    <row r="73" spans="1:17" x14ac:dyDescent="0.25">
      <c r="A73" s="2">
        <v>42694</v>
      </c>
      <c r="B73" s="2">
        <v>42698</v>
      </c>
      <c r="C73" s="1" t="s">
        <v>35</v>
      </c>
      <c r="D73" s="1" t="s">
        <v>254</v>
      </c>
      <c r="E73" s="1" t="s">
        <v>19</v>
      </c>
      <c r="F73" s="1" t="s">
        <v>20</v>
      </c>
      <c r="G73" s="1" t="s">
        <v>255</v>
      </c>
      <c r="H73" s="1" t="s">
        <v>256</v>
      </c>
      <c r="I73" s="1" t="s">
        <v>58</v>
      </c>
      <c r="J73" s="1" t="s">
        <v>32</v>
      </c>
      <c r="K73" s="1" t="s">
        <v>33</v>
      </c>
      <c r="L73" s="1" t="s">
        <v>257</v>
      </c>
      <c r="M73">
        <v>2</v>
      </c>
      <c r="N73">
        <v>0</v>
      </c>
      <c r="O73">
        <v>6.8714000000000004</v>
      </c>
      <c r="P73">
        <v>14.62</v>
      </c>
      <c r="Q73">
        <v>7.7485999999999988</v>
      </c>
    </row>
    <row r="74" spans="1:17" x14ac:dyDescent="0.25">
      <c r="A74" s="2">
        <v>42501</v>
      </c>
      <c r="B74" s="2">
        <v>42502</v>
      </c>
      <c r="C74" s="1" t="s">
        <v>107</v>
      </c>
      <c r="D74" s="1" t="s">
        <v>258</v>
      </c>
      <c r="E74" s="1" t="s">
        <v>19</v>
      </c>
      <c r="F74" s="1" t="s">
        <v>20</v>
      </c>
      <c r="G74" s="1" t="s">
        <v>29</v>
      </c>
      <c r="H74" s="1" t="s">
        <v>30</v>
      </c>
      <c r="I74" s="1" t="s">
        <v>31</v>
      </c>
      <c r="J74" s="1" t="s">
        <v>32</v>
      </c>
      <c r="K74" s="1" t="s">
        <v>47</v>
      </c>
      <c r="L74" s="1" t="s">
        <v>259</v>
      </c>
      <c r="M74">
        <v>1</v>
      </c>
      <c r="N74">
        <v>0</v>
      </c>
      <c r="O74">
        <v>2.6909999999999998</v>
      </c>
      <c r="P74">
        <v>5.98</v>
      </c>
      <c r="Q74">
        <v>3.2890000000000006</v>
      </c>
    </row>
    <row r="75" spans="1:17" x14ac:dyDescent="0.25">
      <c r="A75" s="2">
        <v>42690</v>
      </c>
      <c r="B75" s="2">
        <v>42694</v>
      </c>
      <c r="C75" s="1" t="s">
        <v>35</v>
      </c>
      <c r="D75" s="1" t="s">
        <v>260</v>
      </c>
      <c r="E75" s="1" t="s">
        <v>19</v>
      </c>
      <c r="F75" s="1" t="s">
        <v>20</v>
      </c>
      <c r="G75" s="1" t="s">
        <v>261</v>
      </c>
      <c r="H75" s="1" t="s">
        <v>262</v>
      </c>
      <c r="I75" s="1" t="s">
        <v>31</v>
      </c>
      <c r="J75" s="1" t="s">
        <v>32</v>
      </c>
      <c r="K75" s="1" t="s">
        <v>94</v>
      </c>
      <c r="L75" s="1" t="s">
        <v>263</v>
      </c>
      <c r="M75">
        <v>5</v>
      </c>
      <c r="N75">
        <v>0</v>
      </c>
      <c r="O75">
        <v>13.348000000000001</v>
      </c>
      <c r="P75">
        <v>28.4</v>
      </c>
      <c r="Q75">
        <v>15.051999999999998</v>
      </c>
    </row>
    <row r="76" spans="1:17" x14ac:dyDescent="0.25">
      <c r="A76" s="2">
        <v>41890</v>
      </c>
      <c r="B76" s="2">
        <v>41894</v>
      </c>
      <c r="C76" s="1" t="s">
        <v>35</v>
      </c>
      <c r="D76" s="1" t="s">
        <v>264</v>
      </c>
      <c r="E76" s="1" t="s">
        <v>19</v>
      </c>
      <c r="F76" s="1" t="s">
        <v>20</v>
      </c>
      <c r="G76" s="1" t="s">
        <v>265</v>
      </c>
      <c r="H76" s="1" t="s">
        <v>57</v>
      </c>
      <c r="I76" s="1" t="s">
        <v>58</v>
      </c>
      <c r="J76" s="1" t="s">
        <v>32</v>
      </c>
      <c r="K76" s="1" t="s">
        <v>72</v>
      </c>
      <c r="L76" s="1" t="s">
        <v>266</v>
      </c>
      <c r="M76">
        <v>3</v>
      </c>
      <c r="N76">
        <v>0.2</v>
      </c>
      <c r="O76">
        <v>2.7324000000000002</v>
      </c>
      <c r="P76">
        <v>9.9359999999999999</v>
      </c>
      <c r="Q76">
        <v>7.2035999999999998</v>
      </c>
    </row>
    <row r="77" spans="1:17" x14ac:dyDescent="0.25">
      <c r="A77" s="2">
        <v>41856</v>
      </c>
      <c r="B77" s="2">
        <v>41860</v>
      </c>
      <c r="C77" s="1" t="s">
        <v>35</v>
      </c>
      <c r="D77" s="1" t="s">
        <v>267</v>
      </c>
      <c r="E77" s="1" t="s">
        <v>19</v>
      </c>
      <c r="F77" s="1" t="s">
        <v>20</v>
      </c>
      <c r="G77" s="1" t="s">
        <v>29</v>
      </c>
      <c r="H77" s="1" t="s">
        <v>30</v>
      </c>
      <c r="I77" s="1" t="s">
        <v>31</v>
      </c>
      <c r="J77" s="1" t="s">
        <v>32</v>
      </c>
      <c r="K77" s="1" t="s">
        <v>47</v>
      </c>
      <c r="L77" s="1" t="s">
        <v>268</v>
      </c>
      <c r="M77">
        <v>3</v>
      </c>
      <c r="N77">
        <v>0</v>
      </c>
      <c r="O77">
        <v>9.8417999999999992</v>
      </c>
      <c r="P77">
        <v>20.94</v>
      </c>
      <c r="Q77">
        <v>11.098200000000002</v>
      </c>
    </row>
    <row r="78" spans="1:17" x14ac:dyDescent="0.25">
      <c r="A78" s="2">
        <v>41896</v>
      </c>
      <c r="B78" s="2">
        <v>41901</v>
      </c>
      <c r="C78" s="1" t="s">
        <v>35</v>
      </c>
      <c r="D78" s="1" t="s">
        <v>269</v>
      </c>
      <c r="E78" s="1" t="s">
        <v>28</v>
      </c>
      <c r="F78" s="1" t="s">
        <v>20</v>
      </c>
      <c r="G78" s="1" t="s">
        <v>136</v>
      </c>
      <c r="H78" s="1" t="s">
        <v>98</v>
      </c>
      <c r="I78" s="1" t="s">
        <v>58</v>
      </c>
      <c r="J78" s="1" t="s">
        <v>32</v>
      </c>
      <c r="K78" s="1" t="s">
        <v>59</v>
      </c>
      <c r="L78" s="1" t="s">
        <v>270</v>
      </c>
      <c r="M78">
        <v>2</v>
      </c>
      <c r="N78">
        <v>0.8</v>
      </c>
      <c r="O78">
        <v>-131.12</v>
      </c>
      <c r="P78">
        <v>52.448</v>
      </c>
      <c r="Q78">
        <v>183.56800000000001</v>
      </c>
    </row>
    <row r="79" spans="1:17" x14ac:dyDescent="0.25">
      <c r="A79" s="2">
        <v>42846</v>
      </c>
      <c r="B79" s="2">
        <v>42850</v>
      </c>
      <c r="C79" s="1" t="s">
        <v>17</v>
      </c>
      <c r="D79" s="1" t="s">
        <v>271</v>
      </c>
      <c r="E79" s="1" t="s">
        <v>19</v>
      </c>
      <c r="F79" s="1" t="s">
        <v>20</v>
      </c>
      <c r="G79" s="1" t="s">
        <v>91</v>
      </c>
      <c r="H79" s="1" t="s">
        <v>57</v>
      </c>
      <c r="I79" s="1" t="s">
        <v>58</v>
      </c>
      <c r="J79" s="1" t="s">
        <v>32</v>
      </c>
      <c r="K79" s="1" t="s">
        <v>59</v>
      </c>
      <c r="L79" s="1" t="s">
        <v>272</v>
      </c>
      <c r="M79">
        <v>4</v>
      </c>
      <c r="N79">
        <v>0.8</v>
      </c>
      <c r="O79">
        <v>-243.16</v>
      </c>
      <c r="P79">
        <v>97.263999999999996</v>
      </c>
      <c r="Q79">
        <v>340.42399999999998</v>
      </c>
    </row>
    <row r="80" spans="1:17" x14ac:dyDescent="0.25">
      <c r="A80" s="2">
        <v>42329</v>
      </c>
      <c r="B80" s="2">
        <v>42331</v>
      </c>
      <c r="C80" s="1" t="s">
        <v>17</v>
      </c>
      <c r="D80" s="1" t="s">
        <v>150</v>
      </c>
      <c r="E80" s="1" t="s">
        <v>19</v>
      </c>
      <c r="F80" s="1" t="s">
        <v>20</v>
      </c>
      <c r="G80" s="1" t="s">
        <v>240</v>
      </c>
      <c r="H80" s="1" t="s">
        <v>214</v>
      </c>
      <c r="I80" s="1" t="s">
        <v>81</v>
      </c>
      <c r="J80" s="1" t="s">
        <v>24</v>
      </c>
      <c r="K80" s="1" t="s">
        <v>82</v>
      </c>
      <c r="L80" s="1" t="s">
        <v>273</v>
      </c>
      <c r="M80">
        <v>7</v>
      </c>
      <c r="N80">
        <v>0.3</v>
      </c>
      <c r="O80">
        <v>-11.337199999999999</v>
      </c>
      <c r="P80">
        <v>396.80200000000002</v>
      </c>
      <c r="Q80">
        <v>408.13920000000002</v>
      </c>
    </row>
    <row r="81" spans="1:17" x14ac:dyDescent="0.25">
      <c r="A81" s="2">
        <v>42353</v>
      </c>
      <c r="B81" s="2">
        <v>42357</v>
      </c>
      <c r="C81" s="1" t="s">
        <v>35</v>
      </c>
      <c r="D81" s="1" t="s">
        <v>274</v>
      </c>
      <c r="E81" s="1" t="s">
        <v>55</v>
      </c>
      <c r="F81" s="1" t="s">
        <v>20</v>
      </c>
      <c r="G81" s="1" t="s">
        <v>126</v>
      </c>
      <c r="H81" s="1" t="s">
        <v>127</v>
      </c>
      <c r="I81" s="1" t="s">
        <v>81</v>
      </c>
      <c r="J81" s="1" t="s">
        <v>32</v>
      </c>
      <c r="K81" s="1" t="s">
        <v>72</v>
      </c>
      <c r="L81" s="1" t="s">
        <v>275</v>
      </c>
      <c r="M81">
        <v>1</v>
      </c>
      <c r="N81">
        <v>0</v>
      </c>
      <c r="O81">
        <v>1.4104000000000001</v>
      </c>
      <c r="P81">
        <v>3.28</v>
      </c>
      <c r="Q81">
        <v>1.8695999999999997</v>
      </c>
    </row>
    <row r="82" spans="1:17" x14ac:dyDescent="0.25">
      <c r="A82" s="2">
        <v>41978</v>
      </c>
      <c r="B82" s="2">
        <v>41982</v>
      </c>
      <c r="C82" s="1" t="s">
        <v>17</v>
      </c>
      <c r="D82" s="1" t="s">
        <v>276</v>
      </c>
      <c r="E82" s="1" t="s">
        <v>28</v>
      </c>
      <c r="F82" s="1" t="s">
        <v>20</v>
      </c>
      <c r="G82" s="1" t="s">
        <v>158</v>
      </c>
      <c r="H82" s="1" t="s">
        <v>98</v>
      </c>
      <c r="I82" s="1" t="s">
        <v>58</v>
      </c>
      <c r="J82" s="1" t="s">
        <v>32</v>
      </c>
      <c r="K82" s="1" t="s">
        <v>64</v>
      </c>
      <c r="L82" s="1" t="s">
        <v>277</v>
      </c>
      <c r="M82">
        <v>2</v>
      </c>
      <c r="N82">
        <v>0.2</v>
      </c>
      <c r="O82">
        <v>1.8612</v>
      </c>
      <c r="P82">
        <v>24.815999999999999</v>
      </c>
      <c r="Q82">
        <v>22.954799999999999</v>
      </c>
    </row>
    <row r="83" spans="1:17" x14ac:dyDescent="0.25">
      <c r="A83" s="2">
        <v>41962</v>
      </c>
      <c r="B83" s="2">
        <v>41967</v>
      </c>
      <c r="C83" s="1" t="s">
        <v>17</v>
      </c>
      <c r="D83" s="1" t="s">
        <v>278</v>
      </c>
      <c r="E83" s="1" t="s">
        <v>55</v>
      </c>
      <c r="F83" s="1" t="s">
        <v>20</v>
      </c>
      <c r="G83" s="1" t="s">
        <v>279</v>
      </c>
      <c r="H83" s="1" t="s">
        <v>280</v>
      </c>
      <c r="I83" s="1" t="s">
        <v>23</v>
      </c>
      <c r="J83" s="1" t="s">
        <v>99</v>
      </c>
      <c r="K83" s="1" t="s">
        <v>100</v>
      </c>
      <c r="L83" s="1" t="s">
        <v>281</v>
      </c>
      <c r="M83">
        <v>4</v>
      </c>
      <c r="N83">
        <v>0</v>
      </c>
      <c r="O83">
        <v>131.02959999999999</v>
      </c>
      <c r="P83">
        <v>503.96</v>
      </c>
      <c r="Q83">
        <v>372.93039999999996</v>
      </c>
    </row>
    <row r="84" spans="1:17" x14ac:dyDescent="0.25">
      <c r="A84" s="2">
        <v>42702</v>
      </c>
      <c r="B84" s="2">
        <v>42706</v>
      </c>
      <c r="C84" s="1" t="s">
        <v>35</v>
      </c>
      <c r="D84" s="1" t="s">
        <v>282</v>
      </c>
      <c r="E84" s="1" t="s">
        <v>19</v>
      </c>
      <c r="F84" s="1" t="s">
        <v>20</v>
      </c>
      <c r="G84" s="1" t="s">
        <v>283</v>
      </c>
      <c r="H84" s="1" t="s">
        <v>284</v>
      </c>
      <c r="I84" s="1" t="s">
        <v>81</v>
      </c>
      <c r="J84" s="1" t="s">
        <v>32</v>
      </c>
      <c r="K84" s="1" t="s">
        <v>52</v>
      </c>
      <c r="L84" s="1" t="s">
        <v>285</v>
      </c>
      <c r="M84">
        <v>2</v>
      </c>
      <c r="N84">
        <v>0</v>
      </c>
      <c r="O84">
        <v>3.4367999999999999</v>
      </c>
      <c r="P84">
        <v>7.16</v>
      </c>
      <c r="Q84">
        <v>3.7232000000000003</v>
      </c>
    </row>
    <row r="85" spans="1:17" x14ac:dyDescent="0.25">
      <c r="A85" s="2">
        <v>41877</v>
      </c>
      <c r="B85" s="2">
        <v>41881</v>
      </c>
      <c r="C85" s="1" t="s">
        <v>35</v>
      </c>
      <c r="D85" s="1" t="s">
        <v>286</v>
      </c>
      <c r="E85" s="1" t="s">
        <v>55</v>
      </c>
      <c r="F85" s="1" t="s">
        <v>20</v>
      </c>
      <c r="G85" s="1" t="s">
        <v>29</v>
      </c>
      <c r="H85" s="1" t="s">
        <v>30</v>
      </c>
      <c r="I85" s="1" t="s">
        <v>31</v>
      </c>
      <c r="J85" s="1" t="s">
        <v>99</v>
      </c>
      <c r="K85" s="1" t="s">
        <v>111</v>
      </c>
      <c r="L85" s="1" t="s">
        <v>287</v>
      </c>
      <c r="M85">
        <v>8</v>
      </c>
      <c r="N85">
        <v>0</v>
      </c>
      <c r="O85">
        <v>22.984000000000002</v>
      </c>
      <c r="P85">
        <v>176.8</v>
      </c>
      <c r="Q85">
        <v>153.816</v>
      </c>
    </row>
    <row r="86" spans="1:17" x14ac:dyDescent="0.25">
      <c r="A86" s="2">
        <v>42289</v>
      </c>
      <c r="B86" s="2">
        <v>42291</v>
      </c>
      <c r="C86" s="1" t="s">
        <v>107</v>
      </c>
      <c r="D86" s="1" t="s">
        <v>288</v>
      </c>
      <c r="E86" s="1" t="s">
        <v>55</v>
      </c>
      <c r="F86" s="1" t="s">
        <v>20</v>
      </c>
      <c r="G86" s="1" t="s">
        <v>126</v>
      </c>
      <c r="H86" s="1" t="s">
        <v>127</v>
      </c>
      <c r="I86" s="1" t="s">
        <v>81</v>
      </c>
      <c r="J86" s="1" t="s">
        <v>24</v>
      </c>
      <c r="K86" s="1" t="s">
        <v>25</v>
      </c>
      <c r="L86" s="1" t="s">
        <v>289</v>
      </c>
      <c r="M86">
        <v>4</v>
      </c>
      <c r="N86">
        <v>0.2</v>
      </c>
      <c r="O86">
        <v>112.392</v>
      </c>
      <c r="P86">
        <v>899.13599999999997</v>
      </c>
      <c r="Q86">
        <v>786.74399999999991</v>
      </c>
    </row>
    <row r="87" spans="1:17" x14ac:dyDescent="0.25">
      <c r="A87" s="2">
        <v>42308</v>
      </c>
      <c r="B87" s="2">
        <v>42314</v>
      </c>
      <c r="C87" s="1" t="s">
        <v>35</v>
      </c>
      <c r="D87" s="1" t="s">
        <v>290</v>
      </c>
      <c r="E87" s="1" t="s">
        <v>28</v>
      </c>
      <c r="F87" s="1" t="s">
        <v>20</v>
      </c>
      <c r="G87" s="1" t="s">
        <v>291</v>
      </c>
      <c r="H87" s="1" t="s">
        <v>30</v>
      </c>
      <c r="I87" s="1" t="s">
        <v>31</v>
      </c>
      <c r="J87" s="1" t="s">
        <v>32</v>
      </c>
      <c r="K87" s="1" t="s">
        <v>94</v>
      </c>
      <c r="L87" s="1" t="s">
        <v>292</v>
      </c>
      <c r="M87">
        <v>7</v>
      </c>
      <c r="N87">
        <v>0</v>
      </c>
      <c r="O87">
        <v>6.7115999999999998</v>
      </c>
      <c r="P87">
        <v>14.28</v>
      </c>
      <c r="Q87">
        <v>7.5683999999999996</v>
      </c>
    </row>
    <row r="88" spans="1:17" x14ac:dyDescent="0.25">
      <c r="A88" s="2">
        <v>41719</v>
      </c>
      <c r="B88" s="2">
        <v>41723</v>
      </c>
      <c r="C88" s="1" t="s">
        <v>35</v>
      </c>
      <c r="D88" s="1" t="s">
        <v>293</v>
      </c>
      <c r="E88" s="1" t="s">
        <v>19</v>
      </c>
      <c r="F88" s="1" t="s">
        <v>20</v>
      </c>
      <c r="G88" s="1" t="s">
        <v>294</v>
      </c>
      <c r="H88" s="1" t="s">
        <v>214</v>
      </c>
      <c r="I88" s="1" t="s">
        <v>81</v>
      </c>
      <c r="J88" s="1" t="s">
        <v>32</v>
      </c>
      <c r="K88" s="1" t="s">
        <v>72</v>
      </c>
      <c r="L88" s="1" t="s">
        <v>295</v>
      </c>
      <c r="M88">
        <v>2</v>
      </c>
      <c r="N88">
        <v>0.2</v>
      </c>
      <c r="O88">
        <v>1.2038</v>
      </c>
      <c r="P88">
        <v>7.4080000000000004</v>
      </c>
      <c r="Q88">
        <v>6.2042000000000002</v>
      </c>
    </row>
    <row r="89" spans="1:17" x14ac:dyDescent="0.25">
      <c r="A89" s="2">
        <v>43045</v>
      </c>
      <c r="B89" s="2">
        <v>43052</v>
      </c>
      <c r="C89" s="1" t="s">
        <v>35</v>
      </c>
      <c r="D89" s="1" t="s">
        <v>296</v>
      </c>
      <c r="E89" s="1" t="s">
        <v>55</v>
      </c>
      <c r="F89" s="1" t="s">
        <v>20</v>
      </c>
      <c r="G89" s="1" t="s">
        <v>297</v>
      </c>
      <c r="H89" s="1" t="s">
        <v>298</v>
      </c>
      <c r="I89" s="1" t="s">
        <v>81</v>
      </c>
      <c r="J89" s="1" t="s">
        <v>32</v>
      </c>
      <c r="K89" s="1" t="s">
        <v>64</v>
      </c>
      <c r="L89" s="1" t="s">
        <v>299</v>
      </c>
      <c r="M89">
        <v>3</v>
      </c>
      <c r="N89">
        <v>0</v>
      </c>
      <c r="O89">
        <v>12.0276</v>
      </c>
      <c r="P89">
        <v>46.26</v>
      </c>
      <c r="Q89">
        <v>34.232399999999998</v>
      </c>
    </row>
    <row r="90" spans="1:17" x14ac:dyDescent="0.25">
      <c r="A90" s="2">
        <v>42922</v>
      </c>
      <c r="B90" s="2">
        <v>42929</v>
      </c>
      <c r="C90" s="1" t="s">
        <v>35</v>
      </c>
      <c r="D90" s="1" t="s">
        <v>300</v>
      </c>
      <c r="E90" s="1" t="s">
        <v>28</v>
      </c>
      <c r="F90" s="1" t="s">
        <v>20</v>
      </c>
      <c r="G90" s="1" t="s">
        <v>79</v>
      </c>
      <c r="H90" s="1" t="s">
        <v>80</v>
      </c>
      <c r="I90" s="1" t="s">
        <v>81</v>
      </c>
      <c r="J90" s="1" t="s">
        <v>32</v>
      </c>
      <c r="K90" s="1" t="s">
        <v>52</v>
      </c>
      <c r="L90" s="1" t="s">
        <v>301</v>
      </c>
      <c r="M90">
        <v>2</v>
      </c>
      <c r="N90">
        <v>0.7</v>
      </c>
      <c r="O90">
        <v>-2.2585999999999999</v>
      </c>
      <c r="P90">
        <v>2.9460000000000002</v>
      </c>
      <c r="Q90">
        <v>5.2046000000000001</v>
      </c>
    </row>
    <row r="91" spans="1:17" x14ac:dyDescent="0.25">
      <c r="A91" s="2">
        <v>42910</v>
      </c>
      <c r="B91" s="2">
        <v>42915</v>
      </c>
      <c r="C91" s="1" t="s">
        <v>35</v>
      </c>
      <c r="D91" s="1" t="s">
        <v>302</v>
      </c>
      <c r="E91" s="1" t="s">
        <v>19</v>
      </c>
      <c r="F91" s="1" t="s">
        <v>20</v>
      </c>
      <c r="G91" s="1" t="s">
        <v>303</v>
      </c>
      <c r="H91" s="1" t="s">
        <v>214</v>
      </c>
      <c r="I91" s="1" t="s">
        <v>81</v>
      </c>
      <c r="J91" s="1" t="s">
        <v>32</v>
      </c>
      <c r="K91" s="1" t="s">
        <v>47</v>
      </c>
      <c r="L91" s="1" t="s">
        <v>304</v>
      </c>
      <c r="M91">
        <v>3</v>
      </c>
      <c r="N91">
        <v>0.2</v>
      </c>
      <c r="O91">
        <v>6.7949999999999999</v>
      </c>
      <c r="P91">
        <v>21.744</v>
      </c>
      <c r="Q91">
        <v>14.949</v>
      </c>
    </row>
    <row r="92" spans="1:17" x14ac:dyDescent="0.25">
      <c r="A92" s="2">
        <v>41854</v>
      </c>
      <c r="B92" s="2">
        <v>41856</v>
      </c>
      <c r="C92" s="1" t="s">
        <v>107</v>
      </c>
      <c r="D92" s="1" t="s">
        <v>305</v>
      </c>
      <c r="E92" s="1" t="s">
        <v>19</v>
      </c>
      <c r="F92" s="1" t="s">
        <v>20</v>
      </c>
      <c r="G92" s="1" t="s">
        <v>306</v>
      </c>
      <c r="H92" s="1" t="s">
        <v>198</v>
      </c>
      <c r="I92" s="1" t="s">
        <v>31</v>
      </c>
      <c r="J92" s="1" t="s">
        <v>24</v>
      </c>
      <c r="K92" s="1" t="s">
        <v>39</v>
      </c>
      <c r="L92" s="1" t="s">
        <v>307</v>
      </c>
      <c r="M92">
        <v>2</v>
      </c>
      <c r="N92">
        <v>0.5</v>
      </c>
      <c r="O92">
        <v>-161.875</v>
      </c>
      <c r="P92">
        <v>218.75</v>
      </c>
      <c r="Q92">
        <v>380.625</v>
      </c>
    </row>
    <row r="93" spans="1:17" x14ac:dyDescent="0.25">
      <c r="A93" s="2">
        <v>43086</v>
      </c>
      <c r="B93" s="2">
        <v>43090</v>
      </c>
      <c r="C93" s="1" t="s">
        <v>17</v>
      </c>
      <c r="D93" s="1" t="s">
        <v>308</v>
      </c>
      <c r="E93" s="1" t="s">
        <v>19</v>
      </c>
      <c r="F93" s="1" t="s">
        <v>20</v>
      </c>
      <c r="G93" s="1" t="s">
        <v>309</v>
      </c>
      <c r="H93" s="1" t="s">
        <v>57</v>
      </c>
      <c r="I93" s="1" t="s">
        <v>58</v>
      </c>
      <c r="J93" s="1" t="s">
        <v>32</v>
      </c>
      <c r="K93" s="1" t="s">
        <v>59</v>
      </c>
      <c r="L93" s="1" t="s">
        <v>310</v>
      </c>
      <c r="M93">
        <v>2</v>
      </c>
      <c r="N93">
        <v>0.8</v>
      </c>
      <c r="O93">
        <v>-178.96680000000001</v>
      </c>
      <c r="P93">
        <v>66.284000000000006</v>
      </c>
      <c r="Q93">
        <v>245.25080000000003</v>
      </c>
    </row>
    <row r="94" spans="1:17" x14ac:dyDescent="0.25">
      <c r="A94" s="2">
        <v>42889</v>
      </c>
      <c r="B94" s="2">
        <v>42893</v>
      </c>
      <c r="C94" s="1" t="s">
        <v>35</v>
      </c>
      <c r="D94" s="1" t="s">
        <v>311</v>
      </c>
      <c r="E94" s="1" t="s">
        <v>28</v>
      </c>
      <c r="F94" s="1" t="s">
        <v>20</v>
      </c>
      <c r="G94" s="1" t="s">
        <v>243</v>
      </c>
      <c r="H94" s="1" t="s">
        <v>152</v>
      </c>
      <c r="I94" s="1" t="s">
        <v>23</v>
      </c>
      <c r="J94" s="1" t="s">
        <v>24</v>
      </c>
      <c r="K94" s="1" t="s">
        <v>42</v>
      </c>
      <c r="L94" s="1" t="s">
        <v>312</v>
      </c>
      <c r="M94">
        <v>7</v>
      </c>
      <c r="N94">
        <v>0.2</v>
      </c>
      <c r="O94">
        <v>9.6712000000000007</v>
      </c>
      <c r="P94">
        <v>35.167999999999999</v>
      </c>
      <c r="Q94">
        <v>25.4968</v>
      </c>
    </row>
    <row r="95" spans="1:17" x14ac:dyDescent="0.25">
      <c r="A95" s="2">
        <v>43078</v>
      </c>
      <c r="B95" s="2">
        <v>43083</v>
      </c>
      <c r="C95" s="1" t="s">
        <v>35</v>
      </c>
      <c r="D95" s="1" t="s">
        <v>313</v>
      </c>
      <c r="E95" s="1" t="s">
        <v>19</v>
      </c>
      <c r="F95" s="1" t="s">
        <v>20</v>
      </c>
      <c r="G95" s="1" t="s">
        <v>314</v>
      </c>
      <c r="H95" s="1" t="s">
        <v>30</v>
      </c>
      <c r="I95" s="1" t="s">
        <v>31</v>
      </c>
      <c r="J95" s="1" t="s">
        <v>99</v>
      </c>
      <c r="K95" s="1" t="s">
        <v>100</v>
      </c>
      <c r="L95" s="1" t="s">
        <v>315</v>
      </c>
      <c r="M95">
        <v>4</v>
      </c>
      <c r="N95">
        <v>0.2</v>
      </c>
      <c r="O95">
        <v>44.476799999999997</v>
      </c>
      <c r="P95">
        <v>444.76799999999997</v>
      </c>
      <c r="Q95">
        <v>400.2912</v>
      </c>
    </row>
    <row r="96" spans="1:17" x14ac:dyDescent="0.25">
      <c r="A96" s="2">
        <v>43070</v>
      </c>
      <c r="B96" s="2">
        <v>43076</v>
      </c>
      <c r="C96" s="1" t="s">
        <v>35</v>
      </c>
      <c r="D96" s="1" t="s">
        <v>316</v>
      </c>
      <c r="E96" s="1" t="s">
        <v>19</v>
      </c>
      <c r="F96" s="1" t="s">
        <v>20</v>
      </c>
      <c r="G96" s="1" t="s">
        <v>317</v>
      </c>
      <c r="H96" s="1" t="s">
        <v>115</v>
      </c>
      <c r="I96" s="1" t="s">
        <v>58</v>
      </c>
      <c r="J96" s="1" t="s">
        <v>32</v>
      </c>
      <c r="K96" s="1" t="s">
        <v>64</v>
      </c>
      <c r="L96" s="1" t="s">
        <v>318</v>
      </c>
      <c r="M96">
        <v>4</v>
      </c>
      <c r="N96">
        <v>0</v>
      </c>
      <c r="O96">
        <v>5.8743999999999996</v>
      </c>
      <c r="P96">
        <v>83.92</v>
      </c>
      <c r="Q96">
        <v>78.045600000000007</v>
      </c>
    </row>
    <row r="97" spans="1:17" x14ac:dyDescent="0.25">
      <c r="A97" s="2">
        <v>42044</v>
      </c>
      <c r="B97" s="2">
        <v>42048</v>
      </c>
      <c r="C97" s="1" t="s">
        <v>17</v>
      </c>
      <c r="D97" s="1" t="s">
        <v>319</v>
      </c>
      <c r="E97" s="1" t="s">
        <v>28</v>
      </c>
      <c r="F97" s="1" t="s">
        <v>20</v>
      </c>
      <c r="G97" s="1" t="s">
        <v>309</v>
      </c>
      <c r="H97" s="1" t="s">
        <v>57</v>
      </c>
      <c r="I97" s="1" t="s">
        <v>58</v>
      </c>
      <c r="J97" s="1" t="s">
        <v>99</v>
      </c>
      <c r="K97" s="1" t="s">
        <v>111</v>
      </c>
      <c r="L97" s="1" t="s">
        <v>320</v>
      </c>
      <c r="M97">
        <v>2</v>
      </c>
      <c r="N97">
        <v>0.2</v>
      </c>
      <c r="O97">
        <v>6.5</v>
      </c>
      <c r="P97">
        <v>20.8</v>
      </c>
      <c r="Q97">
        <v>14.3</v>
      </c>
    </row>
    <row r="98" spans="1:17" x14ac:dyDescent="0.25">
      <c r="A98" s="2">
        <v>42006</v>
      </c>
      <c r="B98" s="2">
        <v>42013</v>
      </c>
      <c r="C98" s="1" t="s">
        <v>35</v>
      </c>
      <c r="D98" s="1" t="s">
        <v>321</v>
      </c>
      <c r="E98" s="1" t="s">
        <v>28</v>
      </c>
      <c r="F98" s="1" t="s">
        <v>20</v>
      </c>
      <c r="G98" s="1" t="s">
        <v>322</v>
      </c>
      <c r="H98" s="1" t="s">
        <v>214</v>
      </c>
      <c r="I98" s="1" t="s">
        <v>81</v>
      </c>
      <c r="J98" s="1" t="s">
        <v>32</v>
      </c>
      <c r="K98" s="1" t="s">
        <v>33</v>
      </c>
      <c r="L98" s="1" t="s">
        <v>323</v>
      </c>
      <c r="M98">
        <v>2</v>
      </c>
      <c r="N98">
        <v>0.2</v>
      </c>
      <c r="O98">
        <v>8.8800000000000008</v>
      </c>
      <c r="P98">
        <v>23.68</v>
      </c>
      <c r="Q98">
        <v>14.799999999999999</v>
      </c>
    </row>
    <row r="99" spans="1:17" x14ac:dyDescent="0.25">
      <c r="A99" s="2">
        <v>42671</v>
      </c>
      <c r="B99" s="2">
        <v>42675</v>
      </c>
      <c r="C99" s="1" t="s">
        <v>35</v>
      </c>
      <c r="D99" s="1" t="s">
        <v>324</v>
      </c>
      <c r="E99" s="1" t="s">
        <v>19</v>
      </c>
      <c r="F99" s="1" t="s">
        <v>20</v>
      </c>
      <c r="G99" s="1" t="s">
        <v>29</v>
      </c>
      <c r="H99" s="1" t="s">
        <v>30</v>
      </c>
      <c r="I99" s="1" t="s">
        <v>31</v>
      </c>
      <c r="J99" s="1" t="s">
        <v>32</v>
      </c>
      <c r="K99" s="1" t="s">
        <v>64</v>
      </c>
      <c r="L99" s="1" t="s">
        <v>325</v>
      </c>
      <c r="M99">
        <v>6</v>
      </c>
      <c r="N99">
        <v>0</v>
      </c>
      <c r="O99">
        <v>26.056799999999999</v>
      </c>
      <c r="P99">
        <v>93.06</v>
      </c>
      <c r="Q99">
        <v>67.003200000000007</v>
      </c>
    </row>
    <row r="100" spans="1:17" x14ac:dyDescent="0.25">
      <c r="A100" s="2">
        <v>42362</v>
      </c>
      <c r="B100" s="2">
        <v>42365</v>
      </c>
      <c r="C100" s="1" t="s">
        <v>107</v>
      </c>
      <c r="D100" s="1" t="s">
        <v>326</v>
      </c>
      <c r="E100" s="1" t="s">
        <v>19</v>
      </c>
      <c r="F100" s="1" t="s">
        <v>20</v>
      </c>
      <c r="G100" s="1" t="s">
        <v>327</v>
      </c>
      <c r="H100" s="1" t="s">
        <v>214</v>
      </c>
      <c r="I100" s="1" t="s">
        <v>81</v>
      </c>
      <c r="J100" s="1" t="s">
        <v>32</v>
      </c>
      <c r="K100" s="1" t="s">
        <v>128</v>
      </c>
      <c r="L100" s="1" t="s">
        <v>328</v>
      </c>
      <c r="M100">
        <v>2</v>
      </c>
      <c r="N100">
        <v>0.2</v>
      </c>
      <c r="O100">
        <v>1.8148</v>
      </c>
      <c r="P100">
        <v>5.5839999999999996</v>
      </c>
      <c r="Q100">
        <v>3.7691999999999997</v>
      </c>
    </row>
    <row r="101" spans="1:17" x14ac:dyDescent="0.25">
      <c r="A101" s="2">
        <v>42225</v>
      </c>
      <c r="B101" s="2">
        <v>42232</v>
      </c>
      <c r="C101" s="1" t="s">
        <v>35</v>
      </c>
      <c r="D101" s="1" t="s">
        <v>329</v>
      </c>
      <c r="E101" s="1" t="s">
        <v>28</v>
      </c>
      <c r="F101" s="1" t="s">
        <v>20</v>
      </c>
      <c r="G101" s="1" t="s">
        <v>330</v>
      </c>
      <c r="H101" s="1" t="s">
        <v>115</v>
      </c>
      <c r="I101" s="1" t="s">
        <v>58</v>
      </c>
      <c r="J101" s="1" t="s">
        <v>32</v>
      </c>
      <c r="K101" s="1" t="s">
        <v>72</v>
      </c>
      <c r="L101" s="1" t="s">
        <v>331</v>
      </c>
      <c r="M101">
        <v>1</v>
      </c>
      <c r="N101">
        <v>0</v>
      </c>
      <c r="O101">
        <v>0.96799999999999997</v>
      </c>
      <c r="P101">
        <v>2.2000000000000002</v>
      </c>
      <c r="Q101">
        <v>1.2320000000000002</v>
      </c>
    </row>
    <row r="102" spans="1:17" x14ac:dyDescent="0.25">
      <c r="A102" s="2">
        <v>42063</v>
      </c>
      <c r="B102" s="2">
        <v>42067</v>
      </c>
      <c r="C102" s="1" t="s">
        <v>35</v>
      </c>
      <c r="D102" s="1" t="s">
        <v>332</v>
      </c>
      <c r="E102" s="1" t="s">
        <v>19</v>
      </c>
      <c r="F102" s="1" t="s">
        <v>20</v>
      </c>
      <c r="G102" s="1" t="s">
        <v>168</v>
      </c>
      <c r="H102" s="1" t="s">
        <v>152</v>
      </c>
      <c r="I102" s="1" t="s">
        <v>23</v>
      </c>
      <c r="J102" s="1" t="s">
        <v>24</v>
      </c>
      <c r="K102" s="1" t="s">
        <v>82</v>
      </c>
      <c r="L102" s="1" t="s">
        <v>333</v>
      </c>
      <c r="M102">
        <v>2</v>
      </c>
      <c r="N102">
        <v>0.2</v>
      </c>
      <c r="O102">
        <v>-28.2744</v>
      </c>
      <c r="P102">
        <v>161.56800000000001</v>
      </c>
      <c r="Q102">
        <v>189.8424</v>
      </c>
    </row>
    <row r="103" spans="1:17" x14ac:dyDescent="0.25">
      <c r="A103" s="2">
        <v>41895</v>
      </c>
      <c r="B103" s="2">
        <v>41899</v>
      </c>
      <c r="C103" s="1" t="s">
        <v>35</v>
      </c>
      <c r="D103" s="1" t="s">
        <v>334</v>
      </c>
      <c r="E103" s="1" t="s">
        <v>28</v>
      </c>
      <c r="F103" s="1" t="s">
        <v>20</v>
      </c>
      <c r="G103" s="1" t="s">
        <v>201</v>
      </c>
      <c r="H103" s="1" t="s">
        <v>46</v>
      </c>
      <c r="I103" s="1" t="s">
        <v>23</v>
      </c>
      <c r="J103" s="1" t="s">
        <v>32</v>
      </c>
      <c r="K103" s="1" t="s">
        <v>52</v>
      </c>
      <c r="L103" s="1" t="s">
        <v>335</v>
      </c>
      <c r="M103">
        <v>7</v>
      </c>
      <c r="N103">
        <v>0.7</v>
      </c>
      <c r="O103">
        <v>-12.432</v>
      </c>
      <c r="P103">
        <v>18.648</v>
      </c>
      <c r="Q103">
        <v>31.08</v>
      </c>
    </row>
    <row r="104" spans="1:17" x14ac:dyDescent="0.25">
      <c r="A104" s="2">
        <v>42832</v>
      </c>
      <c r="B104" s="2">
        <v>42837</v>
      </c>
      <c r="C104" s="1" t="s">
        <v>35</v>
      </c>
      <c r="D104" s="1" t="s">
        <v>166</v>
      </c>
      <c r="E104" s="1" t="s">
        <v>55</v>
      </c>
      <c r="F104" s="1" t="s">
        <v>20</v>
      </c>
      <c r="G104" s="1" t="s">
        <v>336</v>
      </c>
      <c r="H104" s="1" t="s">
        <v>38</v>
      </c>
      <c r="I104" s="1" t="s">
        <v>23</v>
      </c>
      <c r="J104" s="1" t="s">
        <v>24</v>
      </c>
      <c r="K104" s="1" t="s">
        <v>39</v>
      </c>
      <c r="L104" s="1" t="s">
        <v>337</v>
      </c>
      <c r="M104">
        <v>2</v>
      </c>
      <c r="N104">
        <v>0.45</v>
      </c>
      <c r="O104">
        <v>-102.048</v>
      </c>
      <c r="P104">
        <v>233.86</v>
      </c>
      <c r="Q104">
        <v>335.90800000000002</v>
      </c>
    </row>
    <row r="105" spans="1:17" x14ac:dyDescent="0.25">
      <c r="A105" s="2">
        <v>42525</v>
      </c>
      <c r="B105" s="2">
        <v>42530</v>
      </c>
      <c r="C105" s="1" t="s">
        <v>17</v>
      </c>
      <c r="D105" s="1" t="s">
        <v>338</v>
      </c>
      <c r="E105" s="1" t="s">
        <v>19</v>
      </c>
      <c r="F105" s="1" t="s">
        <v>20</v>
      </c>
      <c r="G105" s="1" t="s">
        <v>136</v>
      </c>
      <c r="H105" s="1" t="s">
        <v>98</v>
      </c>
      <c r="I105" s="1" t="s">
        <v>58</v>
      </c>
      <c r="J105" s="1" t="s">
        <v>32</v>
      </c>
      <c r="K105" s="1" t="s">
        <v>47</v>
      </c>
      <c r="L105" s="1" t="s">
        <v>339</v>
      </c>
      <c r="M105">
        <v>5</v>
      </c>
      <c r="N105">
        <v>0.2</v>
      </c>
      <c r="O105">
        <v>9.3960000000000008</v>
      </c>
      <c r="P105">
        <v>25.92</v>
      </c>
      <c r="Q105">
        <v>16.524000000000001</v>
      </c>
    </row>
    <row r="106" spans="1:17" x14ac:dyDescent="0.25">
      <c r="A106" s="2">
        <v>41791</v>
      </c>
      <c r="B106" s="2">
        <v>41796</v>
      </c>
      <c r="C106" s="1" t="s">
        <v>17</v>
      </c>
      <c r="D106" s="1" t="s">
        <v>340</v>
      </c>
      <c r="E106" s="1" t="s">
        <v>55</v>
      </c>
      <c r="F106" s="1" t="s">
        <v>20</v>
      </c>
      <c r="G106" s="1" t="s">
        <v>341</v>
      </c>
      <c r="H106" s="1" t="s">
        <v>110</v>
      </c>
      <c r="I106" s="1" t="s">
        <v>58</v>
      </c>
      <c r="J106" s="1" t="s">
        <v>24</v>
      </c>
      <c r="K106" s="1" t="s">
        <v>82</v>
      </c>
      <c r="L106" s="1" t="s">
        <v>222</v>
      </c>
      <c r="M106">
        <v>7</v>
      </c>
      <c r="N106">
        <v>0</v>
      </c>
      <c r="O106">
        <v>580.5394</v>
      </c>
      <c r="P106">
        <v>2001.86</v>
      </c>
      <c r="Q106">
        <v>1421.3206</v>
      </c>
    </row>
    <row r="107" spans="1:17" x14ac:dyDescent="0.25">
      <c r="A107" s="2">
        <v>42714</v>
      </c>
      <c r="B107" s="2">
        <v>42719</v>
      </c>
      <c r="C107" s="1" t="s">
        <v>17</v>
      </c>
      <c r="D107" s="1" t="s">
        <v>342</v>
      </c>
      <c r="E107" s="1" t="s">
        <v>19</v>
      </c>
      <c r="F107" s="1" t="s">
        <v>20</v>
      </c>
      <c r="G107" s="1" t="s">
        <v>71</v>
      </c>
      <c r="H107" s="1" t="s">
        <v>30</v>
      </c>
      <c r="I107" s="1" t="s">
        <v>31</v>
      </c>
      <c r="J107" s="1" t="s">
        <v>24</v>
      </c>
      <c r="K107" s="1" t="s">
        <v>82</v>
      </c>
      <c r="L107" s="1" t="s">
        <v>343</v>
      </c>
      <c r="M107">
        <v>2</v>
      </c>
      <c r="N107">
        <v>0.2</v>
      </c>
      <c r="O107">
        <v>28.1372</v>
      </c>
      <c r="P107">
        <v>321.56799999999998</v>
      </c>
      <c r="Q107">
        <v>293.43079999999998</v>
      </c>
    </row>
    <row r="108" spans="1:17" x14ac:dyDescent="0.25">
      <c r="A108" s="2">
        <v>42624</v>
      </c>
      <c r="B108" s="2">
        <v>42630</v>
      </c>
      <c r="C108" s="1" t="s">
        <v>35</v>
      </c>
      <c r="D108" s="1" t="s">
        <v>344</v>
      </c>
      <c r="E108" s="1" t="s">
        <v>19</v>
      </c>
      <c r="F108" s="1" t="s">
        <v>20</v>
      </c>
      <c r="G108" s="1" t="s">
        <v>345</v>
      </c>
      <c r="H108" s="1" t="s">
        <v>30</v>
      </c>
      <c r="I108" s="1" t="s">
        <v>31</v>
      </c>
      <c r="J108" s="1" t="s">
        <v>32</v>
      </c>
      <c r="K108" s="1" t="s">
        <v>47</v>
      </c>
      <c r="L108" s="1" t="s">
        <v>346</v>
      </c>
      <c r="M108">
        <v>1</v>
      </c>
      <c r="N108">
        <v>0</v>
      </c>
      <c r="O108">
        <v>3.5767000000000002</v>
      </c>
      <c r="P108">
        <v>7.61</v>
      </c>
      <c r="Q108">
        <v>4.0333000000000006</v>
      </c>
    </row>
    <row r="109" spans="1:17" x14ac:dyDescent="0.25">
      <c r="A109" s="2">
        <v>42336</v>
      </c>
      <c r="B109" s="2">
        <v>42342</v>
      </c>
      <c r="C109" s="1" t="s">
        <v>35</v>
      </c>
      <c r="D109" s="1" t="s">
        <v>347</v>
      </c>
      <c r="E109" s="1" t="s">
        <v>28</v>
      </c>
      <c r="F109" s="1" t="s">
        <v>20</v>
      </c>
      <c r="G109" s="1" t="s">
        <v>136</v>
      </c>
      <c r="H109" s="1" t="s">
        <v>98</v>
      </c>
      <c r="I109" s="1" t="s">
        <v>58</v>
      </c>
      <c r="J109" s="1" t="s">
        <v>24</v>
      </c>
      <c r="K109" s="1" t="s">
        <v>42</v>
      </c>
      <c r="L109" s="1" t="s">
        <v>348</v>
      </c>
      <c r="M109">
        <v>9</v>
      </c>
      <c r="N109">
        <v>0.6</v>
      </c>
      <c r="O109">
        <v>-8.4923999999999999</v>
      </c>
      <c r="P109">
        <v>12.132</v>
      </c>
      <c r="Q109">
        <v>20.624400000000001</v>
      </c>
    </row>
    <row r="110" spans="1:17" x14ac:dyDescent="0.25">
      <c r="A110" s="2">
        <v>43070</v>
      </c>
      <c r="B110" s="2">
        <v>43072</v>
      </c>
      <c r="C110" s="1" t="s">
        <v>17</v>
      </c>
      <c r="D110" s="1" t="s">
        <v>349</v>
      </c>
      <c r="E110" s="1" t="s">
        <v>19</v>
      </c>
      <c r="F110" s="1" t="s">
        <v>20</v>
      </c>
      <c r="G110" s="1" t="s">
        <v>126</v>
      </c>
      <c r="H110" s="1" t="s">
        <v>127</v>
      </c>
      <c r="I110" s="1" t="s">
        <v>81</v>
      </c>
      <c r="J110" s="1" t="s">
        <v>99</v>
      </c>
      <c r="K110" s="1" t="s">
        <v>111</v>
      </c>
      <c r="L110" s="1" t="s">
        <v>350</v>
      </c>
      <c r="M110">
        <v>3</v>
      </c>
      <c r="N110">
        <v>0</v>
      </c>
      <c r="O110">
        <v>6.9257999999999997</v>
      </c>
      <c r="P110">
        <v>20.37</v>
      </c>
      <c r="Q110">
        <v>13.444200000000002</v>
      </c>
    </row>
    <row r="111" spans="1:17" x14ac:dyDescent="0.25">
      <c r="A111" s="2">
        <v>42894</v>
      </c>
      <c r="B111" s="2">
        <v>42898</v>
      </c>
      <c r="C111" s="1" t="s">
        <v>35</v>
      </c>
      <c r="D111" s="1" t="s">
        <v>351</v>
      </c>
      <c r="E111" s="1" t="s">
        <v>28</v>
      </c>
      <c r="F111" s="1" t="s">
        <v>20</v>
      </c>
      <c r="G111" s="1" t="s">
        <v>238</v>
      </c>
      <c r="H111" s="1" t="s">
        <v>57</v>
      </c>
      <c r="I111" s="1" t="s">
        <v>58</v>
      </c>
      <c r="J111" s="1" t="s">
        <v>32</v>
      </c>
      <c r="K111" s="1" t="s">
        <v>59</v>
      </c>
      <c r="L111" s="1" t="s">
        <v>352</v>
      </c>
      <c r="M111">
        <v>2</v>
      </c>
      <c r="N111">
        <v>0.8</v>
      </c>
      <c r="O111">
        <v>-4.4660000000000002</v>
      </c>
      <c r="P111">
        <v>1.6240000000000001</v>
      </c>
      <c r="Q111">
        <v>6.09</v>
      </c>
    </row>
    <row r="112" spans="1:17" x14ac:dyDescent="0.25">
      <c r="A112" s="2">
        <v>41901</v>
      </c>
      <c r="B112" s="2">
        <v>41903</v>
      </c>
      <c r="C112" s="1" t="s">
        <v>17</v>
      </c>
      <c r="D112" s="1" t="s">
        <v>353</v>
      </c>
      <c r="E112" s="1" t="s">
        <v>28</v>
      </c>
      <c r="F112" s="1" t="s">
        <v>20</v>
      </c>
      <c r="G112" s="1" t="s">
        <v>91</v>
      </c>
      <c r="H112" s="1" t="s">
        <v>57</v>
      </c>
      <c r="I112" s="1" t="s">
        <v>58</v>
      </c>
      <c r="J112" s="1" t="s">
        <v>99</v>
      </c>
      <c r="K112" s="1" t="s">
        <v>354</v>
      </c>
      <c r="L112" s="1" t="s">
        <v>355</v>
      </c>
      <c r="M112">
        <v>3</v>
      </c>
      <c r="N112">
        <v>0.4</v>
      </c>
      <c r="O112">
        <v>-509.99700000000001</v>
      </c>
      <c r="P112">
        <v>3059.982</v>
      </c>
      <c r="Q112">
        <v>3569.9789999999998</v>
      </c>
    </row>
    <row r="113" spans="1:17" x14ac:dyDescent="0.25">
      <c r="A113" s="2">
        <v>42527</v>
      </c>
      <c r="B113" s="2">
        <v>42534</v>
      </c>
      <c r="C113" s="1" t="s">
        <v>35</v>
      </c>
      <c r="D113" s="1" t="s">
        <v>356</v>
      </c>
      <c r="E113" s="1" t="s">
        <v>19</v>
      </c>
      <c r="F113" s="1" t="s">
        <v>20</v>
      </c>
      <c r="G113" s="1" t="s">
        <v>136</v>
      </c>
      <c r="H113" s="1" t="s">
        <v>98</v>
      </c>
      <c r="I113" s="1" t="s">
        <v>58</v>
      </c>
      <c r="J113" s="1" t="s">
        <v>99</v>
      </c>
      <c r="K113" s="1" t="s">
        <v>100</v>
      </c>
      <c r="L113" s="1" t="s">
        <v>357</v>
      </c>
      <c r="M113">
        <v>4</v>
      </c>
      <c r="N113">
        <v>0.2</v>
      </c>
      <c r="O113">
        <v>28.7196</v>
      </c>
      <c r="P113">
        <v>328.22399999999999</v>
      </c>
      <c r="Q113">
        <v>299.50439999999998</v>
      </c>
    </row>
    <row r="114" spans="1:17" x14ac:dyDescent="0.25">
      <c r="A114" s="2">
        <v>42318</v>
      </c>
      <c r="B114" s="2">
        <v>42323</v>
      </c>
      <c r="C114" s="1" t="s">
        <v>35</v>
      </c>
      <c r="D114" s="1" t="s">
        <v>358</v>
      </c>
      <c r="E114" s="1" t="s">
        <v>19</v>
      </c>
      <c r="F114" s="1" t="s">
        <v>20</v>
      </c>
      <c r="G114" s="1" t="s">
        <v>359</v>
      </c>
      <c r="H114" s="1" t="s">
        <v>30</v>
      </c>
      <c r="I114" s="1" t="s">
        <v>31</v>
      </c>
      <c r="J114" s="1" t="s">
        <v>99</v>
      </c>
      <c r="K114" s="1" t="s">
        <v>111</v>
      </c>
      <c r="L114" s="1" t="s">
        <v>360</v>
      </c>
      <c r="M114">
        <v>2</v>
      </c>
      <c r="N114">
        <v>0</v>
      </c>
      <c r="O114">
        <v>35.155999999999999</v>
      </c>
      <c r="P114">
        <v>79.900000000000006</v>
      </c>
      <c r="Q114">
        <v>44.744000000000007</v>
      </c>
    </row>
    <row r="115" spans="1:17" x14ac:dyDescent="0.25">
      <c r="A115" s="2">
        <v>42391</v>
      </c>
      <c r="B115" s="2">
        <v>42397</v>
      </c>
      <c r="C115" s="1" t="s">
        <v>35</v>
      </c>
      <c r="D115" s="1" t="s">
        <v>171</v>
      </c>
      <c r="E115" s="1" t="s">
        <v>19</v>
      </c>
      <c r="F115" s="1" t="s">
        <v>20</v>
      </c>
      <c r="G115" s="1" t="s">
        <v>361</v>
      </c>
      <c r="H115" s="1" t="s">
        <v>298</v>
      </c>
      <c r="I115" s="1" t="s">
        <v>81</v>
      </c>
      <c r="J115" s="1" t="s">
        <v>32</v>
      </c>
      <c r="K115" s="1" t="s">
        <v>128</v>
      </c>
      <c r="L115" s="1" t="s">
        <v>362</v>
      </c>
      <c r="M115">
        <v>6</v>
      </c>
      <c r="N115">
        <v>0</v>
      </c>
      <c r="O115">
        <v>0.3024</v>
      </c>
      <c r="P115">
        <v>7.56</v>
      </c>
      <c r="Q115">
        <v>7.2576000000000001</v>
      </c>
    </row>
    <row r="116" spans="1:17" x14ac:dyDescent="0.25">
      <c r="A116" s="2">
        <v>43078</v>
      </c>
      <c r="B116" s="2">
        <v>43082</v>
      </c>
      <c r="C116" s="1" t="s">
        <v>35</v>
      </c>
      <c r="D116" s="1" t="s">
        <v>363</v>
      </c>
      <c r="E116" s="1" t="s">
        <v>28</v>
      </c>
      <c r="F116" s="1" t="s">
        <v>20</v>
      </c>
      <c r="G116" s="1" t="s">
        <v>364</v>
      </c>
      <c r="H116" s="1" t="s">
        <v>214</v>
      </c>
      <c r="I116" s="1" t="s">
        <v>81</v>
      </c>
      <c r="J116" s="1" t="s">
        <v>32</v>
      </c>
      <c r="K116" s="1" t="s">
        <v>64</v>
      </c>
      <c r="L116" s="1" t="s">
        <v>365</v>
      </c>
      <c r="M116">
        <v>1</v>
      </c>
      <c r="N116">
        <v>0.2</v>
      </c>
      <c r="O116">
        <v>-7.4416000000000002</v>
      </c>
      <c r="P116">
        <v>37.207999999999998</v>
      </c>
      <c r="Q116">
        <v>44.6496</v>
      </c>
    </row>
    <row r="117" spans="1:17" x14ac:dyDescent="0.25">
      <c r="A117" s="2">
        <v>43097</v>
      </c>
      <c r="B117" s="2">
        <v>43102</v>
      </c>
      <c r="C117" s="1" t="s">
        <v>17</v>
      </c>
      <c r="D117" s="1" t="s">
        <v>366</v>
      </c>
      <c r="E117" s="1" t="s">
        <v>28</v>
      </c>
      <c r="F117" s="1" t="s">
        <v>20</v>
      </c>
      <c r="G117" s="1" t="s">
        <v>71</v>
      </c>
      <c r="H117" s="1" t="s">
        <v>30</v>
      </c>
      <c r="I117" s="1" t="s">
        <v>31</v>
      </c>
      <c r="J117" s="1" t="s">
        <v>32</v>
      </c>
      <c r="K117" s="1" t="s">
        <v>64</v>
      </c>
      <c r="L117" s="1" t="s">
        <v>367</v>
      </c>
      <c r="M117">
        <v>4</v>
      </c>
      <c r="N117">
        <v>0</v>
      </c>
      <c r="O117">
        <v>210.49359999999999</v>
      </c>
      <c r="P117">
        <v>725.84</v>
      </c>
      <c r="Q117">
        <v>515.34640000000002</v>
      </c>
    </row>
    <row r="118" spans="1:17" x14ac:dyDescent="0.25">
      <c r="A118" s="2">
        <v>42215</v>
      </c>
      <c r="B118" s="2">
        <v>42216</v>
      </c>
      <c r="C118" s="1" t="s">
        <v>107</v>
      </c>
      <c r="D118" s="1" t="s">
        <v>237</v>
      </c>
      <c r="E118" s="1" t="s">
        <v>19</v>
      </c>
      <c r="F118" s="1" t="s">
        <v>20</v>
      </c>
      <c r="G118" s="1" t="s">
        <v>71</v>
      </c>
      <c r="H118" s="1" t="s">
        <v>30</v>
      </c>
      <c r="I118" s="1" t="s">
        <v>31</v>
      </c>
      <c r="J118" s="1" t="s">
        <v>99</v>
      </c>
      <c r="K118" s="1" t="s">
        <v>111</v>
      </c>
      <c r="L118" s="1" t="s">
        <v>368</v>
      </c>
      <c r="M118">
        <v>7</v>
      </c>
      <c r="N118">
        <v>0</v>
      </c>
      <c r="O118">
        <v>92.369200000000006</v>
      </c>
      <c r="P118">
        <v>209.93</v>
      </c>
      <c r="Q118">
        <v>117.5608</v>
      </c>
    </row>
    <row r="119" spans="1:17" x14ac:dyDescent="0.25">
      <c r="A119" s="2">
        <v>43021</v>
      </c>
      <c r="B119" s="2">
        <v>43025</v>
      </c>
      <c r="C119" s="1" t="s">
        <v>35</v>
      </c>
      <c r="D119" s="1" t="s">
        <v>369</v>
      </c>
      <c r="E119" s="1" t="s">
        <v>28</v>
      </c>
      <c r="F119" s="1" t="s">
        <v>20</v>
      </c>
      <c r="G119" s="1" t="s">
        <v>79</v>
      </c>
      <c r="H119" s="1" t="s">
        <v>80</v>
      </c>
      <c r="I119" s="1" t="s">
        <v>81</v>
      </c>
      <c r="J119" s="1" t="s">
        <v>32</v>
      </c>
      <c r="K119" s="1" t="s">
        <v>47</v>
      </c>
      <c r="L119" s="1" t="s">
        <v>370</v>
      </c>
      <c r="M119">
        <v>2</v>
      </c>
      <c r="N119">
        <v>0.2</v>
      </c>
      <c r="O119">
        <v>4.0768000000000004</v>
      </c>
      <c r="P119">
        <v>11.648</v>
      </c>
      <c r="Q119">
        <v>7.5711999999999993</v>
      </c>
    </row>
    <row r="120" spans="1:17" x14ac:dyDescent="0.25">
      <c r="A120" s="2">
        <v>42273</v>
      </c>
      <c r="B120" s="2">
        <v>42275</v>
      </c>
      <c r="C120" s="1" t="s">
        <v>17</v>
      </c>
      <c r="D120" s="1" t="s">
        <v>371</v>
      </c>
      <c r="E120" s="1" t="s">
        <v>19</v>
      </c>
      <c r="F120" s="1" t="s">
        <v>20</v>
      </c>
      <c r="G120" s="1" t="s">
        <v>91</v>
      </c>
      <c r="H120" s="1" t="s">
        <v>57</v>
      </c>
      <c r="I120" s="1" t="s">
        <v>58</v>
      </c>
      <c r="J120" s="1" t="s">
        <v>32</v>
      </c>
      <c r="K120" s="1" t="s">
        <v>52</v>
      </c>
      <c r="L120" s="1" t="s">
        <v>372</v>
      </c>
      <c r="M120">
        <v>5</v>
      </c>
      <c r="N120">
        <v>0.8</v>
      </c>
      <c r="O120">
        <v>-3.4319999999999999</v>
      </c>
      <c r="P120">
        <v>2.08</v>
      </c>
      <c r="Q120">
        <v>5.5120000000000005</v>
      </c>
    </row>
    <row r="121" spans="1:17" x14ac:dyDescent="0.25">
      <c r="A121" s="2">
        <v>42273</v>
      </c>
      <c r="B121" s="2">
        <v>42279</v>
      </c>
      <c r="C121" s="1" t="s">
        <v>35</v>
      </c>
      <c r="D121" s="1" t="s">
        <v>88</v>
      </c>
      <c r="E121" s="1" t="s">
        <v>19</v>
      </c>
      <c r="F121" s="1" t="s">
        <v>20</v>
      </c>
      <c r="G121" s="1" t="s">
        <v>182</v>
      </c>
      <c r="H121" s="1" t="s">
        <v>183</v>
      </c>
      <c r="I121" s="1" t="s">
        <v>31</v>
      </c>
      <c r="J121" s="1" t="s">
        <v>32</v>
      </c>
      <c r="K121" s="1" t="s">
        <v>47</v>
      </c>
      <c r="L121" s="1" t="s">
        <v>92</v>
      </c>
      <c r="M121">
        <v>5</v>
      </c>
      <c r="N121">
        <v>0.2</v>
      </c>
      <c r="O121">
        <v>47.844000000000001</v>
      </c>
      <c r="P121">
        <v>141.76</v>
      </c>
      <c r="Q121">
        <v>93.915999999999997</v>
      </c>
    </row>
    <row r="122" spans="1:17" x14ac:dyDescent="0.25">
      <c r="A122" s="2">
        <v>42722</v>
      </c>
      <c r="B122" s="2">
        <v>42724</v>
      </c>
      <c r="C122" s="1" t="s">
        <v>17</v>
      </c>
      <c r="D122" s="1" t="s">
        <v>373</v>
      </c>
      <c r="E122" s="1" t="s">
        <v>28</v>
      </c>
      <c r="F122" s="1" t="s">
        <v>20</v>
      </c>
      <c r="G122" s="1" t="s">
        <v>374</v>
      </c>
      <c r="H122" s="1" t="s">
        <v>38</v>
      </c>
      <c r="I122" s="1" t="s">
        <v>23</v>
      </c>
      <c r="J122" s="1" t="s">
        <v>32</v>
      </c>
      <c r="K122" s="1" t="s">
        <v>52</v>
      </c>
      <c r="L122" s="1" t="s">
        <v>375</v>
      </c>
      <c r="M122">
        <v>7</v>
      </c>
      <c r="N122">
        <v>0.7</v>
      </c>
      <c r="O122">
        <v>-169.37200000000001</v>
      </c>
      <c r="P122">
        <v>254.05799999999999</v>
      </c>
      <c r="Q122">
        <v>423.43</v>
      </c>
    </row>
    <row r="123" spans="1:17" x14ac:dyDescent="0.25">
      <c r="A123" s="2">
        <v>42671</v>
      </c>
      <c r="B123" s="2">
        <v>42677</v>
      </c>
      <c r="C123" s="1" t="s">
        <v>35</v>
      </c>
      <c r="D123" s="1" t="s">
        <v>231</v>
      </c>
      <c r="E123" s="1" t="s">
        <v>28</v>
      </c>
      <c r="F123" s="1" t="s">
        <v>20</v>
      </c>
      <c r="G123" s="1" t="s">
        <v>376</v>
      </c>
      <c r="H123" s="1" t="s">
        <v>298</v>
      </c>
      <c r="I123" s="1" t="s">
        <v>81</v>
      </c>
      <c r="J123" s="1" t="s">
        <v>32</v>
      </c>
      <c r="K123" s="1" t="s">
        <v>47</v>
      </c>
      <c r="L123" s="1" t="s">
        <v>377</v>
      </c>
      <c r="M123">
        <v>5</v>
      </c>
      <c r="N123">
        <v>0</v>
      </c>
      <c r="O123">
        <v>15.552</v>
      </c>
      <c r="P123">
        <v>32.4</v>
      </c>
      <c r="Q123">
        <v>16.847999999999999</v>
      </c>
    </row>
    <row r="124" spans="1:17" x14ac:dyDescent="0.25">
      <c r="A124" s="2">
        <v>43058</v>
      </c>
      <c r="B124" s="2">
        <v>43062</v>
      </c>
      <c r="C124" s="1" t="s">
        <v>35</v>
      </c>
      <c r="D124" s="1" t="s">
        <v>324</v>
      </c>
      <c r="E124" s="1" t="s">
        <v>19</v>
      </c>
      <c r="F124" s="1" t="s">
        <v>20</v>
      </c>
      <c r="G124" s="1" t="s">
        <v>136</v>
      </c>
      <c r="H124" s="1" t="s">
        <v>98</v>
      </c>
      <c r="I124" s="1" t="s">
        <v>58</v>
      </c>
      <c r="J124" s="1" t="s">
        <v>24</v>
      </c>
      <c r="K124" s="1" t="s">
        <v>39</v>
      </c>
      <c r="L124" s="1" t="s">
        <v>378</v>
      </c>
      <c r="M124">
        <v>3</v>
      </c>
      <c r="N124">
        <v>0.5</v>
      </c>
      <c r="O124">
        <v>-131.44499999999999</v>
      </c>
      <c r="P124">
        <v>219.07499999999999</v>
      </c>
      <c r="Q124">
        <v>350.52</v>
      </c>
    </row>
    <row r="125" spans="1:17" x14ac:dyDescent="0.25">
      <c r="A125" s="2">
        <v>42128</v>
      </c>
      <c r="B125" s="2">
        <v>42133</v>
      </c>
      <c r="C125" s="1" t="s">
        <v>17</v>
      </c>
      <c r="D125" s="1" t="s">
        <v>379</v>
      </c>
      <c r="E125" s="1" t="s">
        <v>28</v>
      </c>
      <c r="F125" s="1" t="s">
        <v>20</v>
      </c>
      <c r="G125" s="1" t="s">
        <v>126</v>
      </c>
      <c r="H125" s="1" t="s">
        <v>127</v>
      </c>
      <c r="I125" s="1" t="s">
        <v>81</v>
      </c>
      <c r="J125" s="1" t="s">
        <v>24</v>
      </c>
      <c r="K125" s="1" t="s">
        <v>42</v>
      </c>
      <c r="L125" s="1" t="s">
        <v>380</v>
      </c>
      <c r="M125">
        <v>2</v>
      </c>
      <c r="N125">
        <v>0</v>
      </c>
      <c r="O125">
        <v>12.864000000000001</v>
      </c>
      <c r="P125">
        <v>26.8</v>
      </c>
      <c r="Q125">
        <v>13.936</v>
      </c>
    </row>
    <row r="126" spans="1:17" x14ac:dyDescent="0.25">
      <c r="A126" s="2">
        <v>42003</v>
      </c>
      <c r="B126" s="2">
        <v>42008</v>
      </c>
      <c r="C126" s="1" t="s">
        <v>35</v>
      </c>
      <c r="D126" s="1" t="s">
        <v>154</v>
      </c>
      <c r="E126" s="1" t="s">
        <v>28</v>
      </c>
      <c r="F126" s="1" t="s">
        <v>20</v>
      </c>
      <c r="G126" s="1" t="s">
        <v>381</v>
      </c>
      <c r="H126" s="1" t="s">
        <v>115</v>
      </c>
      <c r="I126" s="1" t="s">
        <v>58</v>
      </c>
      <c r="J126" s="1" t="s">
        <v>32</v>
      </c>
      <c r="K126" s="1" t="s">
        <v>72</v>
      </c>
      <c r="L126" s="1" t="s">
        <v>382</v>
      </c>
      <c r="M126">
        <v>3</v>
      </c>
      <c r="N126">
        <v>0</v>
      </c>
      <c r="O126">
        <v>2.8536000000000001</v>
      </c>
      <c r="P126">
        <v>9.84</v>
      </c>
      <c r="Q126">
        <v>6.9863999999999997</v>
      </c>
    </row>
    <row r="127" spans="1:17" x14ac:dyDescent="0.25">
      <c r="A127" s="2">
        <v>42840</v>
      </c>
      <c r="B127" s="2">
        <v>42842</v>
      </c>
      <c r="C127" s="1" t="s">
        <v>107</v>
      </c>
      <c r="D127" s="1" t="s">
        <v>383</v>
      </c>
      <c r="E127" s="1" t="s">
        <v>19</v>
      </c>
      <c r="F127" s="1" t="s">
        <v>20</v>
      </c>
      <c r="G127" s="1" t="s">
        <v>384</v>
      </c>
      <c r="H127" s="1" t="s">
        <v>144</v>
      </c>
      <c r="I127" s="1" t="s">
        <v>23</v>
      </c>
      <c r="J127" s="1" t="s">
        <v>32</v>
      </c>
      <c r="K127" s="1" t="s">
        <v>72</v>
      </c>
      <c r="L127" s="1" t="s">
        <v>385</v>
      </c>
      <c r="M127">
        <v>1</v>
      </c>
      <c r="N127">
        <v>0</v>
      </c>
      <c r="O127">
        <v>2.0049000000000001</v>
      </c>
      <c r="P127">
        <v>4.8899999999999997</v>
      </c>
      <c r="Q127">
        <v>2.8850999999999996</v>
      </c>
    </row>
    <row r="128" spans="1:17" x14ac:dyDescent="0.25">
      <c r="A128" s="2">
        <v>42625</v>
      </c>
      <c r="B128" s="2">
        <v>42627</v>
      </c>
      <c r="C128" s="1" t="s">
        <v>17</v>
      </c>
      <c r="D128" s="1" t="s">
        <v>386</v>
      </c>
      <c r="E128" s="1" t="s">
        <v>28</v>
      </c>
      <c r="F128" s="1" t="s">
        <v>20</v>
      </c>
      <c r="G128" s="1" t="s">
        <v>387</v>
      </c>
      <c r="H128" s="1" t="s">
        <v>198</v>
      </c>
      <c r="I128" s="1" t="s">
        <v>31</v>
      </c>
      <c r="J128" s="1" t="s">
        <v>24</v>
      </c>
      <c r="K128" s="1" t="s">
        <v>42</v>
      </c>
      <c r="L128" s="1" t="s">
        <v>388</v>
      </c>
      <c r="M128">
        <v>4</v>
      </c>
      <c r="N128">
        <v>0.2</v>
      </c>
      <c r="O128">
        <v>3.5948000000000002</v>
      </c>
      <c r="P128">
        <v>15.135999999999999</v>
      </c>
      <c r="Q128">
        <v>11.5412</v>
      </c>
    </row>
    <row r="129" spans="1:17" x14ac:dyDescent="0.25">
      <c r="A129" s="2">
        <v>41909</v>
      </c>
      <c r="B129" s="2">
        <v>41915</v>
      </c>
      <c r="C129" s="1" t="s">
        <v>35</v>
      </c>
      <c r="D129" s="1" t="s">
        <v>389</v>
      </c>
      <c r="E129" s="1" t="s">
        <v>28</v>
      </c>
      <c r="F129" s="1" t="s">
        <v>20</v>
      </c>
      <c r="G129" s="1" t="s">
        <v>390</v>
      </c>
      <c r="H129" s="1" t="s">
        <v>298</v>
      </c>
      <c r="I129" s="1" t="s">
        <v>81</v>
      </c>
      <c r="J129" s="1" t="s">
        <v>24</v>
      </c>
      <c r="K129" s="1" t="s">
        <v>42</v>
      </c>
      <c r="L129" s="1" t="s">
        <v>391</v>
      </c>
      <c r="M129">
        <v>3</v>
      </c>
      <c r="N129">
        <v>0</v>
      </c>
      <c r="O129">
        <v>37.642200000000003</v>
      </c>
      <c r="P129">
        <v>87.54</v>
      </c>
      <c r="Q129">
        <v>49.897800000000004</v>
      </c>
    </row>
    <row r="130" spans="1:17" x14ac:dyDescent="0.25">
      <c r="A130" s="2">
        <v>41860</v>
      </c>
      <c r="B130" s="2">
        <v>41867</v>
      </c>
      <c r="C130" s="1" t="s">
        <v>35</v>
      </c>
      <c r="D130" s="1" t="s">
        <v>392</v>
      </c>
      <c r="E130" s="1" t="s">
        <v>28</v>
      </c>
      <c r="F130" s="1" t="s">
        <v>20</v>
      </c>
      <c r="G130" s="1" t="s">
        <v>393</v>
      </c>
      <c r="H130" s="1" t="s">
        <v>38</v>
      </c>
      <c r="I130" s="1" t="s">
        <v>23</v>
      </c>
      <c r="J130" s="1" t="s">
        <v>99</v>
      </c>
      <c r="K130" s="1" t="s">
        <v>100</v>
      </c>
      <c r="L130" s="1" t="s">
        <v>394</v>
      </c>
      <c r="M130">
        <v>2</v>
      </c>
      <c r="N130">
        <v>0.2</v>
      </c>
      <c r="O130">
        <v>22.297999999999998</v>
      </c>
      <c r="P130">
        <v>178.38399999999999</v>
      </c>
      <c r="Q130">
        <v>156.08599999999998</v>
      </c>
    </row>
    <row r="131" spans="1:17" x14ac:dyDescent="0.25">
      <c r="A131" s="2">
        <v>42001</v>
      </c>
      <c r="B131" s="2">
        <v>42003</v>
      </c>
      <c r="C131" s="1" t="s">
        <v>107</v>
      </c>
      <c r="D131" s="1" t="s">
        <v>395</v>
      </c>
      <c r="E131" s="1" t="s">
        <v>28</v>
      </c>
      <c r="F131" s="1" t="s">
        <v>20</v>
      </c>
      <c r="G131" s="1" t="s">
        <v>79</v>
      </c>
      <c r="H131" s="1" t="s">
        <v>80</v>
      </c>
      <c r="I131" s="1" t="s">
        <v>81</v>
      </c>
      <c r="J131" s="1" t="s">
        <v>32</v>
      </c>
      <c r="K131" s="1" t="s">
        <v>72</v>
      </c>
      <c r="L131" s="1" t="s">
        <v>396</v>
      </c>
      <c r="M131">
        <v>4</v>
      </c>
      <c r="N131">
        <v>0.2</v>
      </c>
      <c r="O131">
        <v>8.6744000000000003</v>
      </c>
      <c r="P131">
        <v>99.135999999999996</v>
      </c>
      <c r="Q131">
        <v>90.46159999999999</v>
      </c>
    </row>
    <row r="132" spans="1:17" x14ac:dyDescent="0.25">
      <c r="A132" s="2">
        <v>41947</v>
      </c>
      <c r="B132" s="2">
        <v>41952</v>
      </c>
      <c r="C132" s="1" t="s">
        <v>35</v>
      </c>
      <c r="D132" s="1" t="s">
        <v>397</v>
      </c>
      <c r="E132" s="1" t="s">
        <v>55</v>
      </c>
      <c r="F132" s="1" t="s">
        <v>20</v>
      </c>
      <c r="G132" s="1" t="s">
        <v>126</v>
      </c>
      <c r="H132" s="1" t="s">
        <v>127</v>
      </c>
      <c r="I132" s="1" t="s">
        <v>81</v>
      </c>
      <c r="J132" s="1" t="s">
        <v>24</v>
      </c>
      <c r="K132" s="1" t="s">
        <v>82</v>
      </c>
      <c r="L132" s="1" t="s">
        <v>398</v>
      </c>
      <c r="M132">
        <v>1</v>
      </c>
      <c r="N132">
        <v>0.1</v>
      </c>
      <c r="O132">
        <v>24.1568</v>
      </c>
      <c r="P132">
        <v>135.88200000000001</v>
      </c>
      <c r="Q132">
        <v>111.7252</v>
      </c>
    </row>
    <row r="133" spans="1:17" x14ac:dyDescent="0.25">
      <c r="A133" s="2">
        <v>41901</v>
      </c>
      <c r="B133" s="2">
        <v>41906</v>
      </c>
      <c r="C133" s="1" t="s">
        <v>35</v>
      </c>
      <c r="D133" s="1" t="s">
        <v>399</v>
      </c>
      <c r="E133" s="1" t="s">
        <v>28</v>
      </c>
      <c r="F133" s="1" t="s">
        <v>20</v>
      </c>
      <c r="G133" s="1" t="s">
        <v>400</v>
      </c>
      <c r="H133" s="1" t="s">
        <v>30</v>
      </c>
      <c r="I133" s="1" t="s">
        <v>31</v>
      </c>
      <c r="J133" s="1" t="s">
        <v>32</v>
      </c>
      <c r="K133" s="1" t="s">
        <v>128</v>
      </c>
      <c r="L133" s="1" t="s">
        <v>401</v>
      </c>
      <c r="M133">
        <v>2</v>
      </c>
      <c r="N133">
        <v>0</v>
      </c>
      <c r="O133">
        <v>3.58</v>
      </c>
      <c r="P133">
        <v>7.16</v>
      </c>
      <c r="Q133">
        <v>3.58</v>
      </c>
    </row>
    <row r="134" spans="1:17" x14ac:dyDescent="0.25">
      <c r="A134" s="2">
        <v>42483</v>
      </c>
      <c r="B134" s="2">
        <v>42487</v>
      </c>
      <c r="C134" s="1" t="s">
        <v>35</v>
      </c>
      <c r="D134" s="1" t="s">
        <v>402</v>
      </c>
      <c r="E134" s="1" t="s">
        <v>28</v>
      </c>
      <c r="F134" s="1" t="s">
        <v>20</v>
      </c>
      <c r="G134" s="1" t="s">
        <v>403</v>
      </c>
      <c r="H134" s="1" t="s">
        <v>30</v>
      </c>
      <c r="I134" s="1" t="s">
        <v>31</v>
      </c>
      <c r="J134" s="1" t="s">
        <v>32</v>
      </c>
      <c r="K134" s="1" t="s">
        <v>52</v>
      </c>
      <c r="L134" s="1" t="s">
        <v>404</v>
      </c>
      <c r="M134">
        <v>6</v>
      </c>
      <c r="N134">
        <v>0.2</v>
      </c>
      <c r="O134">
        <v>81.744</v>
      </c>
      <c r="P134">
        <v>251.52</v>
      </c>
      <c r="Q134">
        <v>169.77600000000001</v>
      </c>
    </row>
    <row r="135" spans="1:17" x14ac:dyDescent="0.25">
      <c r="A135" s="2">
        <v>43042</v>
      </c>
      <c r="B135" s="2">
        <v>43044</v>
      </c>
      <c r="C135" s="1" t="s">
        <v>17</v>
      </c>
      <c r="D135" s="1" t="s">
        <v>405</v>
      </c>
      <c r="E135" s="1" t="s">
        <v>28</v>
      </c>
      <c r="F135" s="1" t="s">
        <v>20</v>
      </c>
      <c r="G135" s="1" t="s">
        <v>406</v>
      </c>
      <c r="H135" s="1" t="s">
        <v>152</v>
      </c>
      <c r="I135" s="1" t="s">
        <v>23</v>
      </c>
      <c r="J135" s="1" t="s">
        <v>24</v>
      </c>
      <c r="K135" s="1" t="s">
        <v>42</v>
      </c>
      <c r="L135" s="1" t="s">
        <v>407</v>
      </c>
      <c r="M135">
        <v>1</v>
      </c>
      <c r="N135">
        <v>0.2</v>
      </c>
      <c r="O135">
        <v>0.99950000000000006</v>
      </c>
      <c r="P135">
        <v>15.992000000000001</v>
      </c>
      <c r="Q135">
        <v>14.992500000000001</v>
      </c>
    </row>
    <row r="136" spans="1:17" x14ac:dyDescent="0.25">
      <c r="A136" s="2">
        <v>42612</v>
      </c>
      <c r="B136" s="2">
        <v>42614</v>
      </c>
      <c r="C136" s="1" t="s">
        <v>107</v>
      </c>
      <c r="D136" s="1" t="s">
        <v>408</v>
      </c>
      <c r="E136" s="1" t="s">
        <v>19</v>
      </c>
      <c r="F136" s="1" t="s">
        <v>20</v>
      </c>
      <c r="G136" s="1" t="s">
        <v>79</v>
      </c>
      <c r="H136" s="1" t="s">
        <v>80</v>
      </c>
      <c r="I136" s="1" t="s">
        <v>81</v>
      </c>
      <c r="J136" s="1" t="s">
        <v>99</v>
      </c>
      <c r="K136" s="1" t="s">
        <v>100</v>
      </c>
      <c r="L136" s="1" t="s">
        <v>409</v>
      </c>
      <c r="M136">
        <v>3</v>
      </c>
      <c r="N136">
        <v>0.4</v>
      </c>
      <c r="O136">
        <v>-67.876199999999997</v>
      </c>
      <c r="P136">
        <v>290.89800000000002</v>
      </c>
      <c r="Q136">
        <v>358.77420000000001</v>
      </c>
    </row>
    <row r="137" spans="1:17" x14ac:dyDescent="0.25">
      <c r="A137" s="2">
        <v>42485</v>
      </c>
      <c r="B137" s="2">
        <v>42489</v>
      </c>
      <c r="C137" s="1" t="s">
        <v>17</v>
      </c>
      <c r="D137" s="1" t="s">
        <v>410</v>
      </c>
      <c r="E137" s="1" t="s">
        <v>19</v>
      </c>
      <c r="F137" s="1" t="s">
        <v>20</v>
      </c>
      <c r="G137" s="1" t="s">
        <v>79</v>
      </c>
      <c r="H137" s="1" t="s">
        <v>80</v>
      </c>
      <c r="I137" s="1" t="s">
        <v>81</v>
      </c>
      <c r="J137" s="1" t="s">
        <v>99</v>
      </c>
      <c r="K137" s="1" t="s">
        <v>100</v>
      </c>
      <c r="L137" s="1" t="s">
        <v>411</v>
      </c>
      <c r="M137">
        <v>2</v>
      </c>
      <c r="N137">
        <v>0.4</v>
      </c>
      <c r="O137">
        <v>-20.7</v>
      </c>
      <c r="P137">
        <v>82.8</v>
      </c>
      <c r="Q137">
        <v>103.5</v>
      </c>
    </row>
    <row r="138" spans="1:17" x14ac:dyDescent="0.25">
      <c r="A138" s="2">
        <v>42248</v>
      </c>
      <c r="B138" s="2">
        <v>42251</v>
      </c>
      <c r="C138" s="1" t="s">
        <v>17</v>
      </c>
      <c r="D138" s="1" t="s">
        <v>412</v>
      </c>
      <c r="E138" s="1" t="s">
        <v>19</v>
      </c>
      <c r="F138" s="1" t="s">
        <v>20</v>
      </c>
      <c r="G138" s="1" t="s">
        <v>29</v>
      </c>
      <c r="H138" s="1" t="s">
        <v>30</v>
      </c>
      <c r="I138" s="1" t="s">
        <v>31</v>
      </c>
      <c r="J138" s="1" t="s">
        <v>32</v>
      </c>
      <c r="K138" s="1" t="s">
        <v>52</v>
      </c>
      <c r="L138" s="1" t="s">
        <v>413</v>
      </c>
      <c r="M138">
        <v>1</v>
      </c>
      <c r="N138">
        <v>0.2</v>
      </c>
      <c r="O138">
        <v>1.6037999999999999</v>
      </c>
      <c r="P138">
        <v>4.7519999999999998</v>
      </c>
      <c r="Q138">
        <v>3.1482000000000001</v>
      </c>
    </row>
    <row r="139" spans="1:17" x14ac:dyDescent="0.25">
      <c r="A139" s="2">
        <v>41832</v>
      </c>
      <c r="B139" s="2">
        <v>41837</v>
      </c>
      <c r="C139" s="1" t="s">
        <v>35</v>
      </c>
      <c r="D139" s="1" t="s">
        <v>414</v>
      </c>
      <c r="E139" s="1" t="s">
        <v>28</v>
      </c>
      <c r="F139" s="1" t="s">
        <v>20</v>
      </c>
      <c r="G139" s="1" t="s">
        <v>71</v>
      </c>
      <c r="H139" s="1" t="s">
        <v>30</v>
      </c>
      <c r="I139" s="1" t="s">
        <v>31</v>
      </c>
      <c r="J139" s="1" t="s">
        <v>32</v>
      </c>
      <c r="K139" s="1" t="s">
        <v>52</v>
      </c>
      <c r="L139" s="1" t="s">
        <v>415</v>
      </c>
      <c r="M139">
        <v>2</v>
      </c>
      <c r="N139">
        <v>0.2</v>
      </c>
      <c r="O139">
        <v>2.7955999999999999</v>
      </c>
      <c r="P139">
        <v>7.7119999999999997</v>
      </c>
      <c r="Q139">
        <v>4.9163999999999994</v>
      </c>
    </row>
    <row r="140" spans="1:17" x14ac:dyDescent="0.25">
      <c r="A140" s="2">
        <v>42177</v>
      </c>
      <c r="B140" s="2">
        <v>42181</v>
      </c>
      <c r="C140" s="1" t="s">
        <v>17</v>
      </c>
      <c r="D140" s="1" t="s">
        <v>338</v>
      </c>
      <c r="E140" s="1" t="s">
        <v>19</v>
      </c>
      <c r="F140" s="1" t="s">
        <v>20</v>
      </c>
      <c r="G140" s="1" t="s">
        <v>416</v>
      </c>
      <c r="H140" s="1" t="s">
        <v>68</v>
      </c>
      <c r="I140" s="1" t="s">
        <v>31</v>
      </c>
      <c r="J140" s="1" t="s">
        <v>32</v>
      </c>
      <c r="K140" s="1" t="s">
        <v>128</v>
      </c>
      <c r="L140" s="1" t="s">
        <v>417</v>
      </c>
      <c r="M140">
        <v>4</v>
      </c>
      <c r="N140">
        <v>0</v>
      </c>
      <c r="O140">
        <v>2.3311999999999999</v>
      </c>
      <c r="P140">
        <v>4.96</v>
      </c>
      <c r="Q140">
        <v>2.6288</v>
      </c>
    </row>
    <row r="141" spans="1:17" x14ac:dyDescent="0.25">
      <c r="A141" s="2">
        <v>41742</v>
      </c>
      <c r="B141" s="2">
        <v>41746</v>
      </c>
      <c r="C141" s="1" t="s">
        <v>17</v>
      </c>
      <c r="D141" s="1" t="s">
        <v>231</v>
      </c>
      <c r="E141" s="1" t="s">
        <v>28</v>
      </c>
      <c r="F141" s="1" t="s">
        <v>20</v>
      </c>
      <c r="G141" s="1" t="s">
        <v>79</v>
      </c>
      <c r="H141" s="1" t="s">
        <v>80</v>
      </c>
      <c r="I141" s="1" t="s">
        <v>81</v>
      </c>
      <c r="J141" s="1" t="s">
        <v>32</v>
      </c>
      <c r="K141" s="1" t="s">
        <v>72</v>
      </c>
      <c r="L141" s="1" t="s">
        <v>418</v>
      </c>
      <c r="M141">
        <v>4</v>
      </c>
      <c r="N141">
        <v>0.2</v>
      </c>
      <c r="O141">
        <v>1.1160000000000001</v>
      </c>
      <c r="P141">
        <v>17.856000000000002</v>
      </c>
      <c r="Q141">
        <v>16.740000000000002</v>
      </c>
    </row>
    <row r="142" spans="1:17" x14ac:dyDescent="0.25">
      <c r="A142" s="2">
        <v>42358</v>
      </c>
      <c r="B142" s="2">
        <v>42362</v>
      </c>
      <c r="C142" s="1" t="s">
        <v>35</v>
      </c>
      <c r="D142" s="1" t="s">
        <v>267</v>
      </c>
      <c r="E142" s="1" t="s">
        <v>19</v>
      </c>
      <c r="F142" s="1" t="s">
        <v>20</v>
      </c>
      <c r="G142" s="1" t="s">
        <v>419</v>
      </c>
      <c r="H142" s="1" t="s">
        <v>57</v>
      </c>
      <c r="I142" s="1" t="s">
        <v>58</v>
      </c>
      <c r="J142" s="1" t="s">
        <v>32</v>
      </c>
      <c r="K142" s="1" t="s">
        <v>64</v>
      </c>
      <c r="L142" s="1" t="s">
        <v>69</v>
      </c>
      <c r="M142">
        <v>4</v>
      </c>
      <c r="N142">
        <v>0.2</v>
      </c>
      <c r="O142">
        <v>-2.2200000000000002</v>
      </c>
      <c r="P142">
        <v>88.8</v>
      </c>
      <c r="Q142">
        <v>91.02</v>
      </c>
    </row>
    <row r="143" spans="1:17" x14ac:dyDescent="0.25">
      <c r="A143" s="2">
        <v>42901</v>
      </c>
      <c r="B143" s="2">
        <v>42905</v>
      </c>
      <c r="C143" s="1" t="s">
        <v>35</v>
      </c>
      <c r="D143" s="1" t="s">
        <v>420</v>
      </c>
      <c r="E143" s="1" t="s">
        <v>19</v>
      </c>
      <c r="F143" s="1" t="s">
        <v>20</v>
      </c>
      <c r="G143" s="1" t="s">
        <v>71</v>
      </c>
      <c r="H143" s="1" t="s">
        <v>30</v>
      </c>
      <c r="I143" s="1" t="s">
        <v>31</v>
      </c>
      <c r="J143" s="1" t="s">
        <v>99</v>
      </c>
      <c r="K143" s="1" t="s">
        <v>100</v>
      </c>
      <c r="L143" s="1" t="s">
        <v>227</v>
      </c>
      <c r="M143">
        <v>3</v>
      </c>
      <c r="N143">
        <v>0.2</v>
      </c>
      <c r="O143">
        <v>4.7976000000000001</v>
      </c>
      <c r="P143">
        <v>47.975999999999999</v>
      </c>
      <c r="Q143">
        <v>43.178399999999996</v>
      </c>
    </row>
    <row r="144" spans="1:17" x14ac:dyDescent="0.25">
      <c r="A144" s="2">
        <v>42924</v>
      </c>
      <c r="B144" s="2">
        <v>42928</v>
      </c>
      <c r="C144" s="1" t="s">
        <v>35</v>
      </c>
      <c r="D144" s="1" t="s">
        <v>421</v>
      </c>
      <c r="E144" s="1" t="s">
        <v>19</v>
      </c>
      <c r="F144" s="1" t="s">
        <v>20</v>
      </c>
      <c r="G144" s="1" t="s">
        <v>422</v>
      </c>
      <c r="H144" s="1" t="s">
        <v>423</v>
      </c>
      <c r="I144" s="1" t="s">
        <v>81</v>
      </c>
      <c r="J144" s="1" t="s">
        <v>32</v>
      </c>
      <c r="K144" s="1" t="s">
        <v>72</v>
      </c>
      <c r="L144" s="1" t="s">
        <v>424</v>
      </c>
      <c r="M144">
        <v>3</v>
      </c>
      <c r="N144">
        <v>0</v>
      </c>
      <c r="O144">
        <v>3.0996000000000001</v>
      </c>
      <c r="P144">
        <v>7.56</v>
      </c>
      <c r="Q144">
        <v>4.4603999999999999</v>
      </c>
    </row>
    <row r="145" spans="1:17" x14ac:dyDescent="0.25">
      <c r="A145" s="2">
        <v>42614</v>
      </c>
      <c r="B145" s="2">
        <v>42616</v>
      </c>
      <c r="C145" s="1" t="s">
        <v>107</v>
      </c>
      <c r="D145" s="1" t="s">
        <v>425</v>
      </c>
      <c r="E145" s="1" t="s">
        <v>55</v>
      </c>
      <c r="F145" s="1" t="s">
        <v>20</v>
      </c>
      <c r="G145" s="1" t="s">
        <v>126</v>
      </c>
      <c r="H145" s="1" t="s">
        <v>127</v>
      </c>
      <c r="I145" s="1" t="s">
        <v>81</v>
      </c>
      <c r="J145" s="1" t="s">
        <v>99</v>
      </c>
      <c r="K145" s="1" t="s">
        <v>111</v>
      </c>
      <c r="L145" s="1" t="s">
        <v>350</v>
      </c>
      <c r="M145">
        <v>1</v>
      </c>
      <c r="N145">
        <v>0</v>
      </c>
      <c r="O145">
        <v>2.3086000000000002</v>
      </c>
      <c r="P145">
        <v>6.79</v>
      </c>
      <c r="Q145">
        <v>4.4813999999999998</v>
      </c>
    </row>
    <row r="146" spans="1:17" x14ac:dyDescent="0.25">
      <c r="A146" s="2">
        <v>42468</v>
      </c>
      <c r="B146" s="2">
        <v>42473</v>
      </c>
      <c r="C146" s="1" t="s">
        <v>35</v>
      </c>
      <c r="D146" s="1" t="s">
        <v>426</v>
      </c>
      <c r="E146" s="1" t="s">
        <v>19</v>
      </c>
      <c r="F146" s="1" t="s">
        <v>20</v>
      </c>
      <c r="G146" s="1" t="s">
        <v>126</v>
      </c>
      <c r="H146" s="1" t="s">
        <v>127</v>
      </c>
      <c r="I146" s="1" t="s">
        <v>81</v>
      </c>
      <c r="J146" s="1" t="s">
        <v>24</v>
      </c>
      <c r="K146" s="1" t="s">
        <v>25</v>
      </c>
      <c r="L146" s="1" t="s">
        <v>427</v>
      </c>
      <c r="M146">
        <v>6</v>
      </c>
      <c r="N146">
        <v>0.2</v>
      </c>
      <c r="O146">
        <v>-4.8587999999999996</v>
      </c>
      <c r="P146">
        <v>388.70400000000001</v>
      </c>
      <c r="Q146">
        <v>393.56279999999998</v>
      </c>
    </row>
    <row r="147" spans="1:17" x14ac:dyDescent="0.25">
      <c r="A147" s="2">
        <v>42483</v>
      </c>
      <c r="B147" s="2">
        <v>42488</v>
      </c>
      <c r="C147" s="1" t="s">
        <v>35</v>
      </c>
      <c r="D147" s="1" t="s">
        <v>311</v>
      </c>
      <c r="E147" s="1" t="s">
        <v>28</v>
      </c>
      <c r="F147" s="1" t="s">
        <v>20</v>
      </c>
      <c r="G147" s="1" t="s">
        <v>201</v>
      </c>
      <c r="H147" s="1" t="s">
        <v>46</v>
      </c>
      <c r="I147" s="1" t="s">
        <v>23</v>
      </c>
      <c r="J147" s="1" t="s">
        <v>32</v>
      </c>
      <c r="K147" s="1" t="s">
        <v>47</v>
      </c>
      <c r="L147" s="1" t="s">
        <v>304</v>
      </c>
      <c r="M147">
        <v>5</v>
      </c>
      <c r="N147">
        <v>0.2</v>
      </c>
      <c r="O147">
        <v>11.324999999999999</v>
      </c>
      <c r="P147">
        <v>36.24</v>
      </c>
      <c r="Q147">
        <v>24.915000000000003</v>
      </c>
    </row>
    <row r="148" spans="1:17" x14ac:dyDescent="0.25">
      <c r="A148" s="2">
        <v>42802</v>
      </c>
      <c r="B148" s="2">
        <v>42805</v>
      </c>
      <c r="C148" s="1" t="s">
        <v>107</v>
      </c>
      <c r="D148" s="1" t="s">
        <v>428</v>
      </c>
      <c r="E148" s="1" t="s">
        <v>28</v>
      </c>
      <c r="F148" s="1" t="s">
        <v>20</v>
      </c>
      <c r="G148" s="1" t="s">
        <v>213</v>
      </c>
      <c r="H148" s="1" t="s">
        <v>429</v>
      </c>
      <c r="I148" s="1" t="s">
        <v>23</v>
      </c>
      <c r="J148" s="1" t="s">
        <v>32</v>
      </c>
      <c r="K148" s="1" t="s">
        <v>59</v>
      </c>
      <c r="L148" s="1" t="s">
        <v>430</v>
      </c>
      <c r="M148">
        <v>8</v>
      </c>
      <c r="N148">
        <v>0</v>
      </c>
      <c r="O148">
        <v>168.4384</v>
      </c>
      <c r="P148">
        <v>647.84</v>
      </c>
      <c r="Q148">
        <v>479.40160000000003</v>
      </c>
    </row>
    <row r="149" spans="1:17" x14ac:dyDescent="0.25">
      <c r="A149" s="2">
        <v>43003</v>
      </c>
      <c r="B149" s="2">
        <v>43009</v>
      </c>
      <c r="C149" s="1" t="s">
        <v>35</v>
      </c>
      <c r="D149" s="1" t="s">
        <v>431</v>
      </c>
      <c r="E149" s="1" t="s">
        <v>19</v>
      </c>
      <c r="F149" s="1" t="s">
        <v>20</v>
      </c>
      <c r="G149" s="1" t="s">
        <v>126</v>
      </c>
      <c r="H149" s="1" t="s">
        <v>127</v>
      </c>
      <c r="I149" s="1" t="s">
        <v>81</v>
      </c>
      <c r="J149" s="1" t="s">
        <v>32</v>
      </c>
      <c r="K149" s="1" t="s">
        <v>33</v>
      </c>
      <c r="L149" s="1" t="s">
        <v>432</v>
      </c>
      <c r="M149">
        <v>2</v>
      </c>
      <c r="N149">
        <v>0</v>
      </c>
      <c r="O149">
        <v>9.9359999999999999</v>
      </c>
      <c r="P149">
        <v>20.7</v>
      </c>
      <c r="Q149">
        <v>10.763999999999999</v>
      </c>
    </row>
    <row r="150" spans="1:17" x14ac:dyDescent="0.25">
      <c r="A150" s="2">
        <v>41906</v>
      </c>
      <c r="B150" s="2">
        <v>41911</v>
      </c>
      <c r="C150" s="1" t="s">
        <v>35</v>
      </c>
      <c r="D150" s="1" t="s">
        <v>433</v>
      </c>
      <c r="E150" s="1" t="s">
        <v>19</v>
      </c>
      <c r="F150" s="1" t="s">
        <v>20</v>
      </c>
      <c r="G150" s="1" t="s">
        <v>71</v>
      </c>
      <c r="H150" s="1" t="s">
        <v>30</v>
      </c>
      <c r="I150" s="1" t="s">
        <v>31</v>
      </c>
      <c r="J150" s="1" t="s">
        <v>32</v>
      </c>
      <c r="K150" s="1" t="s">
        <v>64</v>
      </c>
      <c r="L150" s="1" t="s">
        <v>116</v>
      </c>
      <c r="M150">
        <v>4</v>
      </c>
      <c r="N150">
        <v>0</v>
      </c>
      <c r="O150">
        <v>8.4784000000000006</v>
      </c>
      <c r="P150">
        <v>211.96</v>
      </c>
      <c r="Q150">
        <v>203.48160000000001</v>
      </c>
    </row>
    <row r="151" spans="1:17" x14ac:dyDescent="0.25">
      <c r="A151" s="2">
        <v>42664</v>
      </c>
      <c r="B151" s="2">
        <v>42664</v>
      </c>
      <c r="C151" s="1" t="s">
        <v>434</v>
      </c>
      <c r="D151" s="1" t="s">
        <v>435</v>
      </c>
      <c r="E151" s="1" t="s">
        <v>28</v>
      </c>
      <c r="F151" s="1" t="s">
        <v>20</v>
      </c>
      <c r="G151" s="1" t="s">
        <v>436</v>
      </c>
      <c r="H151" s="1" t="s">
        <v>284</v>
      </c>
      <c r="I151" s="1" t="s">
        <v>81</v>
      </c>
      <c r="J151" s="1" t="s">
        <v>32</v>
      </c>
      <c r="K151" s="1" t="s">
        <v>52</v>
      </c>
      <c r="L151" s="1" t="s">
        <v>437</v>
      </c>
      <c r="M151">
        <v>4</v>
      </c>
      <c r="N151">
        <v>0</v>
      </c>
      <c r="O151">
        <v>10.44</v>
      </c>
      <c r="P151">
        <v>23.2</v>
      </c>
      <c r="Q151">
        <v>12.76</v>
      </c>
    </row>
    <row r="152" spans="1:17" x14ac:dyDescent="0.25">
      <c r="A152" s="2">
        <v>42884</v>
      </c>
      <c r="B152" s="2">
        <v>42890</v>
      </c>
      <c r="C152" s="1" t="s">
        <v>35</v>
      </c>
      <c r="D152" s="1" t="s">
        <v>438</v>
      </c>
      <c r="E152" s="1" t="s">
        <v>19</v>
      </c>
      <c r="F152" s="1" t="s">
        <v>20</v>
      </c>
      <c r="G152" s="1" t="s">
        <v>439</v>
      </c>
      <c r="H152" s="1" t="s">
        <v>57</v>
      </c>
      <c r="I152" s="1" t="s">
        <v>58</v>
      </c>
      <c r="J152" s="1" t="s">
        <v>32</v>
      </c>
      <c r="K152" s="1" t="s">
        <v>47</v>
      </c>
      <c r="L152" s="1" t="s">
        <v>440</v>
      </c>
      <c r="M152">
        <v>5</v>
      </c>
      <c r="N152">
        <v>0.2</v>
      </c>
      <c r="O152">
        <v>9.3960000000000008</v>
      </c>
      <c r="P152">
        <v>25.92</v>
      </c>
      <c r="Q152">
        <v>16.524000000000001</v>
      </c>
    </row>
    <row r="153" spans="1:17" x14ac:dyDescent="0.25">
      <c r="A153" s="2">
        <v>41843</v>
      </c>
      <c r="B153" s="2">
        <v>41847</v>
      </c>
      <c r="C153" s="1" t="s">
        <v>35</v>
      </c>
      <c r="D153" s="1" t="s">
        <v>441</v>
      </c>
      <c r="E153" s="1" t="s">
        <v>19</v>
      </c>
      <c r="F153" s="1" t="s">
        <v>20</v>
      </c>
      <c r="G153" s="1" t="s">
        <v>442</v>
      </c>
      <c r="H153" s="1" t="s">
        <v>140</v>
      </c>
      <c r="I153" s="1" t="s">
        <v>31</v>
      </c>
      <c r="J153" s="1" t="s">
        <v>32</v>
      </c>
      <c r="K153" s="1" t="s">
        <v>52</v>
      </c>
      <c r="L153" s="1" t="s">
        <v>443</v>
      </c>
      <c r="M153">
        <v>5</v>
      </c>
      <c r="N153">
        <v>0.7</v>
      </c>
      <c r="O153">
        <v>-5.7119999999999997</v>
      </c>
      <c r="P153">
        <v>8.16</v>
      </c>
      <c r="Q153">
        <v>13.872</v>
      </c>
    </row>
    <row r="154" spans="1:17" x14ac:dyDescent="0.25">
      <c r="A154" s="2">
        <v>42641</v>
      </c>
      <c r="B154" s="2">
        <v>42644</v>
      </c>
      <c r="C154" s="1" t="s">
        <v>107</v>
      </c>
      <c r="D154" s="1" t="s">
        <v>444</v>
      </c>
      <c r="E154" s="1" t="s">
        <v>28</v>
      </c>
      <c r="F154" s="1" t="s">
        <v>20</v>
      </c>
      <c r="G154" s="1" t="s">
        <v>445</v>
      </c>
      <c r="H154" s="1" t="s">
        <v>98</v>
      </c>
      <c r="I154" s="1" t="s">
        <v>58</v>
      </c>
      <c r="J154" s="1" t="s">
        <v>32</v>
      </c>
      <c r="K154" s="1" t="s">
        <v>47</v>
      </c>
      <c r="L154" s="1" t="s">
        <v>446</v>
      </c>
      <c r="M154">
        <v>4</v>
      </c>
      <c r="N154">
        <v>0.2</v>
      </c>
      <c r="O154">
        <v>30.98</v>
      </c>
      <c r="P154">
        <v>99.135999999999996</v>
      </c>
      <c r="Q154">
        <v>68.155999999999992</v>
      </c>
    </row>
    <row r="155" spans="1:17" x14ac:dyDescent="0.25">
      <c r="A155" s="2">
        <v>42974</v>
      </c>
      <c r="B155" s="2">
        <v>42979</v>
      </c>
      <c r="C155" s="1" t="s">
        <v>35</v>
      </c>
      <c r="D155" s="1" t="s">
        <v>447</v>
      </c>
      <c r="E155" s="1" t="s">
        <v>28</v>
      </c>
      <c r="F155" s="1" t="s">
        <v>20</v>
      </c>
      <c r="G155" s="1" t="s">
        <v>243</v>
      </c>
      <c r="H155" s="1" t="s">
        <v>423</v>
      </c>
      <c r="I155" s="1" t="s">
        <v>81</v>
      </c>
      <c r="J155" s="1" t="s">
        <v>24</v>
      </c>
      <c r="K155" s="1" t="s">
        <v>39</v>
      </c>
      <c r="L155" s="1" t="s">
        <v>448</v>
      </c>
      <c r="M155">
        <v>7</v>
      </c>
      <c r="N155">
        <v>0.3</v>
      </c>
      <c r="O155">
        <v>-297.6848</v>
      </c>
      <c r="P155">
        <v>1488.424</v>
      </c>
      <c r="Q155">
        <v>1786.1088</v>
      </c>
    </row>
    <row r="156" spans="1:17" x14ac:dyDescent="0.25">
      <c r="A156" s="2">
        <v>42671</v>
      </c>
      <c r="B156" s="2">
        <v>42672</v>
      </c>
      <c r="C156" s="1" t="s">
        <v>107</v>
      </c>
      <c r="D156" s="1" t="s">
        <v>449</v>
      </c>
      <c r="E156" s="1" t="s">
        <v>28</v>
      </c>
      <c r="F156" s="1" t="s">
        <v>20</v>
      </c>
      <c r="G156" s="1" t="s">
        <v>71</v>
      </c>
      <c r="H156" s="1" t="s">
        <v>30</v>
      </c>
      <c r="I156" s="1" t="s">
        <v>31</v>
      </c>
      <c r="J156" s="1" t="s">
        <v>32</v>
      </c>
      <c r="K156" s="1" t="s">
        <v>47</v>
      </c>
      <c r="L156" s="1" t="s">
        <v>450</v>
      </c>
      <c r="M156">
        <v>7</v>
      </c>
      <c r="N156">
        <v>0</v>
      </c>
      <c r="O156">
        <v>25.48</v>
      </c>
      <c r="P156">
        <v>50.96</v>
      </c>
      <c r="Q156">
        <v>25.48</v>
      </c>
    </row>
    <row r="157" spans="1:17" x14ac:dyDescent="0.25">
      <c r="A157" s="2">
        <v>42181</v>
      </c>
      <c r="B157" s="2">
        <v>42184</v>
      </c>
      <c r="C157" s="1" t="s">
        <v>17</v>
      </c>
      <c r="D157" s="1" t="s">
        <v>451</v>
      </c>
      <c r="E157" s="1" t="s">
        <v>28</v>
      </c>
      <c r="F157" s="1" t="s">
        <v>20</v>
      </c>
      <c r="G157" s="1" t="s">
        <v>381</v>
      </c>
      <c r="H157" s="1" t="s">
        <v>115</v>
      </c>
      <c r="I157" s="1" t="s">
        <v>58</v>
      </c>
      <c r="J157" s="1" t="s">
        <v>99</v>
      </c>
      <c r="K157" s="1" t="s">
        <v>111</v>
      </c>
      <c r="L157" s="1" t="s">
        <v>452</v>
      </c>
      <c r="M157">
        <v>2</v>
      </c>
      <c r="N157">
        <v>0</v>
      </c>
      <c r="O157">
        <v>8.7989999999999995</v>
      </c>
      <c r="P157">
        <v>41.9</v>
      </c>
      <c r="Q157">
        <v>33.100999999999999</v>
      </c>
    </row>
    <row r="158" spans="1:17" x14ac:dyDescent="0.25">
      <c r="A158" s="2">
        <v>42335</v>
      </c>
      <c r="B158" s="2">
        <v>42340</v>
      </c>
      <c r="C158" s="1" t="s">
        <v>35</v>
      </c>
      <c r="D158" s="1" t="s">
        <v>453</v>
      </c>
      <c r="E158" s="1" t="s">
        <v>19</v>
      </c>
      <c r="F158" s="1" t="s">
        <v>20</v>
      </c>
      <c r="G158" s="1" t="s">
        <v>454</v>
      </c>
      <c r="H158" s="1" t="s">
        <v>38</v>
      </c>
      <c r="I158" s="1" t="s">
        <v>23</v>
      </c>
      <c r="J158" s="1" t="s">
        <v>24</v>
      </c>
      <c r="K158" s="1" t="s">
        <v>39</v>
      </c>
      <c r="L158" s="1" t="s">
        <v>455</v>
      </c>
      <c r="M158">
        <v>3</v>
      </c>
      <c r="N158">
        <v>0.45</v>
      </c>
      <c r="O158">
        <v>-157.0095</v>
      </c>
      <c r="P158">
        <v>375.45749999999998</v>
      </c>
      <c r="Q158">
        <v>532.46699999999998</v>
      </c>
    </row>
    <row r="159" spans="1:17" x14ac:dyDescent="0.25">
      <c r="A159" s="2">
        <v>42341</v>
      </c>
      <c r="B159" s="2">
        <v>42345</v>
      </c>
      <c r="C159" s="1" t="s">
        <v>35</v>
      </c>
      <c r="D159" s="1" t="s">
        <v>456</v>
      </c>
      <c r="E159" s="1" t="s">
        <v>28</v>
      </c>
      <c r="F159" s="1" t="s">
        <v>20</v>
      </c>
      <c r="G159" s="1" t="s">
        <v>79</v>
      </c>
      <c r="H159" s="1" t="s">
        <v>80</v>
      </c>
      <c r="I159" s="1" t="s">
        <v>81</v>
      </c>
      <c r="J159" s="1" t="s">
        <v>99</v>
      </c>
      <c r="K159" s="1" t="s">
        <v>354</v>
      </c>
      <c r="L159" s="1" t="s">
        <v>457</v>
      </c>
      <c r="M159">
        <v>4</v>
      </c>
      <c r="N159">
        <v>0.7</v>
      </c>
      <c r="O159">
        <v>-337.63799999999998</v>
      </c>
      <c r="P159">
        <v>482.34</v>
      </c>
      <c r="Q159">
        <v>819.97799999999995</v>
      </c>
    </row>
    <row r="160" spans="1:17" x14ac:dyDescent="0.25">
      <c r="A160" s="2">
        <v>41967</v>
      </c>
      <c r="B160" s="2">
        <v>41969</v>
      </c>
      <c r="C160" s="1" t="s">
        <v>107</v>
      </c>
      <c r="D160" s="1" t="s">
        <v>458</v>
      </c>
      <c r="E160" s="1" t="s">
        <v>19</v>
      </c>
      <c r="F160" s="1" t="s">
        <v>20</v>
      </c>
      <c r="G160" s="1" t="s">
        <v>364</v>
      </c>
      <c r="H160" s="1" t="s">
        <v>214</v>
      </c>
      <c r="I160" s="1" t="s">
        <v>81</v>
      </c>
      <c r="J160" s="1" t="s">
        <v>32</v>
      </c>
      <c r="K160" s="1" t="s">
        <v>72</v>
      </c>
      <c r="L160" s="1" t="s">
        <v>459</v>
      </c>
      <c r="M160">
        <v>1</v>
      </c>
      <c r="N160">
        <v>0.2</v>
      </c>
      <c r="O160">
        <v>0.4264</v>
      </c>
      <c r="P160">
        <v>2.6240000000000001</v>
      </c>
      <c r="Q160">
        <v>2.1976</v>
      </c>
    </row>
    <row r="161" spans="1:17" x14ac:dyDescent="0.25">
      <c r="A161" s="2">
        <v>43080</v>
      </c>
      <c r="B161" s="2">
        <v>43084</v>
      </c>
      <c r="C161" s="1" t="s">
        <v>35</v>
      </c>
      <c r="D161" s="1" t="s">
        <v>460</v>
      </c>
      <c r="E161" s="1" t="s">
        <v>19</v>
      </c>
      <c r="F161" s="1" t="s">
        <v>20</v>
      </c>
      <c r="G161" s="1" t="s">
        <v>126</v>
      </c>
      <c r="H161" s="1" t="s">
        <v>127</v>
      </c>
      <c r="I161" s="1" t="s">
        <v>81</v>
      </c>
      <c r="J161" s="1" t="s">
        <v>32</v>
      </c>
      <c r="K161" s="1" t="s">
        <v>52</v>
      </c>
      <c r="L161" s="1" t="s">
        <v>461</v>
      </c>
      <c r="M161">
        <v>4</v>
      </c>
      <c r="N161">
        <v>0.2</v>
      </c>
      <c r="O161">
        <v>7.8840000000000003</v>
      </c>
      <c r="P161">
        <v>23.36</v>
      </c>
      <c r="Q161">
        <v>15.475999999999999</v>
      </c>
    </row>
    <row r="162" spans="1:17" x14ac:dyDescent="0.25">
      <c r="A162" s="2">
        <v>41903</v>
      </c>
      <c r="B162" s="2">
        <v>41905</v>
      </c>
      <c r="C162" s="1" t="s">
        <v>17</v>
      </c>
      <c r="D162" s="1" t="s">
        <v>462</v>
      </c>
      <c r="E162" s="1" t="s">
        <v>19</v>
      </c>
      <c r="F162" s="1" t="s">
        <v>20</v>
      </c>
      <c r="G162" s="1" t="s">
        <v>463</v>
      </c>
      <c r="H162" s="1" t="s">
        <v>51</v>
      </c>
      <c r="I162" s="1" t="s">
        <v>31</v>
      </c>
      <c r="J162" s="1" t="s">
        <v>99</v>
      </c>
      <c r="K162" s="1" t="s">
        <v>100</v>
      </c>
      <c r="L162" s="1" t="s">
        <v>464</v>
      </c>
      <c r="M162">
        <v>2</v>
      </c>
      <c r="N162">
        <v>0.2</v>
      </c>
      <c r="O162">
        <v>27.7182</v>
      </c>
      <c r="P162">
        <v>246.38399999999999</v>
      </c>
      <c r="Q162">
        <v>218.66579999999999</v>
      </c>
    </row>
    <row r="163" spans="1:17" x14ac:dyDescent="0.25">
      <c r="A163" s="2">
        <v>41797</v>
      </c>
      <c r="B163" s="2">
        <v>41800</v>
      </c>
      <c r="C163" s="1" t="s">
        <v>17</v>
      </c>
      <c r="D163" s="1" t="s">
        <v>465</v>
      </c>
      <c r="E163" s="1" t="s">
        <v>28</v>
      </c>
      <c r="F163" s="1" t="s">
        <v>20</v>
      </c>
      <c r="G163" s="1" t="s">
        <v>466</v>
      </c>
      <c r="H163" s="1" t="s">
        <v>98</v>
      </c>
      <c r="I163" s="1" t="s">
        <v>58</v>
      </c>
      <c r="J163" s="1" t="s">
        <v>32</v>
      </c>
      <c r="K163" s="1" t="s">
        <v>52</v>
      </c>
      <c r="L163" s="1" t="s">
        <v>467</v>
      </c>
      <c r="M163">
        <v>3</v>
      </c>
      <c r="N163">
        <v>0.8</v>
      </c>
      <c r="O163">
        <v>-20.5623</v>
      </c>
      <c r="P163">
        <v>12.462</v>
      </c>
      <c r="Q163">
        <v>33.024299999999997</v>
      </c>
    </row>
    <row r="164" spans="1:17" x14ac:dyDescent="0.25">
      <c r="A164" s="2">
        <v>42916</v>
      </c>
      <c r="B164" s="2">
        <v>42921</v>
      </c>
      <c r="C164" s="1" t="s">
        <v>35</v>
      </c>
      <c r="D164" s="1" t="s">
        <v>468</v>
      </c>
      <c r="E164" s="1" t="s">
        <v>55</v>
      </c>
      <c r="F164" s="1" t="s">
        <v>20</v>
      </c>
      <c r="G164" s="1" t="s">
        <v>469</v>
      </c>
      <c r="H164" s="1" t="s">
        <v>470</v>
      </c>
      <c r="I164" s="1" t="s">
        <v>31</v>
      </c>
      <c r="J164" s="1" t="s">
        <v>32</v>
      </c>
      <c r="K164" s="1" t="s">
        <v>52</v>
      </c>
      <c r="L164" s="1" t="s">
        <v>471</v>
      </c>
      <c r="M164">
        <v>3</v>
      </c>
      <c r="N164">
        <v>0.2</v>
      </c>
      <c r="O164">
        <v>25.579799999999999</v>
      </c>
      <c r="P164">
        <v>75.792000000000002</v>
      </c>
      <c r="Q164">
        <v>50.212200000000003</v>
      </c>
    </row>
    <row r="165" spans="1:17" x14ac:dyDescent="0.25">
      <c r="A165" s="2">
        <v>43025</v>
      </c>
      <c r="B165" s="2">
        <v>43027</v>
      </c>
      <c r="C165" s="1" t="s">
        <v>17</v>
      </c>
      <c r="D165" s="1" t="s">
        <v>472</v>
      </c>
      <c r="E165" s="1" t="s">
        <v>28</v>
      </c>
      <c r="F165" s="1" t="s">
        <v>20</v>
      </c>
      <c r="G165" s="1" t="s">
        <v>473</v>
      </c>
      <c r="H165" s="1" t="s">
        <v>474</v>
      </c>
      <c r="I165" s="1" t="s">
        <v>81</v>
      </c>
      <c r="J165" s="1" t="s">
        <v>32</v>
      </c>
      <c r="K165" s="1" t="s">
        <v>64</v>
      </c>
      <c r="L165" s="1" t="s">
        <v>475</v>
      </c>
      <c r="M165">
        <v>2</v>
      </c>
      <c r="N165">
        <v>0</v>
      </c>
      <c r="O165">
        <v>9.4923999999999999</v>
      </c>
      <c r="P165">
        <v>49.96</v>
      </c>
      <c r="Q165">
        <v>40.467600000000004</v>
      </c>
    </row>
    <row r="166" spans="1:17" x14ac:dyDescent="0.25">
      <c r="A166" s="2">
        <v>42308</v>
      </c>
      <c r="B166" s="2">
        <v>42312</v>
      </c>
      <c r="C166" s="1" t="s">
        <v>35</v>
      </c>
      <c r="D166" s="1" t="s">
        <v>54</v>
      </c>
      <c r="E166" s="1" t="s">
        <v>55</v>
      </c>
      <c r="F166" s="1" t="s">
        <v>20</v>
      </c>
      <c r="G166" s="1" t="s">
        <v>148</v>
      </c>
      <c r="H166" s="1" t="s">
        <v>115</v>
      </c>
      <c r="I166" s="1" t="s">
        <v>58</v>
      </c>
      <c r="J166" s="1" t="s">
        <v>32</v>
      </c>
      <c r="K166" s="1" t="s">
        <v>476</v>
      </c>
      <c r="L166" s="1" t="s">
        <v>477</v>
      </c>
      <c r="M166">
        <v>4</v>
      </c>
      <c r="N166">
        <v>0</v>
      </c>
      <c r="O166">
        <v>21.036000000000001</v>
      </c>
      <c r="P166">
        <v>70.12</v>
      </c>
      <c r="Q166">
        <v>49.084000000000003</v>
      </c>
    </row>
    <row r="167" spans="1:17" x14ac:dyDescent="0.25">
      <c r="A167" s="2">
        <v>42621</v>
      </c>
      <c r="B167" s="2">
        <v>42623</v>
      </c>
      <c r="C167" s="1" t="s">
        <v>17</v>
      </c>
      <c r="D167" s="1" t="s">
        <v>478</v>
      </c>
      <c r="E167" s="1" t="s">
        <v>19</v>
      </c>
      <c r="F167" s="1" t="s">
        <v>20</v>
      </c>
      <c r="G167" s="1" t="s">
        <v>91</v>
      </c>
      <c r="H167" s="1" t="s">
        <v>57</v>
      </c>
      <c r="I167" s="1" t="s">
        <v>58</v>
      </c>
      <c r="J167" s="1" t="s">
        <v>32</v>
      </c>
      <c r="K167" s="1" t="s">
        <v>64</v>
      </c>
      <c r="L167" s="1" t="s">
        <v>479</v>
      </c>
      <c r="M167">
        <v>3</v>
      </c>
      <c r="N167">
        <v>0.2</v>
      </c>
      <c r="O167">
        <v>3.5952000000000002</v>
      </c>
      <c r="P167">
        <v>35.951999999999998</v>
      </c>
      <c r="Q167">
        <v>32.3568</v>
      </c>
    </row>
    <row r="168" spans="1:17" x14ac:dyDescent="0.25">
      <c r="A168" s="2">
        <v>41997</v>
      </c>
      <c r="B168" s="2">
        <v>41999</v>
      </c>
      <c r="C168" s="1" t="s">
        <v>107</v>
      </c>
      <c r="D168" s="1" t="s">
        <v>480</v>
      </c>
      <c r="E168" s="1" t="s">
        <v>19</v>
      </c>
      <c r="F168" s="1" t="s">
        <v>20</v>
      </c>
      <c r="G168" s="1" t="s">
        <v>481</v>
      </c>
      <c r="H168" s="1" t="s">
        <v>38</v>
      </c>
      <c r="I168" s="1" t="s">
        <v>23</v>
      </c>
      <c r="J168" s="1" t="s">
        <v>32</v>
      </c>
      <c r="K168" s="1" t="s">
        <v>47</v>
      </c>
      <c r="L168" s="1" t="s">
        <v>482</v>
      </c>
      <c r="M168">
        <v>2</v>
      </c>
      <c r="N168">
        <v>0.2</v>
      </c>
      <c r="O168">
        <v>3.4683999999999999</v>
      </c>
      <c r="P168">
        <v>9.5679999999999996</v>
      </c>
      <c r="Q168">
        <v>6.0995999999999997</v>
      </c>
    </row>
    <row r="169" spans="1:17" x14ac:dyDescent="0.25">
      <c r="A169" s="2">
        <v>41745</v>
      </c>
      <c r="B169" s="2">
        <v>41749</v>
      </c>
      <c r="C169" s="1" t="s">
        <v>35</v>
      </c>
      <c r="D169" s="1" t="s">
        <v>248</v>
      </c>
      <c r="E169" s="1" t="s">
        <v>28</v>
      </c>
      <c r="F169" s="1" t="s">
        <v>20</v>
      </c>
      <c r="G169" s="1" t="s">
        <v>483</v>
      </c>
      <c r="H169" s="1" t="s">
        <v>46</v>
      </c>
      <c r="I169" s="1" t="s">
        <v>23</v>
      </c>
      <c r="J169" s="1" t="s">
        <v>32</v>
      </c>
      <c r="K169" s="1" t="s">
        <v>72</v>
      </c>
      <c r="L169" s="1" t="s">
        <v>484</v>
      </c>
      <c r="M169">
        <v>6</v>
      </c>
      <c r="N169">
        <v>0.2</v>
      </c>
      <c r="O169">
        <v>9.7680000000000007</v>
      </c>
      <c r="P169">
        <v>39.072000000000003</v>
      </c>
      <c r="Q169">
        <v>29.304000000000002</v>
      </c>
    </row>
    <row r="170" spans="1:17" x14ac:dyDescent="0.25">
      <c r="A170" s="2">
        <v>43093</v>
      </c>
      <c r="B170" s="2">
        <v>43098</v>
      </c>
      <c r="C170" s="1" t="s">
        <v>35</v>
      </c>
      <c r="D170" s="1" t="s">
        <v>485</v>
      </c>
      <c r="E170" s="1" t="s">
        <v>19</v>
      </c>
      <c r="F170" s="1" t="s">
        <v>20</v>
      </c>
      <c r="G170" s="1" t="s">
        <v>126</v>
      </c>
      <c r="H170" s="1" t="s">
        <v>127</v>
      </c>
      <c r="I170" s="1" t="s">
        <v>81</v>
      </c>
      <c r="J170" s="1" t="s">
        <v>32</v>
      </c>
      <c r="K170" s="1" t="s">
        <v>59</v>
      </c>
      <c r="L170" s="1" t="s">
        <v>486</v>
      </c>
      <c r="M170">
        <v>3</v>
      </c>
      <c r="N170">
        <v>0</v>
      </c>
      <c r="O170">
        <v>9.6957000000000004</v>
      </c>
      <c r="P170">
        <v>35.909999999999997</v>
      </c>
      <c r="Q170">
        <v>26.214299999999994</v>
      </c>
    </row>
    <row r="171" spans="1:17" x14ac:dyDescent="0.25">
      <c r="A171" s="2">
        <v>43077</v>
      </c>
      <c r="B171" s="2">
        <v>43081</v>
      </c>
      <c r="C171" s="1" t="s">
        <v>35</v>
      </c>
      <c r="D171" s="1" t="s">
        <v>487</v>
      </c>
      <c r="E171" s="1" t="s">
        <v>19</v>
      </c>
      <c r="F171" s="1" t="s">
        <v>20</v>
      </c>
      <c r="G171" s="1" t="s">
        <v>71</v>
      </c>
      <c r="H171" s="1" t="s">
        <v>30</v>
      </c>
      <c r="I171" s="1" t="s">
        <v>31</v>
      </c>
      <c r="J171" s="1" t="s">
        <v>99</v>
      </c>
      <c r="K171" s="1" t="s">
        <v>111</v>
      </c>
      <c r="L171" s="1" t="s">
        <v>488</v>
      </c>
      <c r="M171">
        <v>5</v>
      </c>
      <c r="N171">
        <v>0</v>
      </c>
      <c r="O171">
        <v>37.789499999999997</v>
      </c>
      <c r="P171">
        <v>179.95</v>
      </c>
      <c r="Q171">
        <v>142.16049999999998</v>
      </c>
    </row>
    <row r="172" spans="1:17" x14ac:dyDescent="0.25">
      <c r="A172" s="2">
        <v>43042</v>
      </c>
      <c r="B172" s="2">
        <v>43046</v>
      </c>
      <c r="C172" s="1" t="s">
        <v>35</v>
      </c>
      <c r="D172" s="1" t="s">
        <v>489</v>
      </c>
      <c r="E172" s="1" t="s">
        <v>28</v>
      </c>
      <c r="F172" s="1" t="s">
        <v>20</v>
      </c>
      <c r="G172" s="1" t="s">
        <v>50</v>
      </c>
      <c r="H172" s="1" t="s">
        <v>51</v>
      </c>
      <c r="I172" s="1" t="s">
        <v>31</v>
      </c>
      <c r="J172" s="1" t="s">
        <v>32</v>
      </c>
      <c r="K172" s="1" t="s">
        <v>47</v>
      </c>
      <c r="L172" s="1" t="s">
        <v>490</v>
      </c>
      <c r="M172">
        <v>7</v>
      </c>
      <c r="N172">
        <v>0</v>
      </c>
      <c r="O172">
        <v>65.734200000000001</v>
      </c>
      <c r="P172">
        <v>139.86000000000001</v>
      </c>
      <c r="Q172">
        <v>74.125800000000012</v>
      </c>
    </row>
    <row r="173" spans="1:17" x14ac:dyDescent="0.25">
      <c r="A173" s="2">
        <v>42910</v>
      </c>
      <c r="B173" s="2">
        <v>42914</v>
      </c>
      <c r="C173" s="1" t="s">
        <v>35</v>
      </c>
      <c r="D173" s="1" t="s">
        <v>491</v>
      </c>
      <c r="E173" s="1" t="s">
        <v>19</v>
      </c>
      <c r="F173" s="1" t="s">
        <v>20</v>
      </c>
      <c r="G173" s="1" t="s">
        <v>492</v>
      </c>
      <c r="H173" s="1" t="s">
        <v>30</v>
      </c>
      <c r="I173" s="1" t="s">
        <v>31</v>
      </c>
      <c r="J173" s="1" t="s">
        <v>32</v>
      </c>
      <c r="K173" s="1" t="s">
        <v>72</v>
      </c>
      <c r="L173" s="1" t="s">
        <v>493</v>
      </c>
      <c r="M173">
        <v>8</v>
      </c>
      <c r="N173">
        <v>0</v>
      </c>
      <c r="O173">
        <v>25.898399999999999</v>
      </c>
      <c r="P173">
        <v>95.92</v>
      </c>
      <c r="Q173">
        <v>70.021600000000007</v>
      </c>
    </row>
    <row r="174" spans="1:17" x14ac:dyDescent="0.25">
      <c r="A174" s="2">
        <v>42474</v>
      </c>
      <c r="B174" s="2">
        <v>42478</v>
      </c>
      <c r="C174" s="1" t="s">
        <v>35</v>
      </c>
      <c r="D174" s="1" t="s">
        <v>494</v>
      </c>
      <c r="E174" s="1" t="s">
        <v>19</v>
      </c>
      <c r="F174" s="1" t="s">
        <v>20</v>
      </c>
      <c r="G174" s="1" t="s">
        <v>29</v>
      </c>
      <c r="H174" s="1" t="s">
        <v>30</v>
      </c>
      <c r="I174" s="1" t="s">
        <v>31</v>
      </c>
      <c r="J174" s="1" t="s">
        <v>24</v>
      </c>
      <c r="K174" s="1" t="s">
        <v>82</v>
      </c>
      <c r="L174" s="1" t="s">
        <v>495</v>
      </c>
      <c r="M174">
        <v>5</v>
      </c>
      <c r="N174">
        <v>0.2</v>
      </c>
      <c r="O174">
        <v>38.380000000000003</v>
      </c>
      <c r="P174">
        <v>383.8</v>
      </c>
      <c r="Q174">
        <v>345.42</v>
      </c>
    </row>
    <row r="175" spans="1:17" x14ac:dyDescent="0.25">
      <c r="A175" s="2">
        <v>43045</v>
      </c>
      <c r="B175" s="2">
        <v>43049</v>
      </c>
      <c r="C175" s="1" t="s">
        <v>35</v>
      </c>
      <c r="D175" s="1" t="s">
        <v>428</v>
      </c>
      <c r="E175" s="1" t="s">
        <v>28</v>
      </c>
      <c r="F175" s="1" t="s">
        <v>20</v>
      </c>
      <c r="G175" s="1" t="s">
        <v>496</v>
      </c>
      <c r="H175" s="1" t="s">
        <v>22</v>
      </c>
      <c r="I175" s="1" t="s">
        <v>23</v>
      </c>
      <c r="J175" s="1" t="s">
        <v>32</v>
      </c>
      <c r="K175" s="1" t="s">
        <v>47</v>
      </c>
      <c r="L175" s="1" t="s">
        <v>497</v>
      </c>
      <c r="M175">
        <v>1</v>
      </c>
      <c r="N175">
        <v>0</v>
      </c>
      <c r="O175">
        <v>2.8321999999999998</v>
      </c>
      <c r="P175">
        <v>5.78</v>
      </c>
      <c r="Q175">
        <v>2.9478000000000004</v>
      </c>
    </row>
    <row r="176" spans="1:17" x14ac:dyDescent="0.25">
      <c r="A176" s="2">
        <v>42798</v>
      </c>
      <c r="B176" s="2">
        <v>42803</v>
      </c>
      <c r="C176" s="1" t="s">
        <v>35</v>
      </c>
      <c r="D176" s="1" t="s">
        <v>395</v>
      </c>
      <c r="E176" s="1" t="s">
        <v>28</v>
      </c>
      <c r="F176" s="1" t="s">
        <v>20</v>
      </c>
      <c r="G176" s="1" t="s">
        <v>29</v>
      </c>
      <c r="H176" s="1" t="s">
        <v>30</v>
      </c>
      <c r="I176" s="1" t="s">
        <v>31</v>
      </c>
      <c r="J176" s="1" t="s">
        <v>32</v>
      </c>
      <c r="K176" s="1" t="s">
        <v>72</v>
      </c>
      <c r="L176" s="1" t="s">
        <v>498</v>
      </c>
      <c r="M176">
        <v>4</v>
      </c>
      <c r="N176">
        <v>0</v>
      </c>
      <c r="O176">
        <v>2.7027999999999999</v>
      </c>
      <c r="P176">
        <v>9.32</v>
      </c>
      <c r="Q176">
        <v>6.6172000000000004</v>
      </c>
    </row>
    <row r="177" spans="1:17" x14ac:dyDescent="0.25">
      <c r="A177" s="2">
        <v>41812</v>
      </c>
      <c r="B177" s="2">
        <v>41815</v>
      </c>
      <c r="C177" s="1" t="s">
        <v>107</v>
      </c>
      <c r="D177" s="1" t="s">
        <v>150</v>
      </c>
      <c r="E177" s="1" t="s">
        <v>19</v>
      </c>
      <c r="F177" s="1" t="s">
        <v>20</v>
      </c>
      <c r="G177" s="1" t="s">
        <v>499</v>
      </c>
      <c r="H177" s="1" t="s">
        <v>198</v>
      </c>
      <c r="I177" s="1" t="s">
        <v>31</v>
      </c>
      <c r="J177" s="1" t="s">
        <v>99</v>
      </c>
      <c r="K177" s="1" t="s">
        <v>111</v>
      </c>
      <c r="L177" s="1" t="s">
        <v>500</v>
      </c>
      <c r="M177">
        <v>6</v>
      </c>
      <c r="N177">
        <v>0.2</v>
      </c>
      <c r="O177">
        <v>56.566200000000002</v>
      </c>
      <c r="P177">
        <v>196.75200000000001</v>
      </c>
      <c r="Q177">
        <v>140.1858</v>
      </c>
    </row>
    <row r="178" spans="1:17" x14ac:dyDescent="0.25">
      <c r="A178" s="2">
        <v>42968</v>
      </c>
      <c r="B178" s="2">
        <v>42970</v>
      </c>
      <c r="C178" s="1" t="s">
        <v>17</v>
      </c>
      <c r="D178" s="1" t="s">
        <v>501</v>
      </c>
      <c r="E178" s="1" t="s">
        <v>19</v>
      </c>
      <c r="F178" s="1" t="s">
        <v>20</v>
      </c>
      <c r="G178" s="1" t="s">
        <v>148</v>
      </c>
      <c r="H178" s="1" t="s">
        <v>502</v>
      </c>
      <c r="I178" s="1" t="s">
        <v>23</v>
      </c>
      <c r="J178" s="1" t="s">
        <v>24</v>
      </c>
      <c r="K178" s="1" t="s">
        <v>82</v>
      </c>
      <c r="L178" s="1" t="s">
        <v>503</v>
      </c>
      <c r="M178">
        <v>4</v>
      </c>
      <c r="N178">
        <v>0</v>
      </c>
      <c r="O178">
        <v>225.26400000000001</v>
      </c>
      <c r="P178">
        <v>866.4</v>
      </c>
      <c r="Q178">
        <v>641.13599999999997</v>
      </c>
    </row>
    <row r="179" spans="1:17" x14ac:dyDescent="0.25">
      <c r="A179" s="2">
        <v>43062</v>
      </c>
      <c r="B179" s="2">
        <v>43065</v>
      </c>
      <c r="C179" s="1" t="s">
        <v>17</v>
      </c>
      <c r="D179" s="1" t="s">
        <v>125</v>
      </c>
      <c r="E179" s="1" t="s">
        <v>28</v>
      </c>
      <c r="F179" s="1" t="s">
        <v>20</v>
      </c>
      <c r="G179" s="1" t="s">
        <v>504</v>
      </c>
      <c r="H179" s="1" t="s">
        <v>115</v>
      </c>
      <c r="I179" s="1" t="s">
        <v>58</v>
      </c>
      <c r="J179" s="1" t="s">
        <v>24</v>
      </c>
      <c r="K179" s="1" t="s">
        <v>42</v>
      </c>
      <c r="L179" s="1" t="s">
        <v>505</v>
      </c>
      <c r="M179">
        <v>2</v>
      </c>
      <c r="N179">
        <v>0</v>
      </c>
      <c r="O179">
        <v>11.076000000000001</v>
      </c>
      <c r="P179">
        <v>28.4</v>
      </c>
      <c r="Q179">
        <v>17.323999999999998</v>
      </c>
    </row>
    <row r="180" spans="1:17" x14ac:dyDescent="0.25">
      <c r="A180" s="2">
        <v>41894</v>
      </c>
      <c r="B180" s="2">
        <v>41895</v>
      </c>
      <c r="C180" s="1" t="s">
        <v>107</v>
      </c>
      <c r="D180" s="1" t="s">
        <v>506</v>
      </c>
      <c r="E180" s="1" t="s">
        <v>55</v>
      </c>
      <c r="F180" s="1" t="s">
        <v>20</v>
      </c>
      <c r="G180" s="1" t="s">
        <v>507</v>
      </c>
      <c r="H180" s="1" t="s">
        <v>127</v>
      </c>
      <c r="I180" s="1" t="s">
        <v>81</v>
      </c>
      <c r="J180" s="1" t="s">
        <v>99</v>
      </c>
      <c r="K180" s="1" t="s">
        <v>354</v>
      </c>
      <c r="L180" s="1" t="s">
        <v>508</v>
      </c>
      <c r="M180">
        <v>1</v>
      </c>
      <c r="N180">
        <v>0</v>
      </c>
      <c r="O180">
        <v>30.095700000000001</v>
      </c>
      <c r="P180">
        <v>69.989999999999995</v>
      </c>
      <c r="Q180">
        <v>39.894299999999994</v>
      </c>
    </row>
    <row r="181" spans="1:17" x14ac:dyDescent="0.25">
      <c r="A181" s="2">
        <v>43009</v>
      </c>
      <c r="B181" s="2">
        <v>43016</v>
      </c>
      <c r="C181" s="1" t="s">
        <v>35</v>
      </c>
      <c r="D181" s="1" t="s">
        <v>509</v>
      </c>
      <c r="E181" s="1" t="s">
        <v>28</v>
      </c>
      <c r="F181" s="1" t="s">
        <v>20</v>
      </c>
      <c r="G181" s="1" t="s">
        <v>265</v>
      </c>
      <c r="H181" s="1" t="s">
        <v>57</v>
      </c>
      <c r="I181" s="1" t="s">
        <v>58</v>
      </c>
      <c r="J181" s="1" t="s">
        <v>32</v>
      </c>
      <c r="K181" s="1" t="s">
        <v>72</v>
      </c>
      <c r="L181" s="1" t="s">
        <v>510</v>
      </c>
      <c r="M181">
        <v>6</v>
      </c>
      <c r="N181">
        <v>0.2</v>
      </c>
      <c r="O181">
        <v>0.50039999999999996</v>
      </c>
      <c r="P181">
        <v>6.6719999999999997</v>
      </c>
      <c r="Q181">
        <v>6.1715999999999998</v>
      </c>
    </row>
    <row r="182" spans="1:17" x14ac:dyDescent="0.25">
      <c r="A182" s="2">
        <v>42475</v>
      </c>
      <c r="B182" s="2">
        <v>42481</v>
      </c>
      <c r="C182" s="1" t="s">
        <v>35</v>
      </c>
      <c r="D182" s="1" t="s">
        <v>511</v>
      </c>
      <c r="E182" s="1" t="s">
        <v>55</v>
      </c>
      <c r="F182" s="1" t="s">
        <v>20</v>
      </c>
      <c r="G182" s="1" t="s">
        <v>512</v>
      </c>
      <c r="H182" s="1" t="s">
        <v>46</v>
      </c>
      <c r="I182" s="1" t="s">
        <v>23</v>
      </c>
      <c r="J182" s="1" t="s">
        <v>32</v>
      </c>
      <c r="K182" s="1" t="s">
        <v>52</v>
      </c>
      <c r="L182" s="1" t="s">
        <v>513</v>
      </c>
      <c r="M182">
        <v>2</v>
      </c>
      <c r="N182">
        <v>0.7</v>
      </c>
      <c r="O182">
        <v>-145.35079999999999</v>
      </c>
      <c r="P182">
        <v>189.58799999999999</v>
      </c>
      <c r="Q182">
        <v>334.93880000000001</v>
      </c>
    </row>
    <row r="183" spans="1:17" x14ac:dyDescent="0.25">
      <c r="A183" s="2">
        <v>42527</v>
      </c>
      <c r="B183" s="2">
        <v>42528</v>
      </c>
      <c r="C183" s="1" t="s">
        <v>107</v>
      </c>
      <c r="D183" s="1" t="s">
        <v>253</v>
      </c>
      <c r="E183" s="1" t="s">
        <v>19</v>
      </c>
      <c r="F183" s="1" t="s">
        <v>20</v>
      </c>
      <c r="G183" s="1" t="s">
        <v>422</v>
      </c>
      <c r="H183" s="1" t="s">
        <v>423</v>
      </c>
      <c r="I183" s="1" t="s">
        <v>81</v>
      </c>
      <c r="J183" s="1" t="s">
        <v>32</v>
      </c>
      <c r="K183" s="1" t="s">
        <v>64</v>
      </c>
      <c r="L183" s="1" t="s">
        <v>514</v>
      </c>
      <c r="M183">
        <v>5</v>
      </c>
      <c r="N183">
        <v>0</v>
      </c>
      <c r="O183">
        <v>207.14699999999999</v>
      </c>
      <c r="P183">
        <v>714.3</v>
      </c>
      <c r="Q183">
        <v>507.15299999999996</v>
      </c>
    </row>
    <row r="184" spans="1:17" x14ac:dyDescent="0.25">
      <c r="A184" s="2">
        <v>41992</v>
      </c>
      <c r="B184" s="2">
        <v>41998</v>
      </c>
      <c r="C184" s="1" t="s">
        <v>35</v>
      </c>
      <c r="D184" s="1" t="s">
        <v>515</v>
      </c>
      <c r="E184" s="1" t="s">
        <v>19</v>
      </c>
      <c r="F184" s="1" t="s">
        <v>20</v>
      </c>
      <c r="G184" s="1" t="s">
        <v>516</v>
      </c>
      <c r="H184" s="1" t="s">
        <v>38</v>
      </c>
      <c r="I184" s="1" t="s">
        <v>23</v>
      </c>
      <c r="J184" s="1" t="s">
        <v>32</v>
      </c>
      <c r="K184" s="1" t="s">
        <v>52</v>
      </c>
      <c r="L184" s="1" t="s">
        <v>517</v>
      </c>
      <c r="M184">
        <v>2</v>
      </c>
      <c r="N184">
        <v>0.7</v>
      </c>
      <c r="O184">
        <v>-3.6892</v>
      </c>
      <c r="P184">
        <v>4.8120000000000003</v>
      </c>
      <c r="Q184">
        <v>8.5012000000000008</v>
      </c>
    </row>
    <row r="185" spans="1:17" x14ac:dyDescent="0.25">
      <c r="A185" s="2">
        <v>42533</v>
      </c>
      <c r="B185" s="2">
        <v>42535</v>
      </c>
      <c r="C185" s="1" t="s">
        <v>17</v>
      </c>
      <c r="D185" s="1" t="s">
        <v>518</v>
      </c>
      <c r="E185" s="1" t="s">
        <v>55</v>
      </c>
      <c r="F185" s="1" t="s">
        <v>20</v>
      </c>
      <c r="G185" s="1" t="s">
        <v>136</v>
      </c>
      <c r="H185" s="1" t="s">
        <v>98</v>
      </c>
      <c r="I185" s="1" t="s">
        <v>58</v>
      </c>
      <c r="J185" s="1" t="s">
        <v>99</v>
      </c>
      <c r="K185" s="1" t="s">
        <v>354</v>
      </c>
      <c r="L185" s="1" t="s">
        <v>519</v>
      </c>
      <c r="M185">
        <v>3</v>
      </c>
      <c r="N185">
        <v>0.3</v>
      </c>
      <c r="O185">
        <v>43.199100000000001</v>
      </c>
      <c r="P185">
        <v>1007.979</v>
      </c>
      <c r="Q185">
        <v>964.7799</v>
      </c>
    </row>
    <row r="186" spans="1:17" x14ac:dyDescent="0.25">
      <c r="A186" s="2">
        <v>42993</v>
      </c>
      <c r="B186" s="2">
        <v>42997</v>
      </c>
      <c r="C186" s="1" t="s">
        <v>35</v>
      </c>
      <c r="D186" s="1" t="s">
        <v>520</v>
      </c>
      <c r="E186" s="1" t="s">
        <v>28</v>
      </c>
      <c r="F186" s="1" t="s">
        <v>20</v>
      </c>
      <c r="G186" s="1" t="s">
        <v>91</v>
      </c>
      <c r="H186" s="1" t="s">
        <v>57</v>
      </c>
      <c r="I186" s="1" t="s">
        <v>58</v>
      </c>
      <c r="J186" s="1" t="s">
        <v>32</v>
      </c>
      <c r="K186" s="1" t="s">
        <v>47</v>
      </c>
      <c r="L186" s="1" t="s">
        <v>521</v>
      </c>
      <c r="M186">
        <v>8</v>
      </c>
      <c r="N186">
        <v>0.2</v>
      </c>
      <c r="O186">
        <v>11.553599999999999</v>
      </c>
      <c r="P186">
        <v>31.872</v>
      </c>
      <c r="Q186">
        <v>20.3184</v>
      </c>
    </row>
    <row r="187" spans="1:17" x14ac:dyDescent="0.25">
      <c r="A187" s="2">
        <v>42755</v>
      </c>
      <c r="B187" s="2">
        <v>42758</v>
      </c>
      <c r="C187" s="1" t="s">
        <v>17</v>
      </c>
      <c r="D187" s="1" t="s">
        <v>206</v>
      </c>
      <c r="E187" s="1" t="s">
        <v>28</v>
      </c>
      <c r="F187" s="1" t="s">
        <v>20</v>
      </c>
      <c r="G187" s="1" t="s">
        <v>126</v>
      </c>
      <c r="H187" s="1" t="s">
        <v>127</v>
      </c>
      <c r="I187" s="1" t="s">
        <v>81</v>
      </c>
      <c r="J187" s="1" t="s">
        <v>24</v>
      </c>
      <c r="K187" s="1" t="s">
        <v>82</v>
      </c>
      <c r="L187" s="1" t="s">
        <v>522</v>
      </c>
      <c r="M187">
        <v>3</v>
      </c>
      <c r="N187">
        <v>0.1</v>
      </c>
      <c r="O187">
        <v>2.3094000000000001</v>
      </c>
      <c r="P187">
        <v>207.846</v>
      </c>
      <c r="Q187">
        <v>205.53659999999999</v>
      </c>
    </row>
    <row r="188" spans="1:17" x14ac:dyDescent="0.25">
      <c r="A188" s="2">
        <v>42814</v>
      </c>
      <c r="B188" s="2">
        <v>42819</v>
      </c>
      <c r="C188" s="1" t="s">
        <v>17</v>
      </c>
      <c r="D188" s="1" t="s">
        <v>523</v>
      </c>
      <c r="E188" s="1" t="s">
        <v>19</v>
      </c>
      <c r="F188" s="1" t="s">
        <v>20</v>
      </c>
      <c r="G188" s="1" t="s">
        <v>213</v>
      </c>
      <c r="H188" s="1" t="s">
        <v>123</v>
      </c>
      <c r="I188" s="1" t="s">
        <v>58</v>
      </c>
      <c r="J188" s="1" t="s">
        <v>24</v>
      </c>
      <c r="K188" s="1" t="s">
        <v>42</v>
      </c>
      <c r="L188" s="1" t="s">
        <v>524</v>
      </c>
      <c r="M188">
        <v>1</v>
      </c>
      <c r="N188">
        <v>0</v>
      </c>
      <c r="O188">
        <v>1.3676999999999999</v>
      </c>
      <c r="P188">
        <v>2.91</v>
      </c>
      <c r="Q188">
        <v>1.5423000000000002</v>
      </c>
    </row>
    <row r="189" spans="1:17" x14ac:dyDescent="0.25">
      <c r="A189" s="2">
        <v>42461</v>
      </c>
      <c r="B189" s="2">
        <v>42463</v>
      </c>
      <c r="C189" s="1" t="s">
        <v>17</v>
      </c>
      <c r="D189" s="1" t="s">
        <v>525</v>
      </c>
      <c r="E189" s="1" t="s">
        <v>19</v>
      </c>
      <c r="F189" s="1" t="s">
        <v>20</v>
      </c>
      <c r="G189" s="1" t="s">
        <v>526</v>
      </c>
      <c r="H189" s="1" t="s">
        <v>127</v>
      </c>
      <c r="I189" s="1" t="s">
        <v>81</v>
      </c>
      <c r="J189" s="1" t="s">
        <v>32</v>
      </c>
      <c r="K189" s="1" t="s">
        <v>72</v>
      </c>
      <c r="L189" s="1" t="s">
        <v>527</v>
      </c>
      <c r="M189">
        <v>3</v>
      </c>
      <c r="N189">
        <v>0</v>
      </c>
      <c r="O189">
        <v>15.475199999999999</v>
      </c>
      <c r="P189">
        <v>59.52</v>
      </c>
      <c r="Q189">
        <v>44.044800000000002</v>
      </c>
    </row>
    <row r="190" spans="1:17" x14ac:dyDescent="0.25">
      <c r="A190" s="2">
        <v>43028</v>
      </c>
      <c r="B190" s="2">
        <v>43032</v>
      </c>
      <c r="C190" s="1" t="s">
        <v>35</v>
      </c>
      <c r="D190" s="1" t="s">
        <v>528</v>
      </c>
      <c r="E190" s="1" t="s">
        <v>28</v>
      </c>
      <c r="F190" s="1" t="s">
        <v>20</v>
      </c>
      <c r="G190" s="1" t="s">
        <v>303</v>
      </c>
      <c r="H190" s="1" t="s">
        <v>214</v>
      </c>
      <c r="I190" s="1" t="s">
        <v>81</v>
      </c>
      <c r="J190" s="1" t="s">
        <v>24</v>
      </c>
      <c r="K190" s="1" t="s">
        <v>39</v>
      </c>
      <c r="L190" s="1" t="s">
        <v>529</v>
      </c>
      <c r="M190">
        <v>2</v>
      </c>
      <c r="N190">
        <v>0.4</v>
      </c>
      <c r="O190">
        <v>-75.830399999999997</v>
      </c>
      <c r="P190">
        <v>284.36399999999998</v>
      </c>
      <c r="Q190">
        <v>360.19439999999997</v>
      </c>
    </row>
    <row r="191" spans="1:17" x14ac:dyDescent="0.25">
      <c r="A191" s="2">
        <v>41682</v>
      </c>
      <c r="B191" s="2">
        <v>41688</v>
      </c>
      <c r="C191" s="1" t="s">
        <v>35</v>
      </c>
      <c r="D191" s="1" t="s">
        <v>530</v>
      </c>
      <c r="E191" s="1" t="s">
        <v>19</v>
      </c>
      <c r="F191" s="1" t="s">
        <v>20</v>
      </c>
      <c r="G191" s="1" t="s">
        <v>45</v>
      </c>
      <c r="H191" s="1" t="s">
        <v>30</v>
      </c>
      <c r="I191" s="1" t="s">
        <v>31</v>
      </c>
      <c r="J191" s="1" t="s">
        <v>24</v>
      </c>
      <c r="K191" s="1" t="s">
        <v>82</v>
      </c>
      <c r="L191" s="1" t="s">
        <v>531</v>
      </c>
      <c r="M191">
        <v>2</v>
      </c>
      <c r="N191">
        <v>0.2</v>
      </c>
      <c r="O191">
        <v>-24.294</v>
      </c>
      <c r="P191">
        <v>129.56800000000001</v>
      </c>
      <c r="Q191">
        <v>153.86200000000002</v>
      </c>
    </row>
    <row r="192" spans="1:17" x14ac:dyDescent="0.25">
      <c r="A192" s="2">
        <v>42353</v>
      </c>
      <c r="B192" s="2">
        <v>42360</v>
      </c>
      <c r="C192" s="1" t="s">
        <v>35</v>
      </c>
      <c r="D192" s="1" t="s">
        <v>316</v>
      </c>
      <c r="E192" s="1" t="s">
        <v>19</v>
      </c>
      <c r="F192" s="1" t="s">
        <v>20</v>
      </c>
      <c r="G192" s="1" t="s">
        <v>50</v>
      </c>
      <c r="H192" s="1" t="s">
        <v>51</v>
      </c>
      <c r="I192" s="1" t="s">
        <v>31</v>
      </c>
      <c r="J192" s="1" t="s">
        <v>32</v>
      </c>
      <c r="K192" s="1" t="s">
        <v>59</v>
      </c>
      <c r="L192" s="1" t="s">
        <v>532</v>
      </c>
      <c r="M192">
        <v>4</v>
      </c>
      <c r="N192">
        <v>0</v>
      </c>
      <c r="O192">
        <v>36.372</v>
      </c>
      <c r="P192">
        <v>103.92</v>
      </c>
      <c r="Q192">
        <v>67.548000000000002</v>
      </c>
    </row>
    <row r="193" spans="1:17" x14ac:dyDescent="0.25">
      <c r="A193" s="2">
        <v>42021</v>
      </c>
      <c r="B193" s="2">
        <v>42028</v>
      </c>
      <c r="C193" s="1" t="s">
        <v>35</v>
      </c>
      <c r="D193" s="1" t="s">
        <v>533</v>
      </c>
      <c r="E193" s="1" t="s">
        <v>55</v>
      </c>
      <c r="F193" s="1" t="s">
        <v>20</v>
      </c>
      <c r="G193" s="1" t="s">
        <v>534</v>
      </c>
      <c r="H193" s="1" t="s">
        <v>98</v>
      </c>
      <c r="I193" s="1" t="s">
        <v>58</v>
      </c>
      <c r="J193" s="1" t="s">
        <v>24</v>
      </c>
      <c r="K193" s="1" t="s">
        <v>42</v>
      </c>
      <c r="L193" s="1" t="s">
        <v>535</v>
      </c>
      <c r="M193">
        <v>7</v>
      </c>
      <c r="N193">
        <v>0.6</v>
      </c>
      <c r="O193">
        <v>-312.06139999999999</v>
      </c>
      <c r="P193">
        <v>254.744</v>
      </c>
      <c r="Q193">
        <v>566.80539999999996</v>
      </c>
    </row>
    <row r="194" spans="1:17" x14ac:dyDescent="0.25">
      <c r="A194" s="2">
        <v>42825</v>
      </c>
      <c r="B194" s="2">
        <v>42829</v>
      </c>
      <c r="C194" s="1" t="s">
        <v>35</v>
      </c>
      <c r="D194" s="1" t="s">
        <v>329</v>
      </c>
      <c r="E194" s="1" t="s">
        <v>28</v>
      </c>
      <c r="F194" s="1" t="s">
        <v>20</v>
      </c>
      <c r="G194" s="1" t="s">
        <v>536</v>
      </c>
      <c r="H194" s="1" t="s">
        <v>57</v>
      </c>
      <c r="I194" s="1" t="s">
        <v>58</v>
      </c>
      <c r="J194" s="1" t="s">
        <v>24</v>
      </c>
      <c r="K194" s="1" t="s">
        <v>25</v>
      </c>
      <c r="L194" s="1" t="s">
        <v>537</v>
      </c>
      <c r="M194">
        <v>2</v>
      </c>
      <c r="N194">
        <v>0.32</v>
      </c>
      <c r="O194">
        <v>-36.235199999999999</v>
      </c>
      <c r="P194">
        <v>205.33279999999999</v>
      </c>
      <c r="Q194">
        <v>241.56799999999998</v>
      </c>
    </row>
    <row r="195" spans="1:17" x14ac:dyDescent="0.25">
      <c r="A195" s="2">
        <v>41952</v>
      </c>
      <c r="B195" s="2">
        <v>41954</v>
      </c>
      <c r="C195" s="1" t="s">
        <v>17</v>
      </c>
      <c r="D195" s="1" t="s">
        <v>538</v>
      </c>
      <c r="E195" s="1" t="s">
        <v>19</v>
      </c>
      <c r="F195" s="1" t="s">
        <v>20</v>
      </c>
      <c r="G195" s="1" t="s">
        <v>71</v>
      </c>
      <c r="H195" s="1" t="s">
        <v>30</v>
      </c>
      <c r="I195" s="1" t="s">
        <v>31</v>
      </c>
      <c r="J195" s="1" t="s">
        <v>32</v>
      </c>
      <c r="K195" s="1" t="s">
        <v>64</v>
      </c>
      <c r="L195" s="1" t="s">
        <v>539</v>
      </c>
      <c r="M195">
        <v>3</v>
      </c>
      <c r="N195">
        <v>0</v>
      </c>
      <c r="O195">
        <v>3.4091999999999998</v>
      </c>
      <c r="P195">
        <v>340.92</v>
      </c>
      <c r="Q195">
        <v>337.51080000000002</v>
      </c>
    </row>
    <row r="196" spans="1:17" x14ac:dyDescent="0.25">
      <c r="A196" s="2">
        <v>42563</v>
      </c>
      <c r="B196" s="2">
        <v>42570</v>
      </c>
      <c r="C196" s="1" t="s">
        <v>35</v>
      </c>
      <c r="D196" s="1" t="s">
        <v>366</v>
      </c>
      <c r="E196" s="1" t="s">
        <v>28</v>
      </c>
      <c r="F196" s="1" t="s">
        <v>20</v>
      </c>
      <c r="G196" s="1" t="s">
        <v>29</v>
      </c>
      <c r="H196" s="1" t="s">
        <v>30</v>
      </c>
      <c r="I196" s="1" t="s">
        <v>31</v>
      </c>
      <c r="J196" s="1" t="s">
        <v>99</v>
      </c>
      <c r="K196" s="1" t="s">
        <v>100</v>
      </c>
      <c r="L196" s="1" t="s">
        <v>540</v>
      </c>
      <c r="M196">
        <v>6</v>
      </c>
      <c r="N196">
        <v>0.2</v>
      </c>
      <c r="O196">
        <v>7.1820000000000004</v>
      </c>
      <c r="P196">
        <v>95.76</v>
      </c>
      <c r="Q196">
        <v>88.578000000000003</v>
      </c>
    </row>
    <row r="197" spans="1:17" x14ac:dyDescent="0.25">
      <c r="A197" s="2">
        <v>42670</v>
      </c>
      <c r="B197" s="2">
        <v>42676</v>
      </c>
      <c r="C197" s="1" t="s">
        <v>35</v>
      </c>
      <c r="D197" s="1" t="s">
        <v>541</v>
      </c>
      <c r="E197" s="1" t="s">
        <v>19</v>
      </c>
      <c r="F197" s="1" t="s">
        <v>20</v>
      </c>
      <c r="G197" s="1" t="s">
        <v>131</v>
      </c>
      <c r="H197" s="1" t="s">
        <v>127</v>
      </c>
      <c r="I197" s="1" t="s">
        <v>81</v>
      </c>
      <c r="J197" s="1" t="s">
        <v>24</v>
      </c>
      <c r="K197" s="1" t="s">
        <v>42</v>
      </c>
      <c r="L197" s="1" t="s">
        <v>380</v>
      </c>
      <c r="M197">
        <v>3</v>
      </c>
      <c r="N197">
        <v>0</v>
      </c>
      <c r="O197">
        <v>19.295999999999999</v>
      </c>
      <c r="P197">
        <v>40.200000000000003</v>
      </c>
      <c r="Q197">
        <v>20.904000000000003</v>
      </c>
    </row>
    <row r="198" spans="1:17" x14ac:dyDescent="0.25">
      <c r="A198" s="2">
        <v>42547</v>
      </c>
      <c r="B198" s="2">
        <v>42553</v>
      </c>
      <c r="C198" s="1" t="s">
        <v>35</v>
      </c>
      <c r="D198" s="1" t="s">
        <v>542</v>
      </c>
      <c r="E198" s="1" t="s">
        <v>28</v>
      </c>
      <c r="F198" s="1" t="s">
        <v>20</v>
      </c>
      <c r="G198" s="1" t="s">
        <v>126</v>
      </c>
      <c r="H198" s="1" t="s">
        <v>127</v>
      </c>
      <c r="I198" s="1" t="s">
        <v>81</v>
      </c>
      <c r="J198" s="1" t="s">
        <v>32</v>
      </c>
      <c r="K198" s="1" t="s">
        <v>72</v>
      </c>
      <c r="L198" s="1" t="s">
        <v>543</v>
      </c>
      <c r="M198">
        <v>5</v>
      </c>
      <c r="N198">
        <v>0</v>
      </c>
      <c r="O198">
        <v>6.6150000000000002</v>
      </c>
      <c r="P198">
        <v>14.7</v>
      </c>
      <c r="Q198">
        <v>8.0849999999999991</v>
      </c>
    </row>
    <row r="199" spans="1:17" x14ac:dyDescent="0.25">
      <c r="A199" s="2">
        <v>41918</v>
      </c>
      <c r="B199" s="2">
        <v>41922</v>
      </c>
      <c r="C199" s="1" t="s">
        <v>35</v>
      </c>
      <c r="D199" s="1" t="s">
        <v>544</v>
      </c>
      <c r="E199" s="1" t="s">
        <v>19</v>
      </c>
      <c r="F199" s="1" t="s">
        <v>20</v>
      </c>
      <c r="G199" s="1" t="s">
        <v>345</v>
      </c>
      <c r="H199" s="1" t="s">
        <v>30</v>
      </c>
      <c r="I199" s="1" t="s">
        <v>31</v>
      </c>
      <c r="J199" s="1" t="s">
        <v>99</v>
      </c>
      <c r="K199" s="1" t="s">
        <v>111</v>
      </c>
      <c r="L199" s="1" t="s">
        <v>545</v>
      </c>
      <c r="M199">
        <v>3</v>
      </c>
      <c r="N199">
        <v>0</v>
      </c>
      <c r="O199">
        <v>1.9089</v>
      </c>
      <c r="P199">
        <v>9.09</v>
      </c>
      <c r="Q199">
        <v>7.1810999999999998</v>
      </c>
    </row>
    <row r="200" spans="1:17" x14ac:dyDescent="0.25">
      <c r="A200" s="2">
        <v>42896</v>
      </c>
      <c r="B200" s="2">
        <v>42899</v>
      </c>
      <c r="C200" s="1" t="s">
        <v>107</v>
      </c>
      <c r="D200" s="1" t="s">
        <v>546</v>
      </c>
      <c r="E200" s="1" t="s">
        <v>55</v>
      </c>
      <c r="F200" s="1" t="s">
        <v>20</v>
      </c>
      <c r="G200" s="1" t="s">
        <v>29</v>
      </c>
      <c r="H200" s="1" t="s">
        <v>30</v>
      </c>
      <c r="I200" s="1" t="s">
        <v>31</v>
      </c>
      <c r="J200" s="1" t="s">
        <v>32</v>
      </c>
      <c r="K200" s="1" t="s">
        <v>33</v>
      </c>
      <c r="L200" s="1" t="s">
        <v>547</v>
      </c>
      <c r="M200">
        <v>2</v>
      </c>
      <c r="N200">
        <v>0</v>
      </c>
      <c r="O200">
        <v>14.8</v>
      </c>
      <c r="P200">
        <v>29.6</v>
      </c>
      <c r="Q200">
        <v>14.8</v>
      </c>
    </row>
    <row r="201" spans="1:17" x14ac:dyDescent="0.25">
      <c r="A201" s="2">
        <v>41941</v>
      </c>
      <c r="B201" s="2">
        <v>41943</v>
      </c>
      <c r="C201" s="1" t="s">
        <v>107</v>
      </c>
      <c r="D201" s="1" t="s">
        <v>548</v>
      </c>
      <c r="E201" s="1" t="s">
        <v>19</v>
      </c>
      <c r="F201" s="1" t="s">
        <v>20</v>
      </c>
      <c r="G201" s="1" t="s">
        <v>136</v>
      </c>
      <c r="H201" s="1" t="s">
        <v>98</v>
      </c>
      <c r="I201" s="1" t="s">
        <v>58</v>
      </c>
      <c r="J201" s="1" t="s">
        <v>99</v>
      </c>
      <c r="K201" s="1" t="s">
        <v>100</v>
      </c>
      <c r="L201" s="1" t="s">
        <v>549</v>
      </c>
      <c r="M201">
        <v>6</v>
      </c>
      <c r="N201">
        <v>0.2</v>
      </c>
      <c r="O201">
        <v>341.99400000000003</v>
      </c>
      <c r="P201">
        <v>2735.9520000000002</v>
      </c>
      <c r="Q201">
        <v>2393.9580000000001</v>
      </c>
    </row>
    <row r="202" spans="1:17" x14ac:dyDescent="0.25">
      <c r="A202" s="2">
        <v>41799</v>
      </c>
      <c r="B202" s="2">
        <v>41803</v>
      </c>
      <c r="C202" s="1" t="s">
        <v>17</v>
      </c>
      <c r="D202" s="1" t="s">
        <v>550</v>
      </c>
      <c r="E202" s="1" t="s">
        <v>55</v>
      </c>
      <c r="F202" s="1" t="s">
        <v>20</v>
      </c>
      <c r="G202" s="1" t="s">
        <v>551</v>
      </c>
      <c r="H202" s="1" t="s">
        <v>57</v>
      </c>
      <c r="I202" s="1" t="s">
        <v>58</v>
      </c>
      <c r="J202" s="1" t="s">
        <v>99</v>
      </c>
      <c r="K202" s="1" t="s">
        <v>100</v>
      </c>
      <c r="L202" s="1" t="s">
        <v>552</v>
      </c>
      <c r="M202">
        <v>1</v>
      </c>
      <c r="N202">
        <v>0.2</v>
      </c>
      <c r="O202">
        <v>0.59940000000000004</v>
      </c>
      <c r="P202">
        <v>7.992</v>
      </c>
      <c r="Q202">
        <v>7.3925999999999998</v>
      </c>
    </row>
    <row r="203" spans="1:17" x14ac:dyDescent="0.25">
      <c r="A203" s="2">
        <v>42499</v>
      </c>
      <c r="B203" s="2">
        <v>42504</v>
      </c>
      <c r="C203" s="1" t="s">
        <v>35</v>
      </c>
      <c r="D203" s="1" t="s">
        <v>553</v>
      </c>
      <c r="E203" s="1" t="s">
        <v>19</v>
      </c>
      <c r="F203" s="1" t="s">
        <v>20</v>
      </c>
      <c r="G203" s="1" t="s">
        <v>50</v>
      </c>
      <c r="H203" s="1" t="s">
        <v>51</v>
      </c>
      <c r="I203" s="1" t="s">
        <v>31</v>
      </c>
      <c r="J203" s="1" t="s">
        <v>99</v>
      </c>
      <c r="K203" s="1" t="s">
        <v>111</v>
      </c>
      <c r="L203" s="1" t="s">
        <v>554</v>
      </c>
      <c r="M203">
        <v>2</v>
      </c>
      <c r="N203">
        <v>0</v>
      </c>
      <c r="O203">
        <v>13.1572</v>
      </c>
      <c r="P203">
        <v>93.98</v>
      </c>
      <c r="Q203">
        <v>80.822800000000001</v>
      </c>
    </row>
    <row r="204" spans="1:17" x14ac:dyDescent="0.25">
      <c r="A204" s="2">
        <v>42447</v>
      </c>
      <c r="B204" s="2">
        <v>42450</v>
      </c>
      <c r="C204" s="1" t="s">
        <v>17</v>
      </c>
      <c r="D204" s="1" t="s">
        <v>555</v>
      </c>
      <c r="E204" s="1" t="s">
        <v>19</v>
      </c>
      <c r="F204" s="1" t="s">
        <v>20</v>
      </c>
      <c r="G204" s="1" t="s">
        <v>151</v>
      </c>
      <c r="H204" s="1" t="s">
        <v>152</v>
      </c>
      <c r="I204" s="1" t="s">
        <v>23</v>
      </c>
      <c r="J204" s="1" t="s">
        <v>24</v>
      </c>
      <c r="K204" s="1" t="s">
        <v>39</v>
      </c>
      <c r="L204" s="1" t="s">
        <v>556</v>
      </c>
      <c r="M204">
        <v>3</v>
      </c>
      <c r="N204">
        <v>0.4</v>
      </c>
      <c r="O204">
        <v>-94.941000000000003</v>
      </c>
      <c r="P204">
        <v>189.88200000000001</v>
      </c>
      <c r="Q204">
        <v>284.82299999999998</v>
      </c>
    </row>
    <row r="205" spans="1:17" x14ac:dyDescent="0.25">
      <c r="A205" s="2">
        <v>42576</v>
      </c>
      <c r="B205" s="2">
        <v>42582</v>
      </c>
      <c r="C205" s="1" t="s">
        <v>35</v>
      </c>
      <c r="D205" s="1" t="s">
        <v>530</v>
      </c>
      <c r="E205" s="1" t="s">
        <v>19</v>
      </c>
      <c r="F205" s="1" t="s">
        <v>20</v>
      </c>
      <c r="G205" s="1" t="s">
        <v>557</v>
      </c>
      <c r="H205" s="1" t="s">
        <v>30</v>
      </c>
      <c r="I205" s="1" t="s">
        <v>31</v>
      </c>
      <c r="J205" s="1" t="s">
        <v>32</v>
      </c>
      <c r="K205" s="1" t="s">
        <v>52</v>
      </c>
      <c r="L205" s="1" t="s">
        <v>558</v>
      </c>
      <c r="M205">
        <v>8</v>
      </c>
      <c r="N205">
        <v>0.2</v>
      </c>
      <c r="O205">
        <v>40.370399999999997</v>
      </c>
      <c r="P205">
        <v>119.616</v>
      </c>
      <c r="Q205">
        <v>79.245599999999996</v>
      </c>
    </row>
    <row r="206" spans="1:17" x14ac:dyDescent="0.25">
      <c r="A206" s="2">
        <v>42520</v>
      </c>
      <c r="B206" s="2">
        <v>42525</v>
      </c>
      <c r="C206" s="1" t="s">
        <v>35</v>
      </c>
      <c r="D206" s="1" t="s">
        <v>559</v>
      </c>
      <c r="E206" s="1" t="s">
        <v>28</v>
      </c>
      <c r="F206" s="1" t="s">
        <v>20</v>
      </c>
      <c r="G206" s="1" t="s">
        <v>560</v>
      </c>
      <c r="H206" s="1" t="s">
        <v>198</v>
      </c>
      <c r="I206" s="1" t="s">
        <v>31</v>
      </c>
      <c r="J206" s="1" t="s">
        <v>32</v>
      </c>
      <c r="K206" s="1" t="s">
        <v>52</v>
      </c>
      <c r="L206" s="1" t="s">
        <v>561</v>
      </c>
      <c r="M206">
        <v>2</v>
      </c>
      <c r="N206">
        <v>0.7</v>
      </c>
      <c r="O206">
        <v>-15.08</v>
      </c>
      <c r="P206">
        <v>22.62</v>
      </c>
      <c r="Q206">
        <v>37.700000000000003</v>
      </c>
    </row>
    <row r="207" spans="1:17" x14ac:dyDescent="0.25">
      <c r="A207" s="2">
        <v>43051</v>
      </c>
      <c r="B207" s="2">
        <v>43054</v>
      </c>
      <c r="C207" s="1" t="s">
        <v>17</v>
      </c>
      <c r="D207" s="1" t="s">
        <v>528</v>
      </c>
      <c r="E207" s="1" t="s">
        <v>28</v>
      </c>
      <c r="F207" s="1" t="s">
        <v>20</v>
      </c>
      <c r="G207" s="1" t="s">
        <v>126</v>
      </c>
      <c r="H207" s="1" t="s">
        <v>127</v>
      </c>
      <c r="I207" s="1" t="s">
        <v>81</v>
      </c>
      <c r="J207" s="1" t="s">
        <v>32</v>
      </c>
      <c r="K207" s="1" t="s">
        <v>52</v>
      </c>
      <c r="L207" s="1" t="s">
        <v>562</v>
      </c>
      <c r="M207">
        <v>5</v>
      </c>
      <c r="N207">
        <v>0.2</v>
      </c>
      <c r="O207">
        <v>5.3730000000000002</v>
      </c>
      <c r="P207">
        <v>15.92</v>
      </c>
      <c r="Q207">
        <v>10.547000000000001</v>
      </c>
    </row>
    <row r="208" spans="1:17" x14ac:dyDescent="0.25">
      <c r="A208" s="2">
        <v>42079</v>
      </c>
      <c r="B208" s="2">
        <v>42085</v>
      </c>
      <c r="C208" s="1" t="s">
        <v>35</v>
      </c>
      <c r="D208" s="1" t="s">
        <v>563</v>
      </c>
      <c r="E208" s="1" t="s">
        <v>19</v>
      </c>
      <c r="F208" s="1" t="s">
        <v>20</v>
      </c>
      <c r="G208" s="1" t="s">
        <v>564</v>
      </c>
      <c r="H208" s="1" t="s">
        <v>429</v>
      </c>
      <c r="I208" s="1" t="s">
        <v>23</v>
      </c>
      <c r="J208" s="1" t="s">
        <v>32</v>
      </c>
      <c r="K208" s="1" t="s">
        <v>72</v>
      </c>
      <c r="L208" s="1" t="s">
        <v>565</v>
      </c>
      <c r="M208">
        <v>1</v>
      </c>
      <c r="N208">
        <v>0</v>
      </c>
      <c r="O208">
        <v>0.73980000000000001</v>
      </c>
      <c r="P208">
        <v>2.74</v>
      </c>
      <c r="Q208">
        <v>2.0002000000000004</v>
      </c>
    </row>
    <row r="209" spans="1:17" x14ac:dyDescent="0.25">
      <c r="A209" s="2">
        <v>43065</v>
      </c>
      <c r="B209" s="2">
        <v>43066</v>
      </c>
      <c r="C209" s="1" t="s">
        <v>107</v>
      </c>
      <c r="D209" s="1" t="s">
        <v>566</v>
      </c>
      <c r="E209" s="1" t="s">
        <v>19</v>
      </c>
      <c r="F209" s="1" t="s">
        <v>20</v>
      </c>
      <c r="G209" s="1" t="s">
        <v>567</v>
      </c>
      <c r="H209" s="1" t="s">
        <v>235</v>
      </c>
      <c r="I209" s="1" t="s">
        <v>58</v>
      </c>
      <c r="J209" s="1" t="s">
        <v>24</v>
      </c>
      <c r="K209" s="1" t="s">
        <v>42</v>
      </c>
      <c r="L209" s="1" t="s">
        <v>568</v>
      </c>
      <c r="M209">
        <v>3</v>
      </c>
      <c r="N209">
        <v>0</v>
      </c>
      <c r="O209">
        <v>40.415999999999997</v>
      </c>
      <c r="P209">
        <v>126.3</v>
      </c>
      <c r="Q209">
        <v>85.884</v>
      </c>
    </row>
    <row r="210" spans="1:17" x14ac:dyDescent="0.25">
      <c r="A210" s="2">
        <v>42663</v>
      </c>
      <c r="B210" s="2">
        <v>42666</v>
      </c>
      <c r="C210" s="1" t="s">
        <v>107</v>
      </c>
      <c r="D210" s="1" t="s">
        <v>480</v>
      </c>
      <c r="E210" s="1" t="s">
        <v>19</v>
      </c>
      <c r="F210" s="1" t="s">
        <v>20</v>
      </c>
      <c r="G210" s="1" t="s">
        <v>240</v>
      </c>
      <c r="H210" s="1" t="s">
        <v>214</v>
      </c>
      <c r="I210" s="1" t="s">
        <v>81</v>
      </c>
      <c r="J210" s="1" t="s">
        <v>32</v>
      </c>
      <c r="K210" s="1" t="s">
        <v>72</v>
      </c>
      <c r="L210" s="1" t="s">
        <v>162</v>
      </c>
      <c r="M210">
        <v>3</v>
      </c>
      <c r="N210">
        <v>0.2</v>
      </c>
      <c r="O210">
        <v>0.71519999999999995</v>
      </c>
      <c r="P210">
        <v>7.1520000000000001</v>
      </c>
      <c r="Q210">
        <v>6.4367999999999999</v>
      </c>
    </row>
    <row r="211" spans="1:17" x14ac:dyDescent="0.25">
      <c r="A211" s="2">
        <v>43090</v>
      </c>
      <c r="B211" s="2">
        <v>43094</v>
      </c>
      <c r="C211" s="1" t="s">
        <v>35</v>
      </c>
      <c r="D211" s="1" t="s">
        <v>569</v>
      </c>
      <c r="E211" s="1" t="s">
        <v>19</v>
      </c>
      <c r="F211" s="1" t="s">
        <v>20</v>
      </c>
      <c r="G211" s="1" t="s">
        <v>29</v>
      </c>
      <c r="H211" s="1" t="s">
        <v>30</v>
      </c>
      <c r="I211" s="1" t="s">
        <v>31</v>
      </c>
      <c r="J211" s="1" t="s">
        <v>32</v>
      </c>
      <c r="K211" s="1" t="s">
        <v>72</v>
      </c>
      <c r="L211" s="1" t="s">
        <v>570</v>
      </c>
      <c r="M211">
        <v>3</v>
      </c>
      <c r="N211">
        <v>0</v>
      </c>
      <c r="O211">
        <v>1.7901</v>
      </c>
      <c r="P211">
        <v>6.63</v>
      </c>
      <c r="Q211">
        <v>4.8399000000000001</v>
      </c>
    </row>
    <row r="212" spans="1:17" x14ac:dyDescent="0.25">
      <c r="A212" s="2">
        <v>42757</v>
      </c>
      <c r="B212" s="2">
        <v>42762</v>
      </c>
      <c r="C212" s="1" t="s">
        <v>35</v>
      </c>
      <c r="D212" s="1" t="s">
        <v>221</v>
      </c>
      <c r="E212" s="1" t="s">
        <v>55</v>
      </c>
      <c r="F212" s="1" t="s">
        <v>20</v>
      </c>
      <c r="G212" s="1" t="s">
        <v>571</v>
      </c>
      <c r="H212" s="1" t="s">
        <v>572</v>
      </c>
      <c r="I212" s="1" t="s">
        <v>31</v>
      </c>
      <c r="J212" s="1" t="s">
        <v>99</v>
      </c>
      <c r="K212" s="1" t="s">
        <v>573</v>
      </c>
      <c r="L212" s="1" t="s">
        <v>574</v>
      </c>
      <c r="M212">
        <v>5</v>
      </c>
      <c r="N212">
        <v>0</v>
      </c>
      <c r="O212">
        <v>1379.9770000000001</v>
      </c>
      <c r="P212">
        <v>2999.95</v>
      </c>
      <c r="Q212">
        <v>1619.9729999999997</v>
      </c>
    </row>
    <row r="213" spans="1:17" x14ac:dyDescent="0.25">
      <c r="A213" s="2">
        <v>42085</v>
      </c>
      <c r="B213" s="2">
        <v>42089</v>
      </c>
      <c r="C213" s="1" t="s">
        <v>35</v>
      </c>
      <c r="D213" s="1" t="s">
        <v>575</v>
      </c>
      <c r="E213" s="1" t="s">
        <v>19</v>
      </c>
      <c r="F213" s="1" t="s">
        <v>20</v>
      </c>
      <c r="G213" s="1" t="s">
        <v>91</v>
      </c>
      <c r="H213" s="1" t="s">
        <v>57</v>
      </c>
      <c r="I213" s="1" t="s">
        <v>58</v>
      </c>
      <c r="J213" s="1" t="s">
        <v>99</v>
      </c>
      <c r="K213" s="1" t="s">
        <v>111</v>
      </c>
      <c r="L213" s="1" t="s">
        <v>112</v>
      </c>
      <c r="M213">
        <v>1</v>
      </c>
      <c r="N213">
        <v>0.2</v>
      </c>
      <c r="O213">
        <v>5.2877000000000001</v>
      </c>
      <c r="P213">
        <v>18.391999999999999</v>
      </c>
      <c r="Q213">
        <v>13.104299999999999</v>
      </c>
    </row>
    <row r="214" spans="1:17" x14ac:dyDescent="0.25">
      <c r="A214" s="2">
        <v>42758</v>
      </c>
      <c r="B214" s="2">
        <v>42760</v>
      </c>
      <c r="C214" s="1" t="s">
        <v>107</v>
      </c>
      <c r="D214" s="1" t="s">
        <v>576</v>
      </c>
      <c r="E214" s="1" t="s">
        <v>28</v>
      </c>
      <c r="F214" s="1" t="s">
        <v>20</v>
      </c>
      <c r="G214" s="1" t="s">
        <v>330</v>
      </c>
      <c r="H214" s="1" t="s">
        <v>115</v>
      </c>
      <c r="I214" s="1" t="s">
        <v>58</v>
      </c>
      <c r="J214" s="1" t="s">
        <v>24</v>
      </c>
      <c r="K214" s="1" t="s">
        <v>39</v>
      </c>
      <c r="L214" s="1" t="s">
        <v>556</v>
      </c>
      <c r="M214">
        <v>2</v>
      </c>
      <c r="N214">
        <v>0</v>
      </c>
      <c r="O214">
        <v>21.097999999999999</v>
      </c>
      <c r="P214">
        <v>210.98</v>
      </c>
      <c r="Q214">
        <v>189.88200000000001</v>
      </c>
    </row>
    <row r="215" spans="1:17" x14ac:dyDescent="0.25">
      <c r="A215" s="2">
        <v>42511</v>
      </c>
      <c r="B215" s="2">
        <v>42513</v>
      </c>
      <c r="C215" s="1" t="s">
        <v>107</v>
      </c>
      <c r="D215" s="1" t="s">
        <v>342</v>
      </c>
      <c r="E215" s="1" t="s">
        <v>19</v>
      </c>
      <c r="F215" s="1" t="s">
        <v>20</v>
      </c>
      <c r="G215" s="1" t="s">
        <v>29</v>
      </c>
      <c r="H215" s="1" t="s">
        <v>30</v>
      </c>
      <c r="I215" s="1" t="s">
        <v>31</v>
      </c>
      <c r="J215" s="1" t="s">
        <v>99</v>
      </c>
      <c r="K215" s="1" t="s">
        <v>100</v>
      </c>
      <c r="L215" s="1" t="s">
        <v>577</v>
      </c>
      <c r="M215">
        <v>3</v>
      </c>
      <c r="N215">
        <v>0.2</v>
      </c>
      <c r="O215">
        <v>-12.4146</v>
      </c>
      <c r="P215">
        <v>55.176000000000002</v>
      </c>
      <c r="Q215">
        <v>67.590599999999995</v>
      </c>
    </row>
    <row r="216" spans="1:17" x14ac:dyDescent="0.25">
      <c r="A216" s="2">
        <v>42364</v>
      </c>
      <c r="B216" s="2">
        <v>42371</v>
      </c>
      <c r="C216" s="1" t="s">
        <v>35</v>
      </c>
      <c r="D216" s="1" t="s">
        <v>578</v>
      </c>
      <c r="E216" s="1" t="s">
        <v>19</v>
      </c>
      <c r="F216" s="1" t="s">
        <v>20</v>
      </c>
      <c r="G216" s="1" t="s">
        <v>579</v>
      </c>
      <c r="H216" s="1" t="s">
        <v>423</v>
      </c>
      <c r="I216" s="1" t="s">
        <v>81</v>
      </c>
      <c r="J216" s="1" t="s">
        <v>32</v>
      </c>
      <c r="K216" s="1" t="s">
        <v>128</v>
      </c>
      <c r="L216" s="1" t="s">
        <v>580</v>
      </c>
      <c r="M216">
        <v>5</v>
      </c>
      <c r="N216">
        <v>0</v>
      </c>
      <c r="O216">
        <v>10.433999999999999</v>
      </c>
      <c r="P216">
        <v>22.2</v>
      </c>
      <c r="Q216">
        <v>11.766</v>
      </c>
    </row>
    <row r="217" spans="1:17" x14ac:dyDescent="0.25">
      <c r="A217" s="2">
        <v>43029</v>
      </c>
      <c r="B217" s="2">
        <v>43034</v>
      </c>
      <c r="C217" s="1" t="s">
        <v>35</v>
      </c>
      <c r="D217" s="1" t="s">
        <v>581</v>
      </c>
      <c r="E217" s="1" t="s">
        <v>55</v>
      </c>
      <c r="F217" s="1" t="s">
        <v>20</v>
      </c>
      <c r="G217" s="1" t="s">
        <v>582</v>
      </c>
      <c r="H217" s="1" t="s">
        <v>38</v>
      </c>
      <c r="I217" s="1" t="s">
        <v>23</v>
      </c>
      <c r="J217" s="1" t="s">
        <v>24</v>
      </c>
      <c r="K217" s="1" t="s">
        <v>82</v>
      </c>
      <c r="L217" s="1" t="s">
        <v>583</v>
      </c>
      <c r="M217">
        <v>3</v>
      </c>
      <c r="N217">
        <v>0.2</v>
      </c>
      <c r="O217">
        <v>42.747</v>
      </c>
      <c r="P217">
        <v>683.952</v>
      </c>
      <c r="Q217">
        <v>641.20500000000004</v>
      </c>
    </row>
    <row r="218" spans="1:17" x14ac:dyDescent="0.25">
      <c r="A218" s="2">
        <v>42250</v>
      </c>
      <c r="B218" s="2">
        <v>42254</v>
      </c>
      <c r="C218" s="1" t="s">
        <v>35</v>
      </c>
      <c r="D218" s="1" t="s">
        <v>584</v>
      </c>
      <c r="E218" s="1" t="s">
        <v>19</v>
      </c>
      <c r="F218" s="1" t="s">
        <v>20</v>
      </c>
      <c r="G218" s="1" t="s">
        <v>79</v>
      </c>
      <c r="H218" s="1" t="s">
        <v>80</v>
      </c>
      <c r="I218" s="1" t="s">
        <v>81</v>
      </c>
      <c r="J218" s="1" t="s">
        <v>32</v>
      </c>
      <c r="K218" s="1" t="s">
        <v>64</v>
      </c>
      <c r="L218" s="1" t="s">
        <v>585</v>
      </c>
      <c r="M218">
        <v>3</v>
      </c>
      <c r="N218">
        <v>0.2</v>
      </c>
      <c r="O218">
        <v>-7.2671999999999999</v>
      </c>
      <c r="P218">
        <v>36.335999999999999</v>
      </c>
      <c r="Q218">
        <v>43.603200000000001</v>
      </c>
    </row>
    <row r="219" spans="1:17" x14ac:dyDescent="0.25">
      <c r="A219" s="2">
        <v>42315</v>
      </c>
      <c r="B219" s="2">
        <v>42317</v>
      </c>
      <c r="C219" s="1" t="s">
        <v>17</v>
      </c>
      <c r="D219" s="1" t="s">
        <v>586</v>
      </c>
      <c r="E219" s="1" t="s">
        <v>28</v>
      </c>
      <c r="F219" s="1" t="s">
        <v>20</v>
      </c>
      <c r="G219" s="1" t="s">
        <v>29</v>
      </c>
      <c r="H219" s="1" t="s">
        <v>30</v>
      </c>
      <c r="I219" s="1" t="s">
        <v>31</v>
      </c>
      <c r="J219" s="1" t="s">
        <v>24</v>
      </c>
      <c r="K219" s="1" t="s">
        <v>82</v>
      </c>
      <c r="L219" s="1" t="s">
        <v>587</v>
      </c>
      <c r="M219">
        <v>1</v>
      </c>
      <c r="N219">
        <v>0.2</v>
      </c>
      <c r="O219">
        <v>11.92</v>
      </c>
      <c r="P219">
        <v>190.72</v>
      </c>
      <c r="Q219">
        <v>178.8</v>
      </c>
    </row>
    <row r="220" spans="1:17" x14ac:dyDescent="0.25">
      <c r="A220" s="2">
        <v>42985</v>
      </c>
      <c r="B220" s="2">
        <v>42989</v>
      </c>
      <c r="C220" s="1" t="s">
        <v>35</v>
      </c>
      <c r="D220" s="1" t="s">
        <v>588</v>
      </c>
      <c r="E220" s="1" t="s">
        <v>19</v>
      </c>
      <c r="F220" s="1" t="s">
        <v>20</v>
      </c>
      <c r="G220" s="1" t="s">
        <v>29</v>
      </c>
      <c r="H220" s="1" t="s">
        <v>30</v>
      </c>
      <c r="I220" s="1" t="s">
        <v>31</v>
      </c>
      <c r="J220" s="1" t="s">
        <v>24</v>
      </c>
      <c r="K220" s="1" t="s">
        <v>42</v>
      </c>
      <c r="L220" s="1" t="s">
        <v>589</v>
      </c>
      <c r="M220">
        <v>3</v>
      </c>
      <c r="N220">
        <v>0</v>
      </c>
      <c r="O220">
        <v>2.3969999999999998</v>
      </c>
      <c r="P220">
        <v>47.94</v>
      </c>
      <c r="Q220">
        <v>45.542999999999999</v>
      </c>
    </row>
    <row r="221" spans="1:17" x14ac:dyDescent="0.25">
      <c r="A221" s="2">
        <v>42519</v>
      </c>
      <c r="B221" s="2">
        <v>42522</v>
      </c>
      <c r="C221" s="1" t="s">
        <v>17</v>
      </c>
      <c r="D221" s="1" t="s">
        <v>590</v>
      </c>
      <c r="E221" s="1" t="s">
        <v>19</v>
      </c>
      <c r="F221" s="1" t="s">
        <v>20</v>
      </c>
      <c r="G221" s="1" t="s">
        <v>591</v>
      </c>
      <c r="H221" s="1" t="s">
        <v>159</v>
      </c>
      <c r="I221" s="1" t="s">
        <v>23</v>
      </c>
      <c r="J221" s="1" t="s">
        <v>99</v>
      </c>
      <c r="K221" s="1" t="s">
        <v>100</v>
      </c>
      <c r="L221" s="1" t="s">
        <v>592</v>
      </c>
      <c r="M221">
        <v>5</v>
      </c>
      <c r="N221">
        <v>0</v>
      </c>
      <c r="O221">
        <v>274.38600000000002</v>
      </c>
      <c r="P221">
        <v>979.95</v>
      </c>
      <c r="Q221">
        <v>705.56400000000008</v>
      </c>
    </row>
    <row r="222" spans="1:17" x14ac:dyDescent="0.25">
      <c r="A222" s="2">
        <v>42561</v>
      </c>
      <c r="B222" s="2">
        <v>42567</v>
      </c>
      <c r="C222" s="1" t="s">
        <v>35</v>
      </c>
      <c r="D222" s="1" t="s">
        <v>593</v>
      </c>
      <c r="E222" s="1" t="s">
        <v>19</v>
      </c>
      <c r="F222" s="1" t="s">
        <v>20</v>
      </c>
      <c r="G222" s="1" t="s">
        <v>594</v>
      </c>
      <c r="H222" s="1" t="s">
        <v>140</v>
      </c>
      <c r="I222" s="1" t="s">
        <v>31</v>
      </c>
      <c r="J222" s="1" t="s">
        <v>32</v>
      </c>
      <c r="K222" s="1" t="s">
        <v>64</v>
      </c>
      <c r="L222" s="1" t="s">
        <v>595</v>
      </c>
      <c r="M222">
        <v>2</v>
      </c>
      <c r="N222">
        <v>0.2</v>
      </c>
      <c r="O222">
        <v>1.4672000000000001</v>
      </c>
      <c r="P222">
        <v>16.768000000000001</v>
      </c>
      <c r="Q222">
        <v>15.300800000000001</v>
      </c>
    </row>
    <row r="223" spans="1:17" x14ac:dyDescent="0.25">
      <c r="A223" s="2">
        <v>42981</v>
      </c>
      <c r="B223" s="2">
        <v>42986</v>
      </c>
      <c r="C223" s="1" t="s">
        <v>17</v>
      </c>
      <c r="D223" s="1" t="s">
        <v>596</v>
      </c>
      <c r="E223" s="1" t="s">
        <v>19</v>
      </c>
      <c r="F223" s="1" t="s">
        <v>20</v>
      </c>
      <c r="G223" s="1" t="s">
        <v>136</v>
      </c>
      <c r="H223" s="1" t="s">
        <v>98</v>
      </c>
      <c r="I223" s="1" t="s">
        <v>58</v>
      </c>
      <c r="J223" s="1" t="s">
        <v>32</v>
      </c>
      <c r="K223" s="1" t="s">
        <v>52</v>
      </c>
      <c r="L223" s="1" t="s">
        <v>597</v>
      </c>
      <c r="M223">
        <v>7</v>
      </c>
      <c r="N223">
        <v>0.8</v>
      </c>
      <c r="O223">
        <v>-68.185599999999994</v>
      </c>
      <c r="P223">
        <v>42.616</v>
      </c>
      <c r="Q223">
        <v>110.80159999999999</v>
      </c>
    </row>
    <row r="224" spans="1:17" x14ac:dyDescent="0.25">
      <c r="A224" s="2">
        <v>42341</v>
      </c>
      <c r="B224" s="2">
        <v>42346</v>
      </c>
      <c r="C224" s="1" t="s">
        <v>35</v>
      </c>
      <c r="D224" s="1" t="s">
        <v>288</v>
      </c>
      <c r="E224" s="1" t="s">
        <v>55</v>
      </c>
      <c r="F224" s="1" t="s">
        <v>20</v>
      </c>
      <c r="G224" s="1" t="s">
        <v>126</v>
      </c>
      <c r="H224" s="1" t="s">
        <v>127</v>
      </c>
      <c r="I224" s="1" t="s">
        <v>81</v>
      </c>
      <c r="J224" s="1" t="s">
        <v>32</v>
      </c>
      <c r="K224" s="1" t="s">
        <v>52</v>
      </c>
      <c r="L224" s="1" t="s">
        <v>598</v>
      </c>
      <c r="M224">
        <v>4</v>
      </c>
      <c r="N224">
        <v>0.2</v>
      </c>
      <c r="O224">
        <v>3.36</v>
      </c>
      <c r="P224">
        <v>10.752000000000001</v>
      </c>
      <c r="Q224">
        <v>7.3920000000000012</v>
      </c>
    </row>
    <row r="225" spans="1:17" x14ac:dyDescent="0.25">
      <c r="A225" s="2">
        <v>42345</v>
      </c>
      <c r="B225" s="2">
        <v>42349</v>
      </c>
      <c r="C225" s="1" t="s">
        <v>35</v>
      </c>
      <c r="D225" s="1" t="s">
        <v>599</v>
      </c>
      <c r="E225" s="1" t="s">
        <v>19</v>
      </c>
      <c r="F225" s="1" t="s">
        <v>20</v>
      </c>
      <c r="G225" s="1" t="s">
        <v>21</v>
      </c>
      <c r="H225" s="1" t="s">
        <v>22</v>
      </c>
      <c r="I225" s="1" t="s">
        <v>23</v>
      </c>
      <c r="J225" s="1" t="s">
        <v>32</v>
      </c>
      <c r="K225" s="1" t="s">
        <v>59</v>
      </c>
      <c r="L225" s="1" t="s">
        <v>600</v>
      </c>
      <c r="M225">
        <v>3</v>
      </c>
      <c r="N225">
        <v>0</v>
      </c>
      <c r="O225">
        <v>41.293799999999997</v>
      </c>
      <c r="P225">
        <v>152.94</v>
      </c>
      <c r="Q225">
        <v>111.64619999999999</v>
      </c>
    </row>
    <row r="226" spans="1:17" x14ac:dyDescent="0.25">
      <c r="A226" s="2">
        <v>41671</v>
      </c>
      <c r="B226" s="2">
        <v>41673</v>
      </c>
      <c r="C226" s="1" t="s">
        <v>107</v>
      </c>
      <c r="D226" s="1" t="s">
        <v>601</v>
      </c>
      <c r="E226" s="1" t="s">
        <v>19</v>
      </c>
      <c r="F226" s="1" t="s">
        <v>20</v>
      </c>
      <c r="G226" s="1" t="s">
        <v>602</v>
      </c>
      <c r="H226" s="1" t="s">
        <v>63</v>
      </c>
      <c r="I226" s="1" t="s">
        <v>58</v>
      </c>
      <c r="J226" s="1" t="s">
        <v>99</v>
      </c>
      <c r="K226" s="1" t="s">
        <v>111</v>
      </c>
      <c r="L226" s="1" t="s">
        <v>603</v>
      </c>
      <c r="M226">
        <v>6</v>
      </c>
      <c r="N226">
        <v>0</v>
      </c>
      <c r="O226">
        <v>206.316</v>
      </c>
      <c r="P226">
        <v>468.9</v>
      </c>
      <c r="Q226">
        <v>262.58399999999995</v>
      </c>
    </row>
    <row r="227" spans="1:17" x14ac:dyDescent="0.25">
      <c r="A227" s="2">
        <v>42565</v>
      </c>
      <c r="B227" s="2">
        <v>42568</v>
      </c>
      <c r="C227" s="1" t="s">
        <v>107</v>
      </c>
      <c r="D227" s="1" t="s">
        <v>104</v>
      </c>
      <c r="E227" s="1" t="s">
        <v>28</v>
      </c>
      <c r="F227" s="1" t="s">
        <v>20</v>
      </c>
      <c r="G227" s="1" t="s">
        <v>442</v>
      </c>
      <c r="H227" s="1" t="s">
        <v>140</v>
      </c>
      <c r="I227" s="1" t="s">
        <v>31</v>
      </c>
      <c r="J227" s="1" t="s">
        <v>99</v>
      </c>
      <c r="K227" s="1" t="s">
        <v>100</v>
      </c>
      <c r="L227" s="1" t="s">
        <v>604</v>
      </c>
      <c r="M227">
        <v>8</v>
      </c>
      <c r="N227">
        <v>0.2</v>
      </c>
      <c r="O227">
        <v>38.086399999999998</v>
      </c>
      <c r="P227">
        <v>380.86399999999998</v>
      </c>
      <c r="Q227">
        <v>342.77760000000001</v>
      </c>
    </row>
    <row r="228" spans="1:17" x14ac:dyDescent="0.25">
      <c r="A228" s="2">
        <v>42356</v>
      </c>
      <c r="B228" s="2">
        <v>42361</v>
      </c>
      <c r="C228" s="1" t="s">
        <v>35</v>
      </c>
      <c r="D228" s="1" t="s">
        <v>605</v>
      </c>
      <c r="E228" s="1" t="s">
        <v>19</v>
      </c>
      <c r="F228" s="1" t="s">
        <v>20</v>
      </c>
      <c r="G228" s="1" t="s">
        <v>143</v>
      </c>
      <c r="H228" s="1" t="s">
        <v>214</v>
      </c>
      <c r="I228" s="1" t="s">
        <v>81</v>
      </c>
      <c r="J228" s="1" t="s">
        <v>32</v>
      </c>
      <c r="K228" s="1" t="s">
        <v>64</v>
      </c>
      <c r="L228" s="1" t="s">
        <v>606</v>
      </c>
      <c r="M228">
        <v>9</v>
      </c>
      <c r="N228">
        <v>0.2</v>
      </c>
      <c r="O228">
        <v>-145.52459999999999</v>
      </c>
      <c r="P228">
        <v>646.77599999999995</v>
      </c>
      <c r="Q228">
        <v>792.30059999999992</v>
      </c>
    </row>
    <row r="229" spans="1:17" x14ac:dyDescent="0.25">
      <c r="A229" s="2">
        <v>41770</v>
      </c>
      <c r="B229" s="2">
        <v>41775</v>
      </c>
      <c r="C229" s="1" t="s">
        <v>35</v>
      </c>
      <c r="D229" s="1" t="s">
        <v>171</v>
      </c>
      <c r="E229" s="1" t="s">
        <v>19</v>
      </c>
      <c r="F229" s="1" t="s">
        <v>20</v>
      </c>
      <c r="G229" s="1" t="s">
        <v>56</v>
      </c>
      <c r="H229" s="1" t="s">
        <v>57</v>
      </c>
      <c r="I229" s="1" t="s">
        <v>58</v>
      </c>
      <c r="J229" s="1" t="s">
        <v>99</v>
      </c>
      <c r="K229" s="1" t="s">
        <v>111</v>
      </c>
      <c r="L229" s="1" t="s">
        <v>607</v>
      </c>
      <c r="M229">
        <v>2</v>
      </c>
      <c r="N229">
        <v>0.2</v>
      </c>
      <c r="O229">
        <v>7.2640000000000002</v>
      </c>
      <c r="P229">
        <v>58.112000000000002</v>
      </c>
      <c r="Q229">
        <v>50.847999999999999</v>
      </c>
    </row>
    <row r="230" spans="1:17" x14ac:dyDescent="0.25">
      <c r="A230" s="2">
        <v>43058</v>
      </c>
      <c r="B230" s="2">
        <v>43061</v>
      </c>
      <c r="C230" s="1" t="s">
        <v>107</v>
      </c>
      <c r="D230" s="1" t="s">
        <v>608</v>
      </c>
      <c r="E230" s="1" t="s">
        <v>55</v>
      </c>
      <c r="F230" s="1" t="s">
        <v>20</v>
      </c>
      <c r="G230" s="1" t="s">
        <v>126</v>
      </c>
      <c r="H230" s="1" t="s">
        <v>127</v>
      </c>
      <c r="I230" s="1" t="s">
        <v>81</v>
      </c>
      <c r="J230" s="1" t="s">
        <v>32</v>
      </c>
      <c r="K230" s="1" t="s">
        <v>52</v>
      </c>
      <c r="L230" s="1" t="s">
        <v>609</v>
      </c>
      <c r="M230">
        <v>6</v>
      </c>
      <c r="N230">
        <v>0.2</v>
      </c>
      <c r="O230">
        <v>13.932</v>
      </c>
      <c r="P230">
        <v>41.28</v>
      </c>
      <c r="Q230">
        <v>27.347999999999999</v>
      </c>
    </row>
    <row r="231" spans="1:17" x14ac:dyDescent="0.25">
      <c r="A231" s="2">
        <v>42475</v>
      </c>
      <c r="B231" s="2">
        <v>42477</v>
      </c>
      <c r="C231" s="1" t="s">
        <v>17</v>
      </c>
      <c r="D231" s="1" t="s">
        <v>610</v>
      </c>
      <c r="E231" s="1" t="s">
        <v>19</v>
      </c>
      <c r="F231" s="1" t="s">
        <v>20</v>
      </c>
      <c r="G231" s="1" t="s">
        <v>71</v>
      </c>
      <c r="H231" s="1" t="s">
        <v>30</v>
      </c>
      <c r="I231" s="1" t="s">
        <v>31</v>
      </c>
      <c r="J231" s="1" t="s">
        <v>24</v>
      </c>
      <c r="K231" s="1" t="s">
        <v>82</v>
      </c>
      <c r="L231" s="1" t="s">
        <v>611</v>
      </c>
      <c r="M231">
        <v>2</v>
      </c>
      <c r="N231">
        <v>0.2</v>
      </c>
      <c r="O231">
        <v>0</v>
      </c>
      <c r="P231">
        <v>1121.568</v>
      </c>
      <c r="Q231">
        <v>1121.568</v>
      </c>
    </row>
    <row r="232" spans="1:17" x14ac:dyDescent="0.25">
      <c r="A232" s="2">
        <v>42989</v>
      </c>
      <c r="B232" s="2">
        <v>42990</v>
      </c>
      <c r="C232" s="1" t="s">
        <v>107</v>
      </c>
      <c r="D232" s="1" t="s">
        <v>212</v>
      </c>
      <c r="E232" s="1" t="s">
        <v>19</v>
      </c>
      <c r="F232" s="1" t="s">
        <v>20</v>
      </c>
      <c r="G232" s="1" t="s">
        <v>516</v>
      </c>
      <c r="H232" s="1" t="s">
        <v>38</v>
      </c>
      <c r="I232" s="1" t="s">
        <v>23</v>
      </c>
      <c r="J232" s="1" t="s">
        <v>24</v>
      </c>
      <c r="K232" s="1" t="s">
        <v>42</v>
      </c>
      <c r="L232" s="1" t="s">
        <v>612</v>
      </c>
      <c r="M232">
        <v>1</v>
      </c>
      <c r="N232">
        <v>0.2</v>
      </c>
      <c r="O232">
        <v>6.0381999999999998</v>
      </c>
      <c r="P232">
        <v>34.503999999999998</v>
      </c>
      <c r="Q232">
        <v>28.465799999999998</v>
      </c>
    </row>
    <row r="233" spans="1:17" x14ac:dyDescent="0.25">
      <c r="A233" s="2">
        <v>42915</v>
      </c>
      <c r="B233" s="2">
        <v>42919</v>
      </c>
      <c r="C233" s="1" t="s">
        <v>17</v>
      </c>
      <c r="D233" s="1" t="s">
        <v>456</v>
      </c>
      <c r="E233" s="1" t="s">
        <v>28</v>
      </c>
      <c r="F233" s="1" t="s">
        <v>20</v>
      </c>
      <c r="G233" s="1" t="s">
        <v>613</v>
      </c>
      <c r="H233" s="1" t="s">
        <v>30</v>
      </c>
      <c r="I233" s="1" t="s">
        <v>31</v>
      </c>
      <c r="J233" s="1" t="s">
        <v>32</v>
      </c>
      <c r="K233" s="1" t="s">
        <v>64</v>
      </c>
      <c r="L233" s="1" t="s">
        <v>614</v>
      </c>
      <c r="M233">
        <v>2</v>
      </c>
      <c r="N233">
        <v>0</v>
      </c>
      <c r="O233">
        <v>310.98719999999997</v>
      </c>
      <c r="P233">
        <v>1295.78</v>
      </c>
      <c r="Q233">
        <v>984.79279999999994</v>
      </c>
    </row>
    <row r="234" spans="1:17" x14ac:dyDescent="0.25">
      <c r="A234" s="2">
        <v>41701</v>
      </c>
      <c r="B234" s="2">
        <v>41705</v>
      </c>
      <c r="C234" s="1" t="s">
        <v>17</v>
      </c>
      <c r="D234" s="1" t="s">
        <v>615</v>
      </c>
      <c r="E234" s="1" t="s">
        <v>19</v>
      </c>
      <c r="F234" s="1" t="s">
        <v>20</v>
      </c>
      <c r="G234" s="1" t="s">
        <v>483</v>
      </c>
      <c r="H234" s="1" t="s">
        <v>46</v>
      </c>
      <c r="I234" s="1" t="s">
        <v>23</v>
      </c>
      <c r="J234" s="1" t="s">
        <v>32</v>
      </c>
      <c r="K234" s="1" t="s">
        <v>72</v>
      </c>
      <c r="L234" s="1" t="s">
        <v>616</v>
      </c>
      <c r="M234">
        <v>4</v>
      </c>
      <c r="N234">
        <v>0.2</v>
      </c>
      <c r="O234">
        <v>3.4047999999999998</v>
      </c>
      <c r="P234">
        <v>19.456</v>
      </c>
      <c r="Q234">
        <v>16.051200000000001</v>
      </c>
    </row>
    <row r="235" spans="1:17" x14ac:dyDescent="0.25">
      <c r="A235" s="2">
        <v>41896</v>
      </c>
      <c r="B235" s="2">
        <v>41900</v>
      </c>
      <c r="C235" s="1" t="s">
        <v>17</v>
      </c>
      <c r="D235" s="1" t="s">
        <v>617</v>
      </c>
      <c r="E235" s="1" t="s">
        <v>19</v>
      </c>
      <c r="F235" s="1" t="s">
        <v>20</v>
      </c>
      <c r="G235" s="1" t="s">
        <v>336</v>
      </c>
      <c r="H235" s="1" t="s">
        <v>38</v>
      </c>
      <c r="I235" s="1" t="s">
        <v>23</v>
      </c>
      <c r="J235" s="1" t="s">
        <v>32</v>
      </c>
      <c r="K235" s="1" t="s">
        <v>59</v>
      </c>
      <c r="L235" s="1" t="s">
        <v>618</v>
      </c>
      <c r="M235">
        <v>5</v>
      </c>
      <c r="N235">
        <v>0.2</v>
      </c>
      <c r="O235">
        <v>1.3</v>
      </c>
      <c r="P235">
        <v>13</v>
      </c>
      <c r="Q235">
        <v>11.7</v>
      </c>
    </row>
    <row r="236" spans="1:17" x14ac:dyDescent="0.25">
      <c r="A236" s="2">
        <v>42345</v>
      </c>
      <c r="B236" s="2">
        <v>42347</v>
      </c>
      <c r="C236" s="1" t="s">
        <v>107</v>
      </c>
      <c r="D236" s="1" t="s">
        <v>619</v>
      </c>
      <c r="E236" s="1" t="s">
        <v>19</v>
      </c>
      <c r="F236" s="1" t="s">
        <v>20</v>
      </c>
      <c r="G236" s="1" t="s">
        <v>50</v>
      </c>
      <c r="H236" s="1" t="s">
        <v>51</v>
      </c>
      <c r="I236" s="1" t="s">
        <v>31</v>
      </c>
      <c r="J236" s="1" t="s">
        <v>32</v>
      </c>
      <c r="K236" s="1" t="s">
        <v>128</v>
      </c>
      <c r="L236" s="1" t="s">
        <v>620</v>
      </c>
      <c r="M236">
        <v>2</v>
      </c>
      <c r="N236">
        <v>0</v>
      </c>
      <c r="O236">
        <v>0</v>
      </c>
      <c r="P236">
        <v>3.96</v>
      </c>
      <c r="Q236">
        <v>3.96</v>
      </c>
    </row>
    <row r="237" spans="1:17" x14ac:dyDescent="0.25">
      <c r="A237" s="2">
        <v>43076</v>
      </c>
      <c r="B237" s="2">
        <v>43079</v>
      </c>
      <c r="C237" s="1" t="s">
        <v>107</v>
      </c>
      <c r="D237" s="1" t="s">
        <v>621</v>
      </c>
      <c r="E237" s="1" t="s">
        <v>19</v>
      </c>
      <c r="F237" s="1" t="s">
        <v>20</v>
      </c>
      <c r="G237" s="1" t="s">
        <v>29</v>
      </c>
      <c r="H237" s="1" t="s">
        <v>30</v>
      </c>
      <c r="I237" s="1" t="s">
        <v>31</v>
      </c>
      <c r="J237" s="1" t="s">
        <v>99</v>
      </c>
      <c r="K237" s="1" t="s">
        <v>100</v>
      </c>
      <c r="L237" s="1" t="s">
        <v>622</v>
      </c>
      <c r="M237">
        <v>3</v>
      </c>
      <c r="N237">
        <v>0.2</v>
      </c>
      <c r="O237">
        <v>46.796999999999997</v>
      </c>
      <c r="P237">
        <v>374.37599999999998</v>
      </c>
      <c r="Q237">
        <v>327.57899999999995</v>
      </c>
    </row>
    <row r="238" spans="1:17" x14ac:dyDescent="0.25">
      <c r="A238" s="2">
        <v>43097</v>
      </c>
      <c r="B238" s="2">
        <v>43104</v>
      </c>
      <c r="C238" s="1" t="s">
        <v>35</v>
      </c>
      <c r="D238" s="1" t="s">
        <v>623</v>
      </c>
      <c r="E238" s="1" t="s">
        <v>19</v>
      </c>
      <c r="F238" s="1" t="s">
        <v>20</v>
      </c>
      <c r="G238" s="1" t="s">
        <v>126</v>
      </c>
      <c r="H238" s="1" t="s">
        <v>127</v>
      </c>
      <c r="I238" s="1" t="s">
        <v>81</v>
      </c>
      <c r="J238" s="1" t="s">
        <v>32</v>
      </c>
      <c r="K238" s="1" t="s">
        <v>33</v>
      </c>
      <c r="L238" s="1" t="s">
        <v>624</v>
      </c>
      <c r="M238">
        <v>7</v>
      </c>
      <c r="N238">
        <v>0</v>
      </c>
      <c r="O238">
        <v>34.776000000000003</v>
      </c>
      <c r="P238">
        <v>72.45</v>
      </c>
      <c r="Q238">
        <v>37.673999999999999</v>
      </c>
    </row>
    <row r="239" spans="1:17" x14ac:dyDescent="0.25">
      <c r="A239" s="2">
        <v>42677</v>
      </c>
      <c r="B239" s="2">
        <v>42681</v>
      </c>
      <c r="C239" s="1" t="s">
        <v>35</v>
      </c>
      <c r="D239" s="1" t="s">
        <v>625</v>
      </c>
      <c r="E239" s="1" t="s">
        <v>19</v>
      </c>
      <c r="F239" s="1" t="s">
        <v>20</v>
      </c>
      <c r="G239" s="1" t="s">
        <v>626</v>
      </c>
      <c r="H239" s="1" t="s">
        <v>51</v>
      </c>
      <c r="I239" s="1" t="s">
        <v>31</v>
      </c>
      <c r="J239" s="1" t="s">
        <v>32</v>
      </c>
      <c r="K239" s="1" t="s">
        <v>72</v>
      </c>
      <c r="L239" s="1" t="s">
        <v>627</v>
      </c>
      <c r="M239">
        <v>3</v>
      </c>
      <c r="N239">
        <v>0</v>
      </c>
      <c r="O239">
        <v>2.3814000000000002</v>
      </c>
      <c r="P239">
        <v>8.82</v>
      </c>
      <c r="Q239">
        <v>6.4386000000000001</v>
      </c>
    </row>
    <row r="240" spans="1:17" x14ac:dyDescent="0.25">
      <c r="A240" s="2">
        <v>42265</v>
      </c>
      <c r="B240" s="2">
        <v>42269</v>
      </c>
      <c r="C240" s="1" t="s">
        <v>17</v>
      </c>
      <c r="D240" s="1" t="s">
        <v>628</v>
      </c>
      <c r="E240" s="1" t="s">
        <v>19</v>
      </c>
      <c r="F240" s="1" t="s">
        <v>20</v>
      </c>
      <c r="G240" s="1" t="s">
        <v>400</v>
      </c>
      <c r="H240" s="1" t="s">
        <v>30</v>
      </c>
      <c r="I240" s="1" t="s">
        <v>31</v>
      </c>
      <c r="J240" s="1" t="s">
        <v>32</v>
      </c>
      <c r="K240" s="1" t="s">
        <v>47</v>
      </c>
      <c r="L240" s="1" t="s">
        <v>629</v>
      </c>
      <c r="M240">
        <v>14</v>
      </c>
      <c r="N240">
        <v>0</v>
      </c>
      <c r="O240">
        <v>78.752799999999993</v>
      </c>
      <c r="P240">
        <v>160.72</v>
      </c>
      <c r="Q240">
        <v>81.967200000000005</v>
      </c>
    </row>
    <row r="241" spans="1:17" x14ac:dyDescent="0.25">
      <c r="A241" s="2">
        <v>42936</v>
      </c>
      <c r="B241" s="2">
        <v>42942</v>
      </c>
      <c r="C241" s="1" t="s">
        <v>35</v>
      </c>
      <c r="D241" s="1" t="s">
        <v>630</v>
      </c>
      <c r="E241" s="1" t="s">
        <v>19</v>
      </c>
      <c r="F241" s="1" t="s">
        <v>20</v>
      </c>
      <c r="G241" s="1" t="s">
        <v>136</v>
      </c>
      <c r="H241" s="1" t="s">
        <v>98</v>
      </c>
      <c r="I241" s="1" t="s">
        <v>58</v>
      </c>
      <c r="J241" s="1" t="s">
        <v>32</v>
      </c>
      <c r="K241" s="1" t="s">
        <v>64</v>
      </c>
      <c r="L241" s="1" t="s">
        <v>631</v>
      </c>
      <c r="M241">
        <v>2</v>
      </c>
      <c r="N241">
        <v>0.2</v>
      </c>
      <c r="O241">
        <v>8.7140000000000004</v>
      </c>
      <c r="P241">
        <v>69.712000000000003</v>
      </c>
      <c r="Q241">
        <v>60.998000000000005</v>
      </c>
    </row>
    <row r="242" spans="1:17" x14ac:dyDescent="0.25">
      <c r="A242" s="2">
        <v>42257</v>
      </c>
      <c r="B242" s="2">
        <v>42261</v>
      </c>
      <c r="C242" s="1" t="s">
        <v>35</v>
      </c>
      <c r="D242" s="1" t="s">
        <v>632</v>
      </c>
      <c r="E242" s="1" t="s">
        <v>19</v>
      </c>
      <c r="F242" s="1" t="s">
        <v>20</v>
      </c>
      <c r="G242" s="1" t="s">
        <v>29</v>
      </c>
      <c r="H242" s="1" t="s">
        <v>30</v>
      </c>
      <c r="I242" s="1" t="s">
        <v>31</v>
      </c>
      <c r="J242" s="1" t="s">
        <v>32</v>
      </c>
      <c r="K242" s="1" t="s">
        <v>476</v>
      </c>
      <c r="L242" s="1" t="s">
        <v>633</v>
      </c>
      <c r="M242">
        <v>4</v>
      </c>
      <c r="N242">
        <v>0</v>
      </c>
      <c r="O242">
        <v>1.5456000000000001</v>
      </c>
      <c r="P242">
        <v>51.52</v>
      </c>
      <c r="Q242">
        <v>49.974400000000003</v>
      </c>
    </row>
    <row r="243" spans="1:17" x14ac:dyDescent="0.25">
      <c r="A243" s="2">
        <v>43070</v>
      </c>
      <c r="B243" s="2">
        <v>43074</v>
      </c>
      <c r="C243" s="1" t="s">
        <v>35</v>
      </c>
      <c r="D243" s="1" t="s">
        <v>634</v>
      </c>
      <c r="E243" s="1" t="s">
        <v>19</v>
      </c>
      <c r="F243" s="1" t="s">
        <v>20</v>
      </c>
      <c r="G243" s="1" t="s">
        <v>306</v>
      </c>
      <c r="H243" s="1" t="s">
        <v>198</v>
      </c>
      <c r="I243" s="1" t="s">
        <v>31</v>
      </c>
      <c r="J243" s="1" t="s">
        <v>99</v>
      </c>
      <c r="K243" s="1" t="s">
        <v>100</v>
      </c>
      <c r="L243" s="1" t="s">
        <v>635</v>
      </c>
      <c r="M243">
        <v>3</v>
      </c>
      <c r="N243">
        <v>0.2</v>
      </c>
      <c r="O243">
        <v>52.917299999999997</v>
      </c>
      <c r="P243">
        <v>470.37599999999998</v>
      </c>
      <c r="Q243">
        <v>417.45869999999996</v>
      </c>
    </row>
    <row r="244" spans="1:17" x14ac:dyDescent="0.25">
      <c r="A244" s="2">
        <v>42188</v>
      </c>
      <c r="B244" s="2">
        <v>42194</v>
      </c>
      <c r="C244" s="1" t="s">
        <v>35</v>
      </c>
      <c r="D244" s="1" t="s">
        <v>636</v>
      </c>
      <c r="E244" s="1" t="s">
        <v>19</v>
      </c>
      <c r="F244" s="1" t="s">
        <v>20</v>
      </c>
      <c r="G244" s="1" t="s">
        <v>496</v>
      </c>
      <c r="H244" s="1" t="s">
        <v>22</v>
      </c>
      <c r="I244" s="1" t="s">
        <v>23</v>
      </c>
      <c r="J244" s="1" t="s">
        <v>24</v>
      </c>
      <c r="K244" s="1" t="s">
        <v>82</v>
      </c>
      <c r="L244" s="1" t="s">
        <v>637</v>
      </c>
      <c r="M244">
        <v>1</v>
      </c>
      <c r="N244">
        <v>0</v>
      </c>
      <c r="O244">
        <v>4.9686000000000003</v>
      </c>
      <c r="P244">
        <v>70.98</v>
      </c>
      <c r="Q244">
        <v>66.011400000000009</v>
      </c>
    </row>
    <row r="245" spans="1:17" x14ac:dyDescent="0.25">
      <c r="A245" s="2">
        <v>42449</v>
      </c>
      <c r="B245" s="2">
        <v>42453</v>
      </c>
      <c r="C245" s="1" t="s">
        <v>35</v>
      </c>
      <c r="D245" s="1" t="s">
        <v>638</v>
      </c>
      <c r="E245" s="1" t="s">
        <v>19</v>
      </c>
      <c r="F245" s="1" t="s">
        <v>20</v>
      </c>
      <c r="G245" s="1" t="s">
        <v>639</v>
      </c>
      <c r="H245" s="1" t="s">
        <v>183</v>
      </c>
      <c r="I245" s="1" t="s">
        <v>31</v>
      </c>
      <c r="J245" s="1" t="s">
        <v>99</v>
      </c>
      <c r="K245" s="1" t="s">
        <v>100</v>
      </c>
      <c r="L245" s="1" t="s">
        <v>640</v>
      </c>
      <c r="M245">
        <v>2</v>
      </c>
      <c r="N245">
        <v>0.2</v>
      </c>
      <c r="O245">
        <v>-20.136199999999999</v>
      </c>
      <c r="P245">
        <v>84.784000000000006</v>
      </c>
      <c r="Q245">
        <v>104.92020000000001</v>
      </c>
    </row>
    <row r="246" spans="1:17" x14ac:dyDescent="0.25">
      <c r="A246" s="2">
        <v>41648</v>
      </c>
      <c r="B246" s="2">
        <v>41652</v>
      </c>
      <c r="C246" s="1" t="s">
        <v>35</v>
      </c>
      <c r="D246" s="1" t="s">
        <v>641</v>
      </c>
      <c r="E246" s="1" t="s">
        <v>19</v>
      </c>
      <c r="F246" s="1" t="s">
        <v>20</v>
      </c>
      <c r="G246" s="1" t="s">
        <v>642</v>
      </c>
      <c r="H246" s="1" t="s">
        <v>57</v>
      </c>
      <c r="I246" s="1" t="s">
        <v>58</v>
      </c>
      <c r="J246" s="1" t="s">
        <v>32</v>
      </c>
      <c r="K246" s="1" t="s">
        <v>72</v>
      </c>
      <c r="L246" s="1" t="s">
        <v>643</v>
      </c>
      <c r="M246">
        <v>2</v>
      </c>
      <c r="N246">
        <v>0.2</v>
      </c>
      <c r="O246">
        <v>1.1679999999999999</v>
      </c>
      <c r="P246">
        <v>9.3439999999999994</v>
      </c>
      <c r="Q246">
        <v>8.1760000000000002</v>
      </c>
    </row>
    <row r="247" spans="1:17" x14ac:dyDescent="0.25">
      <c r="A247" s="2">
        <v>41859</v>
      </c>
      <c r="B247" s="2">
        <v>41866</v>
      </c>
      <c r="C247" s="1" t="s">
        <v>35</v>
      </c>
      <c r="D247" s="1" t="s">
        <v>644</v>
      </c>
      <c r="E247" s="1" t="s">
        <v>19</v>
      </c>
      <c r="F247" s="1" t="s">
        <v>20</v>
      </c>
      <c r="G247" s="1" t="s">
        <v>345</v>
      </c>
      <c r="H247" s="1" t="s">
        <v>30</v>
      </c>
      <c r="I247" s="1" t="s">
        <v>31</v>
      </c>
      <c r="J247" s="1" t="s">
        <v>32</v>
      </c>
      <c r="K247" s="1" t="s">
        <v>59</v>
      </c>
      <c r="L247" s="1" t="s">
        <v>645</v>
      </c>
      <c r="M247">
        <v>2</v>
      </c>
      <c r="N247">
        <v>0</v>
      </c>
      <c r="O247">
        <v>22.0748</v>
      </c>
      <c r="P247">
        <v>76.12</v>
      </c>
      <c r="Q247">
        <v>54.045200000000008</v>
      </c>
    </row>
    <row r="248" spans="1:17" x14ac:dyDescent="0.25">
      <c r="A248" s="2">
        <v>42567</v>
      </c>
      <c r="B248" s="2">
        <v>42572</v>
      </c>
      <c r="C248" s="1" t="s">
        <v>35</v>
      </c>
      <c r="D248" s="1" t="s">
        <v>646</v>
      </c>
      <c r="E248" s="1" t="s">
        <v>19</v>
      </c>
      <c r="F248" s="1" t="s">
        <v>20</v>
      </c>
      <c r="G248" s="1" t="s">
        <v>79</v>
      </c>
      <c r="H248" s="1" t="s">
        <v>80</v>
      </c>
      <c r="I248" s="1" t="s">
        <v>81</v>
      </c>
      <c r="J248" s="1" t="s">
        <v>99</v>
      </c>
      <c r="K248" s="1" t="s">
        <v>100</v>
      </c>
      <c r="L248" s="1" t="s">
        <v>647</v>
      </c>
      <c r="M248">
        <v>3</v>
      </c>
      <c r="N248">
        <v>0.4</v>
      </c>
      <c r="O248">
        <v>-28.796399999999998</v>
      </c>
      <c r="P248">
        <v>143.982</v>
      </c>
      <c r="Q248">
        <v>172.7784</v>
      </c>
    </row>
    <row r="249" spans="1:17" x14ac:dyDescent="0.25">
      <c r="A249" s="2">
        <v>41713</v>
      </c>
      <c r="B249" s="2">
        <v>41717</v>
      </c>
      <c r="C249" s="1" t="s">
        <v>35</v>
      </c>
      <c r="D249" s="1" t="s">
        <v>648</v>
      </c>
      <c r="E249" s="1" t="s">
        <v>19</v>
      </c>
      <c r="F249" s="1" t="s">
        <v>20</v>
      </c>
      <c r="G249" s="1" t="s">
        <v>336</v>
      </c>
      <c r="H249" s="1" t="s">
        <v>38</v>
      </c>
      <c r="I249" s="1" t="s">
        <v>23</v>
      </c>
      <c r="J249" s="1" t="s">
        <v>32</v>
      </c>
      <c r="K249" s="1" t="s">
        <v>64</v>
      </c>
      <c r="L249" s="1" t="s">
        <v>649</v>
      </c>
      <c r="M249">
        <v>1</v>
      </c>
      <c r="N249">
        <v>0.2</v>
      </c>
      <c r="O249">
        <v>17.847000000000001</v>
      </c>
      <c r="P249">
        <v>142.77600000000001</v>
      </c>
      <c r="Q249">
        <v>124.929</v>
      </c>
    </row>
    <row r="250" spans="1:17" x14ac:dyDescent="0.25">
      <c r="A250" s="2">
        <v>41782</v>
      </c>
      <c r="B250" s="2">
        <v>41786</v>
      </c>
      <c r="C250" s="1" t="s">
        <v>35</v>
      </c>
      <c r="D250" s="1" t="s">
        <v>650</v>
      </c>
      <c r="E250" s="1" t="s">
        <v>19</v>
      </c>
      <c r="F250" s="1" t="s">
        <v>20</v>
      </c>
      <c r="G250" s="1" t="s">
        <v>79</v>
      </c>
      <c r="H250" s="1" t="s">
        <v>80</v>
      </c>
      <c r="I250" s="1" t="s">
        <v>81</v>
      </c>
      <c r="J250" s="1" t="s">
        <v>32</v>
      </c>
      <c r="K250" s="1" t="s">
        <v>52</v>
      </c>
      <c r="L250" s="1" t="s">
        <v>651</v>
      </c>
      <c r="M250">
        <v>2</v>
      </c>
      <c r="N250">
        <v>0.7</v>
      </c>
      <c r="O250">
        <v>-2.6255999999999999</v>
      </c>
      <c r="P250">
        <v>3.282</v>
      </c>
      <c r="Q250">
        <v>5.9076000000000004</v>
      </c>
    </row>
    <row r="251" spans="1:17" x14ac:dyDescent="0.25">
      <c r="A251" s="2">
        <v>42488</v>
      </c>
      <c r="B251" s="2">
        <v>42491</v>
      </c>
      <c r="C251" s="1" t="s">
        <v>107</v>
      </c>
      <c r="D251" s="1" t="s">
        <v>652</v>
      </c>
      <c r="E251" s="1" t="s">
        <v>28</v>
      </c>
      <c r="F251" s="1" t="s">
        <v>20</v>
      </c>
      <c r="G251" s="1" t="s">
        <v>309</v>
      </c>
      <c r="H251" s="1" t="s">
        <v>57</v>
      </c>
      <c r="I251" s="1" t="s">
        <v>58</v>
      </c>
      <c r="J251" s="1" t="s">
        <v>99</v>
      </c>
      <c r="K251" s="1" t="s">
        <v>100</v>
      </c>
      <c r="L251" s="1" t="s">
        <v>464</v>
      </c>
      <c r="M251">
        <v>3</v>
      </c>
      <c r="N251">
        <v>0.2</v>
      </c>
      <c r="O251">
        <v>41.577300000000001</v>
      </c>
      <c r="P251">
        <v>369.57600000000002</v>
      </c>
      <c r="Q251">
        <v>327.99870000000004</v>
      </c>
    </row>
    <row r="252" spans="1:17" x14ac:dyDescent="0.25">
      <c r="A252" s="2">
        <v>42624</v>
      </c>
      <c r="B252" s="2">
        <v>42626</v>
      </c>
      <c r="C252" s="1" t="s">
        <v>17</v>
      </c>
      <c r="D252" s="1" t="s">
        <v>653</v>
      </c>
      <c r="E252" s="1" t="s">
        <v>28</v>
      </c>
      <c r="F252" s="1" t="s">
        <v>20</v>
      </c>
      <c r="G252" s="1" t="s">
        <v>79</v>
      </c>
      <c r="H252" s="1" t="s">
        <v>80</v>
      </c>
      <c r="I252" s="1" t="s">
        <v>81</v>
      </c>
      <c r="J252" s="1" t="s">
        <v>32</v>
      </c>
      <c r="K252" s="1" t="s">
        <v>47</v>
      </c>
      <c r="L252" s="1" t="s">
        <v>654</v>
      </c>
      <c r="M252">
        <v>2</v>
      </c>
      <c r="N252">
        <v>0.2</v>
      </c>
      <c r="O252">
        <v>2.64</v>
      </c>
      <c r="P252">
        <v>8.4480000000000004</v>
      </c>
      <c r="Q252">
        <v>5.8079999999999998</v>
      </c>
    </row>
    <row r="253" spans="1:17" x14ac:dyDescent="0.25">
      <c r="A253" s="2">
        <v>43053</v>
      </c>
      <c r="B253" s="2">
        <v>43056</v>
      </c>
      <c r="C253" s="1" t="s">
        <v>17</v>
      </c>
      <c r="D253" s="1" t="s">
        <v>655</v>
      </c>
      <c r="E253" s="1" t="s">
        <v>19</v>
      </c>
      <c r="F253" s="1" t="s">
        <v>20</v>
      </c>
      <c r="G253" s="1" t="s">
        <v>656</v>
      </c>
      <c r="H253" s="1" t="s">
        <v>214</v>
      </c>
      <c r="I253" s="1" t="s">
        <v>81</v>
      </c>
      <c r="J253" s="1" t="s">
        <v>99</v>
      </c>
      <c r="K253" s="1" t="s">
        <v>100</v>
      </c>
      <c r="L253" s="1" t="s">
        <v>657</v>
      </c>
      <c r="M253">
        <v>10</v>
      </c>
      <c r="N253">
        <v>0.4</v>
      </c>
      <c r="O253">
        <v>15.992000000000001</v>
      </c>
      <c r="P253">
        <v>119.94</v>
      </c>
      <c r="Q253">
        <v>103.94799999999999</v>
      </c>
    </row>
    <row r="254" spans="1:17" x14ac:dyDescent="0.25">
      <c r="A254" s="2">
        <v>41999</v>
      </c>
      <c r="B254" s="2">
        <v>42004</v>
      </c>
      <c r="C254" s="1" t="s">
        <v>35</v>
      </c>
      <c r="D254" s="1" t="s">
        <v>658</v>
      </c>
      <c r="E254" s="1" t="s">
        <v>19</v>
      </c>
      <c r="F254" s="1" t="s">
        <v>20</v>
      </c>
      <c r="G254" s="1" t="s">
        <v>136</v>
      </c>
      <c r="H254" s="1" t="s">
        <v>98</v>
      </c>
      <c r="I254" s="1" t="s">
        <v>58</v>
      </c>
      <c r="J254" s="1" t="s">
        <v>32</v>
      </c>
      <c r="K254" s="1" t="s">
        <v>52</v>
      </c>
      <c r="L254" s="1" t="s">
        <v>659</v>
      </c>
      <c r="M254">
        <v>5</v>
      </c>
      <c r="N254">
        <v>0.8</v>
      </c>
      <c r="O254">
        <v>-14.773</v>
      </c>
      <c r="P254">
        <v>8.69</v>
      </c>
      <c r="Q254">
        <v>23.463000000000001</v>
      </c>
    </row>
    <row r="255" spans="1:17" x14ac:dyDescent="0.25">
      <c r="A255" s="2">
        <v>42337</v>
      </c>
      <c r="B255" s="2">
        <v>42341</v>
      </c>
      <c r="C255" s="1" t="s">
        <v>35</v>
      </c>
      <c r="D255" s="1" t="s">
        <v>660</v>
      </c>
      <c r="E255" s="1" t="s">
        <v>28</v>
      </c>
      <c r="F255" s="1" t="s">
        <v>20</v>
      </c>
      <c r="G255" s="1" t="s">
        <v>661</v>
      </c>
      <c r="H255" s="1" t="s">
        <v>115</v>
      </c>
      <c r="I255" s="1" t="s">
        <v>58</v>
      </c>
      <c r="J255" s="1" t="s">
        <v>24</v>
      </c>
      <c r="K255" s="1" t="s">
        <v>82</v>
      </c>
      <c r="L255" s="1" t="s">
        <v>662</v>
      </c>
      <c r="M255">
        <v>2</v>
      </c>
      <c r="N255">
        <v>0</v>
      </c>
      <c r="O255">
        <v>87.568399999999997</v>
      </c>
      <c r="P255">
        <v>301.95999999999998</v>
      </c>
      <c r="Q255">
        <v>214.39159999999998</v>
      </c>
    </row>
    <row r="256" spans="1:17" x14ac:dyDescent="0.25">
      <c r="A256" s="2">
        <v>42874</v>
      </c>
      <c r="B256" s="2">
        <v>42878</v>
      </c>
      <c r="C256" s="1" t="s">
        <v>35</v>
      </c>
      <c r="D256" s="1" t="s">
        <v>663</v>
      </c>
      <c r="E256" s="1" t="s">
        <v>19</v>
      </c>
      <c r="F256" s="1" t="s">
        <v>20</v>
      </c>
      <c r="G256" s="1" t="s">
        <v>50</v>
      </c>
      <c r="H256" s="1" t="s">
        <v>51</v>
      </c>
      <c r="I256" s="1" t="s">
        <v>31</v>
      </c>
      <c r="J256" s="1" t="s">
        <v>32</v>
      </c>
      <c r="K256" s="1" t="s">
        <v>59</v>
      </c>
      <c r="L256" s="1" t="s">
        <v>664</v>
      </c>
      <c r="M256">
        <v>2</v>
      </c>
      <c r="N256">
        <v>0</v>
      </c>
      <c r="O256">
        <v>28.176400000000001</v>
      </c>
      <c r="P256">
        <v>97.16</v>
      </c>
      <c r="Q256">
        <v>68.983599999999996</v>
      </c>
    </row>
    <row r="257" spans="1:17" x14ac:dyDescent="0.25">
      <c r="A257" s="2">
        <v>43002</v>
      </c>
      <c r="B257" s="2">
        <v>43004</v>
      </c>
      <c r="C257" s="1" t="s">
        <v>17</v>
      </c>
      <c r="D257" s="1" t="s">
        <v>578</v>
      </c>
      <c r="E257" s="1" t="s">
        <v>19</v>
      </c>
      <c r="F257" s="1" t="s">
        <v>20</v>
      </c>
      <c r="G257" s="1" t="s">
        <v>481</v>
      </c>
      <c r="H257" s="1" t="s">
        <v>38</v>
      </c>
      <c r="I257" s="1" t="s">
        <v>23</v>
      </c>
      <c r="J257" s="1" t="s">
        <v>99</v>
      </c>
      <c r="K257" s="1" t="s">
        <v>111</v>
      </c>
      <c r="L257" s="1" t="s">
        <v>665</v>
      </c>
      <c r="M257">
        <v>3</v>
      </c>
      <c r="N257">
        <v>0.2</v>
      </c>
      <c r="O257">
        <v>2.4584999999999999</v>
      </c>
      <c r="P257">
        <v>17.88</v>
      </c>
      <c r="Q257">
        <v>15.421499999999998</v>
      </c>
    </row>
    <row r="258" spans="1:17" x14ac:dyDescent="0.25">
      <c r="A258" s="2">
        <v>42281</v>
      </c>
      <c r="B258" s="2">
        <v>42286</v>
      </c>
      <c r="C258" s="1" t="s">
        <v>17</v>
      </c>
      <c r="D258" s="1" t="s">
        <v>666</v>
      </c>
      <c r="E258" s="1" t="s">
        <v>28</v>
      </c>
      <c r="F258" s="1" t="s">
        <v>20</v>
      </c>
      <c r="G258" s="1" t="s">
        <v>667</v>
      </c>
      <c r="H258" s="1" t="s">
        <v>429</v>
      </c>
      <c r="I258" s="1" t="s">
        <v>23</v>
      </c>
      <c r="J258" s="1" t="s">
        <v>24</v>
      </c>
      <c r="K258" s="1" t="s">
        <v>82</v>
      </c>
      <c r="L258" s="1" t="s">
        <v>668</v>
      </c>
      <c r="M258">
        <v>3</v>
      </c>
      <c r="N258">
        <v>0</v>
      </c>
      <c r="O258">
        <v>43.223399999999998</v>
      </c>
      <c r="P258">
        <v>392.94</v>
      </c>
      <c r="Q258">
        <v>349.71659999999997</v>
      </c>
    </row>
    <row r="259" spans="1:17" x14ac:dyDescent="0.25">
      <c r="A259" s="2">
        <v>42597</v>
      </c>
      <c r="B259" s="2">
        <v>42603</v>
      </c>
      <c r="C259" s="1" t="s">
        <v>35</v>
      </c>
      <c r="D259" s="1" t="s">
        <v>669</v>
      </c>
      <c r="E259" s="1" t="s">
        <v>19</v>
      </c>
      <c r="F259" s="1" t="s">
        <v>20</v>
      </c>
      <c r="G259" s="1" t="s">
        <v>197</v>
      </c>
      <c r="H259" s="1" t="s">
        <v>198</v>
      </c>
      <c r="I259" s="1" t="s">
        <v>31</v>
      </c>
      <c r="J259" s="1" t="s">
        <v>32</v>
      </c>
      <c r="K259" s="1" t="s">
        <v>52</v>
      </c>
      <c r="L259" s="1" t="s">
        <v>670</v>
      </c>
      <c r="M259">
        <v>3</v>
      </c>
      <c r="N259">
        <v>0.7</v>
      </c>
      <c r="O259">
        <v>-13.8468</v>
      </c>
      <c r="P259">
        <v>18.882000000000001</v>
      </c>
      <c r="Q259">
        <v>32.7288</v>
      </c>
    </row>
    <row r="260" spans="1:17" x14ac:dyDescent="0.25">
      <c r="A260" s="2">
        <v>42510</v>
      </c>
      <c r="B260" s="2">
        <v>42515</v>
      </c>
      <c r="C260" s="1" t="s">
        <v>35</v>
      </c>
      <c r="D260" s="1" t="s">
        <v>192</v>
      </c>
      <c r="E260" s="1" t="s">
        <v>55</v>
      </c>
      <c r="F260" s="1" t="s">
        <v>20</v>
      </c>
      <c r="G260" s="1" t="s">
        <v>671</v>
      </c>
      <c r="H260" s="1" t="s">
        <v>30</v>
      </c>
      <c r="I260" s="1" t="s">
        <v>31</v>
      </c>
      <c r="J260" s="1" t="s">
        <v>24</v>
      </c>
      <c r="K260" s="1" t="s">
        <v>42</v>
      </c>
      <c r="L260" s="1" t="s">
        <v>672</v>
      </c>
      <c r="M260">
        <v>5</v>
      </c>
      <c r="N260">
        <v>0</v>
      </c>
      <c r="O260">
        <v>272.79199999999997</v>
      </c>
      <c r="P260">
        <v>1049.2</v>
      </c>
      <c r="Q260">
        <v>776.40800000000013</v>
      </c>
    </row>
    <row r="261" spans="1:17" x14ac:dyDescent="0.25">
      <c r="A261" s="2">
        <v>42722</v>
      </c>
      <c r="B261" s="2">
        <v>42726</v>
      </c>
      <c r="C261" s="1" t="s">
        <v>35</v>
      </c>
      <c r="D261" s="1" t="s">
        <v>673</v>
      </c>
      <c r="E261" s="1" t="s">
        <v>28</v>
      </c>
      <c r="F261" s="1" t="s">
        <v>20</v>
      </c>
      <c r="G261" s="1" t="s">
        <v>179</v>
      </c>
      <c r="H261" s="1" t="s">
        <v>110</v>
      </c>
      <c r="I261" s="1" t="s">
        <v>58</v>
      </c>
      <c r="J261" s="1" t="s">
        <v>24</v>
      </c>
      <c r="K261" s="1" t="s">
        <v>42</v>
      </c>
      <c r="L261" s="1" t="s">
        <v>674</v>
      </c>
      <c r="M261">
        <v>3</v>
      </c>
      <c r="N261">
        <v>0</v>
      </c>
      <c r="O261">
        <v>6.0288000000000004</v>
      </c>
      <c r="P261">
        <v>18.84</v>
      </c>
      <c r="Q261">
        <v>12.811199999999999</v>
      </c>
    </row>
    <row r="262" spans="1:17" x14ac:dyDescent="0.25">
      <c r="A262" s="2">
        <v>42946</v>
      </c>
      <c r="B262" s="2">
        <v>42950</v>
      </c>
      <c r="C262" s="1" t="s">
        <v>17</v>
      </c>
      <c r="D262" s="1" t="s">
        <v>675</v>
      </c>
      <c r="E262" s="1" t="s">
        <v>19</v>
      </c>
      <c r="F262" s="1" t="s">
        <v>20</v>
      </c>
      <c r="G262" s="1" t="s">
        <v>676</v>
      </c>
      <c r="H262" s="1" t="s">
        <v>30</v>
      </c>
      <c r="I262" s="1" t="s">
        <v>31</v>
      </c>
      <c r="J262" s="1" t="s">
        <v>32</v>
      </c>
      <c r="K262" s="1" t="s">
        <v>64</v>
      </c>
      <c r="L262" s="1" t="s">
        <v>677</v>
      </c>
      <c r="M262">
        <v>2</v>
      </c>
      <c r="N262">
        <v>0</v>
      </c>
      <c r="O262">
        <v>85.903999999999996</v>
      </c>
      <c r="P262">
        <v>330.4</v>
      </c>
      <c r="Q262">
        <v>244.49599999999998</v>
      </c>
    </row>
    <row r="263" spans="1:17" x14ac:dyDescent="0.25">
      <c r="A263" s="2">
        <v>42896</v>
      </c>
      <c r="B263" s="2">
        <v>42901</v>
      </c>
      <c r="C263" s="1" t="s">
        <v>35</v>
      </c>
      <c r="D263" s="1" t="s">
        <v>678</v>
      </c>
      <c r="E263" s="1" t="s">
        <v>19</v>
      </c>
      <c r="F263" s="1" t="s">
        <v>20</v>
      </c>
      <c r="G263" s="1" t="s">
        <v>679</v>
      </c>
      <c r="H263" s="1" t="s">
        <v>115</v>
      </c>
      <c r="I263" s="1" t="s">
        <v>58</v>
      </c>
      <c r="J263" s="1" t="s">
        <v>99</v>
      </c>
      <c r="K263" s="1" t="s">
        <v>111</v>
      </c>
      <c r="L263" s="1" t="s">
        <v>680</v>
      </c>
      <c r="M263">
        <v>4</v>
      </c>
      <c r="N263">
        <v>0</v>
      </c>
      <c r="O263">
        <v>54.333199999999998</v>
      </c>
      <c r="P263">
        <v>132.52000000000001</v>
      </c>
      <c r="Q263">
        <v>78.186800000000005</v>
      </c>
    </row>
    <row r="264" spans="1:17" x14ac:dyDescent="0.25">
      <c r="A264" s="2">
        <v>42937</v>
      </c>
      <c r="B264" s="2">
        <v>42941</v>
      </c>
      <c r="C264" s="1" t="s">
        <v>35</v>
      </c>
      <c r="D264" s="1" t="s">
        <v>245</v>
      </c>
      <c r="E264" s="1" t="s">
        <v>55</v>
      </c>
      <c r="F264" s="1" t="s">
        <v>20</v>
      </c>
      <c r="G264" s="1" t="s">
        <v>681</v>
      </c>
      <c r="H264" s="1" t="s">
        <v>298</v>
      </c>
      <c r="I264" s="1" t="s">
        <v>81</v>
      </c>
      <c r="J264" s="1" t="s">
        <v>32</v>
      </c>
      <c r="K264" s="1" t="s">
        <v>47</v>
      </c>
      <c r="L264" s="1" t="s">
        <v>682</v>
      </c>
      <c r="M264">
        <v>1</v>
      </c>
      <c r="N264">
        <v>0</v>
      </c>
      <c r="O264">
        <v>3.1751999999999998</v>
      </c>
      <c r="P264">
        <v>6.48</v>
      </c>
      <c r="Q264">
        <v>3.3048000000000006</v>
      </c>
    </row>
    <row r="265" spans="1:17" x14ac:dyDescent="0.25">
      <c r="A265" s="2">
        <v>43099</v>
      </c>
      <c r="B265" s="2">
        <v>43105</v>
      </c>
      <c r="C265" s="1" t="s">
        <v>35</v>
      </c>
      <c r="D265" s="1" t="s">
        <v>683</v>
      </c>
      <c r="E265" s="1" t="s">
        <v>55</v>
      </c>
      <c r="F265" s="1" t="s">
        <v>20</v>
      </c>
      <c r="G265" s="1" t="s">
        <v>213</v>
      </c>
      <c r="H265" s="1" t="s">
        <v>123</v>
      </c>
      <c r="I265" s="1" t="s">
        <v>58</v>
      </c>
      <c r="J265" s="1" t="s">
        <v>32</v>
      </c>
      <c r="K265" s="1" t="s">
        <v>59</v>
      </c>
      <c r="L265" s="1" t="s">
        <v>684</v>
      </c>
      <c r="M265">
        <v>2</v>
      </c>
      <c r="N265">
        <v>0</v>
      </c>
      <c r="O265">
        <v>56.511000000000003</v>
      </c>
      <c r="P265">
        <v>209.3</v>
      </c>
      <c r="Q265">
        <v>152.78900000000002</v>
      </c>
    </row>
    <row r="266" spans="1:17" x14ac:dyDescent="0.25">
      <c r="A266" s="2">
        <v>42461</v>
      </c>
      <c r="B266" s="2">
        <v>42468</v>
      </c>
      <c r="C266" s="1" t="s">
        <v>35</v>
      </c>
      <c r="D266" s="1" t="s">
        <v>685</v>
      </c>
      <c r="E266" s="1" t="s">
        <v>28</v>
      </c>
      <c r="F266" s="1" t="s">
        <v>20</v>
      </c>
      <c r="G266" s="1" t="s">
        <v>686</v>
      </c>
      <c r="H266" s="1" t="s">
        <v>140</v>
      </c>
      <c r="I266" s="1" t="s">
        <v>31</v>
      </c>
      <c r="J266" s="1" t="s">
        <v>32</v>
      </c>
      <c r="K266" s="1" t="s">
        <v>128</v>
      </c>
      <c r="L266" s="1" t="s">
        <v>580</v>
      </c>
      <c r="M266">
        <v>5</v>
      </c>
      <c r="N266">
        <v>0.2</v>
      </c>
      <c r="O266">
        <v>9.8625000000000007</v>
      </c>
      <c r="P266">
        <v>31.56</v>
      </c>
      <c r="Q266">
        <v>21.697499999999998</v>
      </c>
    </row>
    <row r="267" spans="1:17" x14ac:dyDescent="0.25">
      <c r="A267" s="2">
        <v>42715</v>
      </c>
      <c r="B267" s="2">
        <v>42720</v>
      </c>
      <c r="C267" s="1" t="s">
        <v>17</v>
      </c>
      <c r="D267" s="1" t="s">
        <v>687</v>
      </c>
      <c r="E267" s="1" t="s">
        <v>28</v>
      </c>
      <c r="F267" s="1" t="s">
        <v>20</v>
      </c>
      <c r="G267" s="1" t="s">
        <v>688</v>
      </c>
      <c r="H267" s="1" t="s">
        <v>51</v>
      </c>
      <c r="I267" s="1" t="s">
        <v>31</v>
      </c>
      <c r="J267" s="1" t="s">
        <v>24</v>
      </c>
      <c r="K267" s="1" t="s">
        <v>42</v>
      </c>
      <c r="L267" s="1" t="s">
        <v>689</v>
      </c>
      <c r="M267">
        <v>4</v>
      </c>
      <c r="N267">
        <v>0</v>
      </c>
      <c r="O267">
        <v>6.0679999999999996</v>
      </c>
      <c r="P267">
        <v>14.8</v>
      </c>
      <c r="Q267">
        <v>8.7320000000000011</v>
      </c>
    </row>
    <row r="268" spans="1:17" x14ac:dyDescent="0.25">
      <c r="A268" s="2">
        <v>42905</v>
      </c>
      <c r="B268" s="2">
        <v>42909</v>
      </c>
      <c r="C268" s="1" t="s">
        <v>35</v>
      </c>
      <c r="D268" s="1" t="s">
        <v>447</v>
      </c>
      <c r="E268" s="1" t="s">
        <v>28</v>
      </c>
      <c r="F268" s="1" t="s">
        <v>20</v>
      </c>
      <c r="G268" s="1" t="s">
        <v>126</v>
      </c>
      <c r="H268" s="1" t="s">
        <v>127</v>
      </c>
      <c r="I268" s="1" t="s">
        <v>81</v>
      </c>
      <c r="J268" s="1" t="s">
        <v>32</v>
      </c>
      <c r="K268" s="1" t="s">
        <v>47</v>
      </c>
      <c r="L268" s="1" t="s">
        <v>690</v>
      </c>
      <c r="M268">
        <v>2</v>
      </c>
      <c r="N268">
        <v>0</v>
      </c>
      <c r="O268">
        <v>45.9754</v>
      </c>
      <c r="P268">
        <v>97.82</v>
      </c>
      <c r="Q268">
        <v>51.844599999999993</v>
      </c>
    </row>
    <row r="269" spans="1:17" x14ac:dyDescent="0.25">
      <c r="A269" s="2">
        <v>42604</v>
      </c>
      <c r="B269" s="2">
        <v>42610</v>
      </c>
      <c r="C269" s="1" t="s">
        <v>35</v>
      </c>
      <c r="D269" s="1" t="s">
        <v>691</v>
      </c>
      <c r="E269" s="1" t="s">
        <v>19</v>
      </c>
      <c r="F269" s="1" t="s">
        <v>20</v>
      </c>
      <c r="G269" s="1" t="s">
        <v>213</v>
      </c>
      <c r="H269" s="1" t="s">
        <v>214</v>
      </c>
      <c r="I269" s="1" t="s">
        <v>81</v>
      </c>
      <c r="J269" s="1" t="s">
        <v>32</v>
      </c>
      <c r="K269" s="1" t="s">
        <v>59</v>
      </c>
      <c r="L269" s="1" t="s">
        <v>692</v>
      </c>
      <c r="M269">
        <v>2</v>
      </c>
      <c r="N269">
        <v>0.2</v>
      </c>
      <c r="O269">
        <v>8.5164000000000009</v>
      </c>
      <c r="P269">
        <v>113.55200000000001</v>
      </c>
      <c r="Q269">
        <v>105.0356</v>
      </c>
    </row>
    <row r="270" spans="1:17" x14ac:dyDescent="0.25">
      <c r="A270" s="2">
        <v>42632</v>
      </c>
      <c r="B270" s="2">
        <v>42632</v>
      </c>
      <c r="C270" s="1" t="s">
        <v>434</v>
      </c>
      <c r="D270" s="1" t="s">
        <v>693</v>
      </c>
      <c r="E270" s="1" t="s">
        <v>55</v>
      </c>
      <c r="F270" s="1" t="s">
        <v>20</v>
      </c>
      <c r="G270" s="1" t="s">
        <v>197</v>
      </c>
      <c r="H270" s="1" t="s">
        <v>98</v>
      </c>
      <c r="I270" s="1" t="s">
        <v>58</v>
      </c>
      <c r="J270" s="1" t="s">
        <v>24</v>
      </c>
      <c r="K270" s="1" t="s">
        <v>82</v>
      </c>
      <c r="L270" s="1" t="s">
        <v>694</v>
      </c>
      <c r="M270">
        <v>2</v>
      </c>
      <c r="N270">
        <v>0.3</v>
      </c>
      <c r="O270">
        <v>-50.097999999999999</v>
      </c>
      <c r="P270">
        <v>701.37199999999996</v>
      </c>
      <c r="Q270">
        <v>751.46999999999991</v>
      </c>
    </row>
    <row r="271" spans="1:17" x14ac:dyDescent="0.25">
      <c r="A271" s="2">
        <v>42240</v>
      </c>
      <c r="B271" s="2">
        <v>42244</v>
      </c>
      <c r="C271" s="1" t="s">
        <v>35</v>
      </c>
      <c r="D271" s="1" t="s">
        <v>293</v>
      </c>
      <c r="E271" s="1" t="s">
        <v>19</v>
      </c>
      <c r="F271" s="1" t="s">
        <v>20</v>
      </c>
      <c r="G271" s="1" t="s">
        <v>384</v>
      </c>
      <c r="H271" s="1" t="s">
        <v>57</v>
      </c>
      <c r="I271" s="1" t="s">
        <v>58</v>
      </c>
      <c r="J271" s="1" t="s">
        <v>32</v>
      </c>
      <c r="K271" s="1" t="s">
        <v>64</v>
      </c>
      <c r="L271" s="1" t="s">
        <v>649</v>
      </c>
      <c r="M271">
        <v>7</v>
      </c>
      <c r="N271">
        <v>0.2</v>
      </c>
      <c r="O271">
        <v>124.929</v>
      </c>
      <c r="P271">
        <v>999.43200000000002</v>
      </c>
      <c r="Q271">
        <v>874.50300000000004</v>
      </c>
    </row>
    <row r="272" spans="1:17" x14ac:dyDescent="0.25">
      <c r="A272" s="2">
        <v>42455</v>
      </c>
      <c r="B272" s="2">
        <v>42459</v>
      </c>
      <c r="C272" s="1" t="s">
        <v>35</v>
      </c>
      <c r="D272" s="1" t="s">
        <v>695</v>
      </c>
      <c r="E272" s="1" t="s">
        <v>28</v>
      </c>
      <c r="F272" s="1" t="s">
        <v>20</v>
      </c>
      <c r="G272" s="1" t="s">
        <v>126</v>
      </c>
      <c r="H272" s="1" t="s">
        <v>127</v>
      </c>
      <c r="I272" s="1" t="s">
        <v>81</v>
      </c>
      <c r="J272" s="1" t="s">
        <v>32</v>
      </c>
      <c r="K272" s="1" t="s">
        <v>64</v>
      </c>
      <c r="L272" s="1" t="s">
        <v>696</v>
      </c>
      <c r="M272">
        <v>5</v>
      </c>
      <c r="N272">
        <v>0</v>
      </c>
      <c r="O272">
        <v>18.398</v>
      </c>
      <c r="P272">
        <v>459.95</v>
      </c>
      <c r="Q272">
        <v>441.55199999999996</v>
      </c>
    </row>
    <row r="273" spans="1:17" x14ac:dyDescent="0.25">
      <c r="A273" s="2">
        <v>42678</v>
      </c>
      <c r="B273" s="2">
        <v>42678</v>
      </c>
      <c r="C273" s="1" t="s">
        <v>434</v>
      </c>
      <c r="D273" s="1" t="s">
        <v>356</v>
      </c>
      <c r="E273" s="1" t="s">
        <v>19</v>
      </c>
      <c r="F273" s="1" t="s">
        <v>20</v>
      </c>
      <c r="G273" s="1" t="s">
        <v>499</v>
      </c>
      <c r="H273" s="1" t="s">
        <v>22</v>
      </c>
      <c r="I273" s="1" t="s">
        <v>23</v>
      </c>
      <c r="J273" s="1" t="s">
        <v>32</v>
      </c>
      <c r="K273" s="1" t="s">
        <v>128</v>
      </c>
      <c r="L273" s="1" t="s">
        <v>215</v>
      </c>
      <c r="M273">
        <v>3</v>
      </c>
      <c r="N273">
        <v>0</v>
      </c>
      <c r="O273">
        <v>5.2625999999999999</v>
      </c>
      <c r="P273">
        <v>10.74</v>
      </c>
      <c r="Q273">
        <v>5.4774000000000003</v>
      </c>
    </row>
    <row r="274" spans="1:17" x14ac:dyDescent="0.25">
      <c r="A274" s="2">
        <v>42894</v>
      </c>
      <c r="B274" s="2">
        <v>42896</v>
      </c>
      <c r="C274" s="1" t="s">
        <v>17</v>
      </c>
      <c r="D274" s="1" t="s">
        <v>697</v>
      </c>
      <c r="E274" s="1" t="s">
        <v>28</v>
      </c>
      <c r="F274" s="1" t="s">
        <v>20</v>
      </c>
      <c r="G274" s="1" t="s">
        <v>309</v>
      </c>
      <c r="H274" s="1" t="s">
        <v>57</v>
      </c>
      <c r="I274" s="1" t="s">
        <v>58</v>
      </c>
      <c r="J274" s="1" t="s">
        <v>32</v>
      </c>
      <c r="K274" s="1" t="s">
        <v>476</v>
      </c>
      <c r="L274" s="1" t="s">
        <v>698</v>
      </c>
      <c r="M274">
        <v>3</v>
      </c>
      <c r="N274">
        <v>0.2</v>
      </c>
      <c r="O274">
        <v>2.0790000000000002</v>
      </c>
      <c r="P274">
        <v>23.76</v>
      </c>
      <c r="Q274">
        <v>21.681000000000001</v>
      </c>
    </row>
    <row r="275" spans="1:17" x14ac:dyDescent="0.25">
      <c r="A275" s="2">
        <v>42901</v>
      </c>
      <c r="B275" s="2">
        <v>42908</v>
      </c>
      <c r="C275" s="1" t="s">
        <v>35</v>
      </c>
      <c r="D275" s="1" t="s">
        <v>421</v>
      </c>
      <c r="E275" s="1" t="s">
        <v>19</v>
      </c>
      <c r="F275" s="1" t="s">
        <v>20</v>
      </c>
      <c r="G275" s="1" t="s">
        <v>445</v>
      </c>
      <c r="H275" s="1" t="s">
        <v>98</v>
      </c>
      <c r="I275" s="1" t="s">
        <v>58</v>
      </c>
      <c r="J275" s="1" t="s">
        <v>32</v>
      </c>
      <c r="K275" s="1" t="s">
        <v>72</v>
      </c>
      <c r="L275" s="1" t="s">
        <v>699</v>
      </c>
      <c r="M275">
        <v>5</v>
      </c>
      <c r="N275">
        <v>0.2</v>
      </c>
      <c r="O275">
        <v>1.7115</v>
      </c>
      <c r="P275">
        <v>19.559999999999999</v>
      </c>
      <c r="Q275">
        <v>17.848499999999998</v>
      </c>
    </row>
    <row r="276" spans="1:17" x14ac:dyDescent="0.25">
      <c r="A276" s="2">
        <v>43074</v>
      </c>
      <c r="B276" s="2">
        <v>43077</v>
      </c>
      <c r="C276" s="1" t="s">
        <v>107</v>
      </c>
      <c r="D276" s="1" t="s">
        <v>700</v>
      </c>
      <c r="E276" s="1" t="s">
        <v>19</v>
      </c>
      <c r="F276" s="1" t="s">
        <v>20</v>
      </c>
      <c r="G276" s="1" t="s">
        <v>213</v>
      </c>
      <c r="H276" s="1" t="s">
        <v>123</v>
      </c>
      <c r="I276" s="1" t="s">
        <v>58</v>
      </c>
      <c r="J276" s="1" t="s">
        <v>32</v>
      </c>
      <c r="K276" s="1" t="s">
        <v>59</v>
      </c>
      <c r="L276" s="1" t="s">
        <v>701</v>
      </c>
      <c r="M276">
        <v>3</v>
      </c>
      <c r="N276">
        <v>0</v>
      </c>
      <c r="O276">
        <v>16.588799999999999</v>
      </c>
      <c r="P276">
        <v>61.44</v>
      </c>
      <c r="Q276">
        <v>44.851199999999999</v>
      </c>
    </row>
    <row r="277" spans="1:17" x14ac:dyDescent="0.25">
      <c r="A277" s="2">
        <v>42812</v>
      </c>
      <c r="B277" s="2">
        <v>42817</v>
      </c>
      <c r="C277" s="1" t="s">
        <v>35</v>
      </c>
      <c r="D277" s="1" t="s">
        <v>702</v>
      </c>
      <c r="E277" s="1" t="s">
        <v>19</v>
      </c>
      <c r="F277" s="1" t="s">
        <v>20</v>
      </c>
      <c r="G277" s="1" t="s">
        <v>703</v>
      </c>
      <c r="H277" s="1" t="s">
        <v>57</v>
      </c>
      <c r="I277" s="1" t="s">
        <v>58</v>
      </c>
      <c r="J277" s="1" t="s">
        <v>32</v>
      </c>
      <c r="K277" s="1" t="s">
        <v>59</v>
      </c>
      <c r="L277" s="1" t="s">
        <v>704</v>
      </c>
      <c r="M277">
        <v>3</v>
      </c>
      <c r="N277">
        <v>0.8</v>
      </c>
      <c r="O277">
        <v>-7.3920000000000003</v>
      </c>
      <c r="P277">
        <v>2.6880000000000002</v>
      </c>
      <c r="Q277">
        <v>10.08</v>
      </c>
    </row>
    <row r="278" spans="1:17" x14ac:dyDescent="0.25">
      <c r="A278" s="2">
        <v>43043</v>
      </c>
      <c r="B278" s="2">
        <v>43043</v>
      </c>
      <c r="C278" s="1" t="s">
        <v>434</v>
      </c>
      <c r="D278" s="1" t="s">
        <v>705</v>
      </c>
      <c r="E278" s="1" t="s">
        <v>28</v>
      </c>
      <c r="F278" s="1" t="s">
        <v>20</v>
      </c>
      <c r="G278" s="1" t="s">
        <v>706</v>
      </c>
      <c r="H278" s="1" t="s">
        <v>46</v>
      </c>
      <c r="I278" s="1" t="s">
        <v>23</v>
      </c>
      <c r="J278" s="1" t="s">
        <v>99</v>
      </c>
      <c r="K278" s="1" t="s">
        <v>354</v>
      </c>
      <c r="L278" s="1" t="s">
        <v>707</v>
      </c>
      <c r="M278">
        <v>4</v>
      </c>
      <c r="N278">
        <v>0.5</v>
      </c>
      <c r="O278">
        <v>-3839.9904000000001</v>
      </c>
      <c r="P278">
        <v>7999.98</v>
      </c>
      <c r="Q278">
        <v>11839.9704</v>
      </c>
    </row>
    <row r="279" spans="1:17" x14ac:dyDescent="0.25">
      <c r="A279" s="2">
        <v>41825</v>
      </c>
      <c r="B279" s="2">
        <v>41828</v>
      </c>
      <c r="C279" s="1" t="s">
        <v>107</v>
      </c>
      <c r="D279" s="1" t="s">
        <v>708</v>
      </c>
      <c r="E279" s="1" t="s">
        <v>19</v>
      </c>
      <c r="F279" s="1" t="s">
        <v>20</v>
      </c>
      <c r="G279" s="1" t="s">
        <v>148</v>
      </c>
      <c r="H279" s="1" t="s">
        <v>502</v>
      </c>
      <c r="I279" s="1" t="s">
        <v>23</v>
      </c>
      <c r="J279" s="1" t="s">
        <v>99</v>
      </c>
      <c r="K279" s="1" t="s">
        <v>111</v>
      </c>
      <c r="L279" s="1" t="s">
        <v>709</v>
      </c>
      <c r="M279">
        <v>3</v>
      </c>
      <c r="N279">
        <v>0</v>
      </c>
      <c r="O279">
        <v>163.18979999999999</v>
      </c>
      <c r="P279">
        <v>479.97</v>
      </c>
      <c r="Q279">
        <v>316.78020000000004</v>
      </c>
    </row>
    <row r="280" spans="1:17" x14ac:dyDescent="0.25">
      <c r="A280" s="2">
        <v>41811</v>
      </c>
      <c r="B280" s="2">
        <v>41813</v>
      </c>
      <c r="C280" s="1" t="s">
        <v>17</v>
      </c>
      <c r="D280" s="1" t="s">
        <v>710</v>
      </c>
      <c r="E280" s="1" t="s">
        <v>19</v>
      </c>
      <c r="F280" s="1" t="s">
        <v>20</v>
      </c>
      <c r="G280" s="1" t="s">
        <v>711</v>
      </c>
      <c r="H280" s="1" t="s">
        <v>144</v>
      </c>
      <c r="I280" s="1" t="s">
        <v>23</v>
      </c>
      <c r="J280" s="1" t="s">
        <v>24</v>
      </c>
      <c r="K280" s="1" t="s">
        <v>42</v>
      </c>
      <c r="L280" s="1" t="s">
        <v>712</v>
      </c>
      <c r="M280">
        <v>1</v>
      </c>
      <c r="N280">
        <v>0</v>
      </c>
      <c r="O280">
        <v>14.561400000000001</v>
      </c>
      <c r="P280">
        <v>104.01</v>
      </c>
      <c r="Q280">
        <v>89.448599999999999</v>
      </c>
    </row>
    <row r="281" spans="1:17" x14ac:dyDescent="0.25">
      <c r="A281" s="2">
        <v>42091</v>
      </c>
      <c r="B281" s="2">
        <v>42096</v>
      </c>
      <c r="C281" s="1" t="s">
        <v>35</v>
      </c>
      <c r="D281" s="1" t="s">
        <v>713</v>
      </c>
      <c r="E281" s="1" t="s">
        <v>19</v>
      </c>
      <c r="F281" s="1" t="s">
        <v>20</v>
      </c>
      <c r="G281" s="1" t="s">
        <v>29</v>
      </c>
      <c r="H281" s="1" t="s">
        <v>30</v>
      </c>
      <c r="I281" s="1" t="s">
        <v>31</v>
      </c>
      <c r="J281" s="1" t="s">
        <v>99</v>
      </c>
      <c r="K281" s="1" t="s">
        <v>111</v>
      </c>
      <c r="L281" s="1" t="s">
        <v>714</v>
      </c>
      <c r="M281">
        <v>1</v>
      </c>
      <c r="N281">
        <v>0</v>
      </c>
      <c r="O281">
        <v>24.936</v>
      </c>
      <c r="P281">
        <v>166.24</v>
      </c>
      <c r="Q281">
        <v>141.304</v>
      </c>
    </row>
    <row r="282" spans="1:17" x14ac:dyDescent="0.25">
      <c r="A282" s="2">
        <v>42138</v>
      </c>
      <c r="B282" s="2">
        <v>42141</v>
      </c>
      <c r="C282" s="1" t="s">
        <v>107</v>
      </c>
      <c r="D282" s="1" t="s">
        <v>715</v>
      </c>
      <c r="E282" s="1" t="s">
        <v>55</v>
      </c>
      <c r="F282" s="1" t="s">
        <v>20</v>
      </c>
      <c r="G282" s="1" t="s">
        <v>716</v>
      </c>
      <c r="H282" s="1" t="s">
        <v>80</v>
      </c>
      <c r="I282" s="1" t="s">
        <v>81</v>
      </c>
      <c r="J282" s="1" t="s">
        <v>32</v>
      </c>
      <c r="K282" s="1" t="s">
        <v>72</v>
      </c>
      <c r="L282" s="1" t="s">
        <v>396</v>
      </c>
      <c r="M282">
        <v>8</v>
      </c>
      <c r="N282">
        <v>0.2</v>
      </c>
      <c r="O282">
        <v>17.348800000000001</v>
      </c>
      <c r="P282">
        <v>198.27199999999999</v>
      </c>
      <c r="Q282">
        <v>180.92319999999998</v>
      </c>
    </row>
    <row r="283" spans="1:17" x14ac:dyDescent="0.25">
      <c r="A283" s="2">
        <v>42678</v>
      </c>
      <c r="B283" s="2">
        <v>42682</v>
      </c>
      <c r="C283" s="1" t="s">
        <v>17</v>
      </c>
      <c r="D283" s="1" t="s">
        <v>449</v>
      </c>
      <c r="E283" s="1" t="s">
        <v>28</v>
      </c>
      <c r="F283" s="1" t="s">
        <v>20</v>
      </c>
      <c r="G283" s="1" t="s">
        <v>50</v>
      </c>
      <c r="H283" s="1" t="s">
        <v>51</v>
      </c>
      <c r="I283" s="1" t="s">
        <v>31</v>
      </c>
      <c r="J283" s="1" t="s">
        <v>24</v>
      </c>
      <c r="K283" s="1" t="s">
        <v>42</v>
      </c>
      <c r="L283" s="1" t="s">
        <v>717</v>
      </c>
      <c r="M283">
        <v>3</v>
      </c>
      <c r="N283">
        <v>0</v>
      </c>
      <c r="O283">
        <v>35.679600000000001</v>
      </c>
      <c r="P283">
        <v>209.88</v>
      </c>
      <c r="Q283">
        <v>174.2004</v>
      </c>
    </row>
    <row r="284" spans="1:17" x14ac:dyDescent="0.25">
      <c r="A284" s="2">
        <v>42103</v>
      </c>
      <c r="B284" s="2">
        <v>42108</v>
      </c>
      <c r="C284" s="1" t="s">
        <v>35</v>
      </c>
      <c r="D284" s="1" t="s">
        <v>718</v>
      </c>
      <c r="E284" s="1" t="s">
        <v>19</v>
      </c>
      <c r="F284" s="1" t="s">
        <v>20</v>
      </c>
      <c r="G284" s="1" t="s">
        <v>400</v>
      </c>
      <c r="H284" s="1" t="s">
        <v>30</v>
      </c>
      <c r="I284" s="1" t="s">
        <v>31</v>
      </c>
      <c r="J284" s="1" t="s">
        <v>24</v>
      </c>
      <c r="K284" s="1" t="s">
        <v>39</v>
      </c>
      <c r="L284" s="1" t="s">
        <v>719</v>
      </c>
      <c r="M284">
        <v>3</v>
      </c>
      <c r="N284">
        <v>0.2</v>
      </c>
      <c r="O284">
        <v>-13.871700000000001</v>
      </c>
      <c r="P284">
        <v>369.91199999999998</v>
      </c>
      <c r="Q284">
        <v>383.78369999999995</v>
      </c>
    </row>
    <row r="285" spans="1:17" x14ac:dyDescent="0.25">
      <c r="A285" s="2">
        <v>41975</v>
      </c>
      <c r="B285" s="2">
        <v>41977</v>
      </c>
      <c r="C285" s="1" t="s">
        <v>107</v>
      </c>
      <c r="D285" s="1" t="s">
        <v>720</v>
      </c>
      <c r="E285" s="1" t="s">
        <v>19</v>
      </c>
      <c r="F285" s="1" t="s">
        <v>20</v>
      </c>
      <c r="G285" s="1" t="s">
        <v>126</v>
      </c>
      <c r="H285" s="1" t="s">
        <v>127</v>
      </c>
      <c r="I285" s="1" t="s">
        <v>81</v>
      </c>
      <c r="J285" s="1" t="s">
        <v>99</v>
      </c>
      <c r="K285" s="1" t="s">
        <v>111</v>
      </c>
      <c r="L285" s="1" t="s">
        <v>368</v>
      </c>
      <c r="M285">
        <v>4</v>
      </c>
      <c r="N285">
        <v>0</v>
      </c>
      <c r="O285">
        <v>52.782400000000003</v>
      </c>
      <c r="P285">
        <v>119.96</v>
      </c>
      <c r="Q285">
        <v>67.177599999999984</v>
      </c>
    </row>
    <row r="286" spans="1:17" x14ac:dyDescent="0.25">
      <c r="A286" s="2">
        <v>41734</v>
      </c>
      <c r="B286" s="2">
        <v>41736</v>
      </c>
      <c r="C286" s="1" t="s">
        <v>107</v>
      </c>
      <c r="D286" s="1" t="s">
        <v>721</v>
      </c>
      <c r="E286" s="1" t="s">
        <v>55</v>
      </c>
      <c r="F286" s="1" t="s">
        <v>20</v>
      </c>
      <c r="G286" s="1" t="s">
        <v>126</v>
      </c>
      <c r="H286" s="1" t="s">
        <v>127</v>
      </c>
      <c r="I286" s="1" t="s">
        <v>81</v>
      </c>
      <c r="J286" s="1" t="s">
        <v>32</v>
      </c>
      <c r="K286" s="1" t="s">
        <v>47</v>
      </c>
      <c r="L286" s="1" t="s">
        <v>722</v>
      </c>
      <c r="M286">
        <v>1</v>
      </c>
      <c r="N286">
        <v>0</v>
      </c>
      <c r="O286">
        <v>26.630400000000002</v>
      </c>
      <c r="P286">
        <v>55.48</v>
      </c>
      <c r="Q286">
        <v>28.849599999999995</v>
      </c>
    </row>
    <row r="287" spans="1:17" x14ac:dyDescent="0.25">
      <c r="A287" s="2">
        <v>42981</v>
      </c>
      <c r="B287" s="2">
        <v>42985</v>
      </c>
      <c r="C287" s="1" t="s">
        <v>35</v>
      </c>
      <c r="D287" s="1" t="s">
        <v>723</v>
      </c>
      <c r="E287" s="1" t="s">
        <v>19</v>
      </c>
      <c r="F287" s="1" t="s">
        <v>20</v>
      </c>
      <c r="G287" s="1" t="s">
        <v>724</v>
      </c>
      <c r="H287" s="1" t="s">
        <v>38</v>
      </c>
      <c r="I287" s="1" t="s">
        <v>23</v>
      </c>
      <c r="J287" s="1" t="s">
        <v>32</v>
      </c>
      <c r="K287" s="1" t="s">
        <v>94</v>
      </c>
      <c r="L287" s="1" t="s">
        <v>725</v>
      </c>
      <c r="M287">
        <v>4</v>
      </c>
      <c r="N287">
        <v>0.2</v>
      </c>
      <c r="O287">
        <v>8.8623999999999992</v>
      </c>
      <c r="P287">
        <v>24.448</v>
      </c>
      <c r="Q287">
        <v>15.585600000000001</v>
      </c>
    </row>
    <row r="288" spans="1:17" x14ac:dyDescent="0.25">
      <c r="A288" s="2">
        <v>42874</v>
      </c>
      <c r="B288" s="2">
        <v>42879</v>
      </c>
      <c r="C288" s="1" t="s">
        <v>35</v>
      </c>
      <c r="D288" s="1" t="s">
        <v>726</v>
      </c>
      <c r="E288" s="1" t="s">
        <v>28</v>
      </c>
      <c r="F288" s="1" t="s">
        <v>20</v>
      </c>
      <c r="G288" s="1" t="s">
        <v>727</v>
      </c>
      <c r="H288" s="1" t="s">
        <v>127</v>
      </c>
      <c r="I288" s="1" t="s">
        <v>81</v>
      </c>
      <c r="J288" s="1" t="s">
        <v>32</v>
      </c>
      <c r="K288" s="1" t="s">
        <v>59</v>
      </c>
      <c r="L288" s="1" t="s">
        <v>728</v>
      </c>
      <c r="M288">
        <v>6</v>
      </c>
      <c r="N288">
        <v>0</v>
      </c>
      <c r="O288">
        <v>109.7226</v>
      </c>
      <c r="P288">
        <v>281.33999999999997</v>
      </c>
      <c r="Q288">
        <v>171.61739999999998</v>
      </c>
    </row>
    <row r="289" spans="1:17" x14ac:dyDescent="0.25">
      <c r="A289" s="2">
        <v>41821</v>
      </c>
      <c r="B289" s="2">
        <v>41826</v>
      </c>
      <c r="C289" s="1" t="s">
        <v>17</v>
      </c>
      <c r="D289" s="1" t="s">
        <v>351</v>
      </c>
      <c r="E289" s="1" t="s">
        <v>28</v>
      </c>
      <c r="F289" s="1" t="s">
        <v>20</v>
      </c>
      <c r="G289" s="1" t="s">
        <v>50</v>
      </c>
      <c r="H289" s="1" t="s">
        <v>51</v>
      </c>
      <c r="I289" s="1" t="s">
        <v>31</v>
      </c>
      <c r="J289" s="1" t="s">
        <v>32</v>
      </c>
      <c r="K289" s="1" t="s">
        <v>52</v>
      </c>
      <c r="L289" s="1" t="s">
        <v>729</v>
      </c>
      <c r="M289">
        <v>5</v>
      </c>
      <c r="N289">
        <v>0.2</v>
      </c>
      <c r="O289">
        <v>6.9720000000000004</v>
      </c>
      <c r="P289">
        <v>19.920000000000002</v>
      </c>
      <c r="Q289">
        <v>12.948</v>
      </c>
    </row>
    <row r="290" spans="1:17" x14ac:dyDescent="0.25">
      <c r="A290" s="2">
        <v>41650</v>
      </c>
      <c r="B290" s="2">
        <v>41653</v>
      </c>
      <c r="C290" s="1" t="s">
        <v>107</v>
      </c>
      <c r="D290" s="1" t="s">
        <v>730</v>
      </c>
      <c r="E290" s="1" t="s">
        <v>19</v>
      </c>
      <c r="F290" s="1" t="s">
        <v>20</v>
      </c>
      <c r="G290" s="1" t="s">
        <v>118</v>
      </c>
      <c r="H290" s="1" t="s">
        <v>119</v>
      </c>
      <c r="I290" s="1" t="s">
        <v>81</v>
      </c>
      <c r="J290" s="1" t="s">
        <v>24</v>
      </c>
      <c r="K290" s="1" t="s">
        <v>42</v>
      </c>
      <c r="L290" s="1" t="s">
        <v>731</v>
      </c>
      <c r="M290">
        <v>2</v>
      </c>
      <c r="N290">
        <v>0</v>
      </c>
      <c r="O290">
        <v>3.0813999999999999</v>
      </c>
      <c r="P290">
        <v>9.94</v>
      </c>
      <c r="Q290">
        <v>6.8585999999999991</v>
      </c>
    </row>
    <row r="291" spans="1:17" x14ac:dyDescent="0.25">
      <c r="A291" s="2">
        <v>43002</v>
      </c>
      <c r="B291" s="2">
        <v>43007</v>
      </c>
      <c r="C291" s="1" t="s">
        <v>35</v>
      </c>
      <c r="D291" s="1" t="s">
        <v>344</v>
      </c>
      <c r="E291" s="1" t="s">
        <v>19</v>
      </c>
      <c r="F291" s="1" t="s">
        <v>20</v>
      </c>
      <c r="G291" s="1" t="s">
        <v>240</v>
      </c>
      <c r="H291" s="1" t="s">
        <v>214</v>
      </c>
      <c r="I291" s="1" t="s">
        <v>81</v>
      </c>
      <c r="J291" s="1" t="s">
        <v>24</v>
      </c>
      <c r="K291" s="1" t="s">
        <v>42</v>
      </c>
      <c r="L291" s="1" t="s">
        <v>732</v>
      </c>
      <c r="M291">
        <v>3</v>
      </c>
      <c r="N291">
        <v>0.2</v>
      </c>
      <c r="O291">
        <v>24.4758</v>
      </c>
      <c r="P291">
        <v>103.056</v>
      </c>
      <c r="Q291">
        <v>78.580199999999991</v>
      </c>
    </row>
    <row r="292" spans="1:17" x14ac:dyDescent="0.25">
      <c r="A292" s="2">
        <v>41792</v>
      </c>
      <c r="B292" s="2">
        <v>41797</v>
      </c>
      <c r="C292" s="1" t="s">
        <v>35</v>
      </c>
      <c r="D292" s="1" t="s">
        <v>733</v>
      </c>
      <c r="E292" s="1" t="s">
        <v>55</v>
      </c>
      <c r="F292" s="1" t="s">
        <v>20</v>
      </c>
      <c r="G292" s="1" t="s">
        <v>85</v>
      </c>
      <c r="H292" s="1" t="s">
        <v>68</v>
      </c>
      <c r="I292" s="1" t="s">
        <v>31</v>
      </c>
      <c r="J292" s="1" t="s">
        <v>32</v>
      </c>
      <c r="K292" s="1" t="s">
        <v>52</v>
      </c>
      <c r="L292" s="1" t="s">
        <v>734</v>
      </c>
      <c r="M292">
        <v>3</v>
      </c>
      <c r="N292">
        <v>0.2</v>
      </c>
      <c r="O292">
        <v>19.4376</v>
      </c>
      <c r="P292">
        <v>59.808</v>
      </c>
      <c r="Q292">
        <v>40.370400000000004</v>
      </c>
    </row>
    <row r="293" spans="1:17" x14ac:dyDescent="0.25">
      <c r="A293" s="2">
        <v>42413</v>
      </c>
      <c r="B293" s="2">
        <v>42418</v>
      </c>
      <c r="C293" s="1" t="s">
        <v>35</v>
      </c>
      <c r="D293" s="1" t="s">
        <v>735</v>
      </c>
      <c r="E293" s="1" t="s">
        <v>55</v>
      </c>
      <c r="F293" s="1" t="s">
        <v>20</v>
      </c>
      <c r="G293" s="1" t="s">
        <v>29</v>
      </c>
      <c r="H293" s="1" t="s">
        <v>30</v>
      </c>
      <c r="I293" s="1" t="s">
        <v>31</v>
      </c>
      <c r="J293" s="1" t="s">
        <v>32</v>
      </c>
      <c r="K293" s="1" t="s">
        <v>47</v>
      </c>
      <c r="L293" s="1" t="s">
        <v>736</v>
      </c>
      <c r="M293">
        <v>3</v>
      </c>
      <c r="N293">
        <v>0</v>
      </c>
      <c r="O293">
        <v>73.41</v>
      </c>
      <c r="P293">
        <v>146.82</v>
      </c>
      <c r="Q293">
        <v>73.41</v>
      </c>
    </row>
    <row r="294" spans="1:17" x14ac:dyDescent="0.25">
      <c r="A294" s="2">
        <v>42719</v>
      </c>
      <c r="B294" s="2">
        <v>42723</v>
      </c>
      <c r="C294" s="1" t="s">
        <v>35</v>
      </c>
      <c r="D294" s="1" t="s">
        <v>737</v>
      </c>
      <c r="E294" s="1" t="s">
        <v>28</v>
      </c>
      <c r="F294" s="1" t="s">
        <v>20</v>
      </c>
      <c r="G294" s="1" t="s">
        <v>330</v>
      </c>
      <c r="H294" s="1" t="s">
        <v>115</v>
      </c>
      <c r="I294" s="1" t="s">
        <v>58</v>
      </c>
      <c r="J294" s="1" t="s">
        <v>24</v>
      </c>
      <c r="K294" s="1" t="s">
        <v>39</v>
      </c>
      <c r="L294" s="1" t="s">
        <v>738</v>
      </c>
      <c r="M294">
        <v>3</v>
      </c>
      <c r="N294">
        <v>0</v>
      </c>
      <c r="O294">
        <v>231.41159999999999</v>
      </c>
      <c r="P294">
        <v>1652.94</v>
      </c>
      <c r="Q294">
        <v>1421.5284000000001</v>
      </c>
    </row>
    <row r="295" spans="1:17" x14ac:dyDescent="0.25">
      <c r="A295" s="2">
        <v>41919</v>
      </c>
      <c r="B295" s="2">
        <v>41925</v>
      </c>
      <c r="C295" s="1" t="s">
        <v>35</v>
      </c>
      <c r="D295" s="1" t="s">
        <v>739</v>
      </c>
      <c r="E295" s="1" t="s">
        <v>55</v>
      </c>
      <c r="F295" s="1" t="s">
        <v>20</v>
      </c>
      <c r="G295" s="1" t="s">
        <v>79</v>
      </c>
      <c r="H295" s="1" t="s">
        <v>80</v>
      </c>
      <c r="I295" s="1" t="s">
        <v>81</v>
      </c>
      <c r="J295" s="1" t="s">
        <v>24</v>
      </c>
      <c r="K295" s="1" t="s">
        <v>42</v>
      </c>
      <c r="L295" s="1" t="s">
        <v>740</v>
      </c>
      <c r="M295">
        <v>5</v>
      </c>
      <c r="N295">
        <v>0.2</v>
      </c>
      <c r="O295">
        <v>21.111999999999998</v>
      </c>
      <c r="P295">
        <v>129.91999999999999</v>
      </c>
      <c r="Q295">
        <v>108.80799999999999</v>
      </c>
    </row>
    <row r="296" spans="1:17" x14ac:dyDescent="0.25">
      <c r="A296" s="2">
        <v>42558</v>
      </c>
      <c r="B296" s="2">
        <v>42563</v>
      </c>
      <c r="C296" s="1" t="s">
        <v>35</v>
      </c>
      <c r="D296" s="1" t="s">
        <v>741</v>
      </c>
      <c r="E296" s="1" t="s">
        <v>28</v>
      </c>
      <c r="F296" s="1" t="s">
        <v>20</v>
      </c>
      <c r="G296" s="1" t="s">
        <v>742</v>
      </c>
      <c r="H296" s="1" t="s">
        <v>38</v>
      </c>
      <c r="I296" s="1" t="s">
        <v>23</v>
      </c>
      <c r="J296" s="1" t="s">
        <v>32</v>
      </c>
      <c r="K296" s="1" t="s">
        <v>476</v>
      </c>
      <c r="L296" s="1" t="s">
        <v>743</v>
      </c>
      <c r="M296">
        <v>7</v>
      </c>
      <c r="N296">
        <v>0.2</v>
      </c>
      <c r="O296">
        <v>5.1281999999999996</v>
      </c>
      <c r="P296">
        <v>45.584000000000003</v>
      </c>
      <c r="Q296">
        <v>40.455800000000004</v>
      </c>
    </row>
    <row r="297" spans="1:17" x14ac:dyDescent="0.25">
      <c r="A297" s="2">
        <v>42994</v>
      </c>
      <c r="B297" s="2">
        <v>42998</v>
      </c>
      <c r="C297" s="1" t="s">
        <v>35</v>
      </c>
      <c r="D297" s="1" t="s">
        <v>744</v>
      </c>
      <c r="E297" s="1" t="s">
        <v>19</v>
      </c>
      <c r="F297" s="1" t="s">
        <v>20</v>
      </c>
      <c r="G297" s="1" t="s">
        <v>419</v>
      </c>
      <c r="H297" s="1" t="s">
        <v>57</v>
      </c>
      <c r="I297" s="1" t="s">
        <v>58</v>
      </c>
      <c r="J297" s="1" t="s">
        <v>32</v>
      </c>
      <c r="K297" s="1" t="s">
        <v>94</v>
      </c>
      <c r="L297" s="1" t="s">
        <v>745</v>
      </c>
      <c r="M297">
        <v>2</v>
      </c>
      <c r="N297">
        <v>0.2</v>
      </c>
      <c r="O297">
        <v>6.3684000000000003</v>
      </c>
      <c r="P297">
        <v>17.568000000000001</v>
      </c>
      <c r="Q297">
        <v>11.1996</v>
      </c>
    </row>
    <row r="298" spans="1:17" x14ac:dyDescent="0.25">
      <c r="A298" s="2">
        <v>42707</v>
      </c>
      <c r="B298" s="2">
        <v>42710</v>
      </c>
      <c r="C298" s="1" t="s">
        <v>107</v>
      </c>
      <c r="D298" s="1" t="s">
        <v>746</v>
      </c>
      <c r="E298" s="1" t="s">
        <v>19</v>
      </c>
      <c r="F298" s="1" t="s">
        <v>20</v>
      </c>
      <c r="G298" s="1" t="s">
        <v>747</v>
      </c>
      <c r="H298" s="1" t="s">
        <v>127</v>
      </c>
      <c r="I298" s="1" t="s">
        <v>81</v>
      </c>
      <c r="J298" s="1" t="s">
        <v>32</v>
      </c>
      <c r="K298" s="1" t="s">
        <v>47</v>
      </c>
      <c r="L298" s="1" t="s">
        <v>748</v>
      </c>
      <c r="M298">
        <v>8</v>
      </c>
      <c r="N298">
        <v>0</v>
      </c>
      <c r="O298">
        <v>84.051199999999994</v>
      </c>
      <c r="P298">
        <v>182.72</v>
      </c>
      <c r="Q298">
        <v>98.668800000000005</v>
      </c>
    </row>
    <row r="299" spans="1:17" x14ac:dyDescent="0.25">
      <c r="A299" s="2">
        <v>41643</v>
      </c>
      <c r="B299" s="2">
        <v>41647</v>
      </c>
      <c r="C299" s="1" t="s">
        <v>35</v>
      </c>
      <c r="D299" s="1" t="s">
        <v>749</v>
      </c>
      <c r="E299" s="1" t="s">
        <v>55</v>
      </c>
      <c r="F299" s="1" t="s">
        <v>20</v>
      </c>
      <c r="G299" s="1" t="s">
        <v>97</v>
      </c>
      <c r="H299" s="1" t="s">
        <v>98</v>
      </c>
      <c r="I299" s="1" t="s">
        <v>58</v>
      </c>
      <c r="J299" s="1" t="s">
        <v>32</v>
      </c>
      <c r="K299" s="1" t="s">
        <v>33</v>
      </c>
      <c r="L299" s="1" t="s">
        <v>750</v>
      </c>
      <c r="M299">
        <v>3</v>
      </c>
      <c r="N299">
        <v>0.2</v>
      </c>
      <c r="O299">
        <v>4.2717000000000001</v>
      </c>
      <c r="P299">
        <v>11.784000000000001</v>
      </c>
      <c r="Q299">
        <v>7.5123000000000006</v>
      </c>
    </row>
    <row r="300" spans="1:17" x14ac:dyDescent="0.25">
      <c r="A300" s="2">
        <v>42449</v>
      </c>
      <c r="B300" s="2">
        <v>42451</v>
      </c>
      <c r="C300" s="1" t="s">
        <v>17</v>
      </c>
      <c r="D300" s="1" t="s">
        <v>751</v>
      </c>
      <c r="E300" s="1" t="s">
        <v>19</v>
      </c>
      <c r="F300" s="1" t="s">
        <v>20</v>
      </c>
      <c r="G300" s="1" t="s">
        <v>752</v>
      </c>
      <c r="H300" s="1" t="s">
        <v>98</v>
      </c>
      <c r="I300" s="1" t="s">
        <v>58</v>
      </c>
      <c r="J300" s="1" t="s">
        <v>99</v>
      </c>
      <c r="K300" s="1" t="s">
        <v>100</v>
      </c>
      <c r="L300" s="1" t="s">
        <v>753</v>
      </c>
      <c r="M300">
        <v>1</v>
      </c>
      <c r="N300">
        <v>0.2</v>
      </c>
      <c r="O300">
        <v>0.89939999999999998</v>
      </c>
      <c r="P300">
        <v>11.992000000000001</v>
      </c>
      <c r="Q300">
        <v>11.092600000000001</v>
      </c>
    </row>
    <row r="301" spans="1:17" x14ac:dyDescent="0.25">
      <c r="A301" s="2">
        <v>43010</v>
      </c>
      <c r="B301" s="2">
        <v>43014</v>
      </c>
      <c r="C301" s="1" t="s">
        <v>35</v>
      </c>
      <c r="D301" s="1" t="s">
        <v>754</v>
      </c>
      <c r="E301" s="1" t="s">
        <v>19</v>
      </c>
      <c r="F301" s="1" t="s">
        <v>20</v>
      </c>
      <c r="G301" s="1" t="s">
        <v>755</v>
      </c>
      <c r="H301" s="1" t="s">
        <v>115</v>
      </c>
      <c r="I301" s="1" t="s">
        <v>58</v>
      </c>
      <c r="J301" s="1" t="s">
        <v>32</v>
      </c>
      <c r="K301" s="1" t="s">
        <v>52</v>
      </c>
      <c r="L301" s="1" t="s">
        <v>756</v>
      </c>
      <c r="M301">
        <v>3</v>
      </c>
      <c r="N301">
        <v>0</v>
      </c>
      <c r="O301">
        <v>26.702999999999999</v>
      </c>
      <c r="P301">
        <v>58.05</v>
      </c>
      <c r="Q301">
        <v>31.346999999999998</v>
      </c>
    </row>
    <row r="302" spans="1:17" x14ac:dyDescent="0.25">
      <c r="A302" s="2">
        <v>42467</v>
      </c>
      <c r="B302" s="2">
        <v>42469</v>
      </c>
      <c r="C302" s="1" t="s">
        <v>107</v>
      </c>
      <c r="D302" s="1" t="s">
        <v>757</v>
      </c>
      <c r="E302" s="1" t="s">
        <v>28</v>
      </c>
      <c r="F302" s="1" t="s">
        <v>20</v>
      </c>
      <c r="G302" s="1" t="s">
        <v>71</v>
      </c>
      <c r="H302" s="1" t="s">
        <v>30</v>
      </c>
      <c r="I302" s="1" t="s">
        <v>31</v>
      </c>
      <c r="J302" s="1" t="s">
        <v>99</v>
      </c>
      <c r="K302" s="1" t="s">
        <v>573</v>
      </c>
      <c r="L302" s="1" t="s">
        <v>758</v>
      </c>
      <c r="M302">
        <v>3</v>
      </c>
      <c r="N302">
        <v>0.2</v>
      </c>
      <c r="O302">
        <v>374.99250000000001</v>
      </c>
      <c r="P302">
        <v>1199.9760000000001</v>
      </c>
      <c r="Q302">
        <v>824.98350000000005</v>
      </c>
    </row>
    <row r="303" spans="1:17" x14ac:dyDescent="0.25">
      <c r="A303" s="2">
        <v>42345</v>
      </c>
      <c r="B303" s="2">
        <v>42350</v>
      </c>
      <c r="C303" s="1" t="s">
        <v>35</v>
      </c>
      <c r="D303" s="1" t="s">
        <v>641</v>
      </c>
      <c r="E303" s="1" t="s">
        <v>19</v>
      </c>
      <c r="F303" s="1" t="s">
        <v>20</v>
      </c>
      <c r="G303" s="1" t="s">
        <v>29</v>
      </c>
      <c r="H303" s="1" t="s">
        <v>30</v>
      </c>
      <c r="I303" s="1" t="s">
        <v>31</v>
      </c>
      <c r="J303" s="1" t="s">
        <v>24</v>
      </c>
      <c r="K303" s="1" t="s">
        <v>42</v>
      </c>
      <c r="L303" s="1" t="s">
        <v>759</v>
      </c>
      <c r="M303">
        <v>4</v>
      </c>
      <c r="N303">
        <v>0</v>
      </c>
      <c r="O303">
        <v>28.7712</v>
      </c>
      <c r="P303">
        <v>79.92</v>
      </c>
      <c r="Q303">
        <v>51.148800000000001</v>
      </c>
    </row>
    <row r="304" spans="1:17" x14ac:dyDescent="0.25">
      <c r="A304" s="2">
        <v>42002</v>
      </c>
      <c r="B304" s="2">
        <v>42006</v>
      </c>
      <c r="C304" s="1" t="s">
        <v>35</v>
      </c>
      <c r="D304" s="1" t="s">
        <v>760</v>
      </c>
      <c r="E304" s="1" t="s">
        <v>19</v>
      </c>
      <c r="F304" s="1" t="s">
        <v>20</v>
      </c>
      <c r="G304" s="1" t="s">
        <v>761</v>
      </c>
      <c r="H304" s="1" t="s">
        <v>110</v>
      </c>
      <c r="I304" s="1" t="s">
        <v>58</v>
      </c>
      <c r="J304" s="1" t="s">
        <v>32</v>
      </c>
      <c r="K304" s="1" t="s">
        <v>64</v>
      </c>
      <c r="L304" s="1" t="s">
        <v>762</v>
      </c>
      <c r="M304">
        <v>2</v>
      </c>
      <c r="N304">
        <v>0</v>
      </c>
      <c r="O304">
        <v>6.8768000000000002</v>
      </c>
      <c r="P304">
        <v>24.56</v>
      </c>
      <c r="Q304">
        <v>17.683199999999999</v>
      </c>
    </row>
    <row r="305" spans="1:17" x14ac:dyDescent="0.25">
      <c r="A305" s="2">
        <v>42939</v>
      </c>
      <c r="B305" s="2">
        <v>42944</v>
      </c>
      <c r="C305" s="1" t="s">
        <v>35</v>
      </c>
      <c r="D305" s="1" t="s">
        <v>763</v>
      </c>
      <c r="E305" s="1" t="s">
        <v>28</v>
      </c>
      <c r="F305" s="1" t="s">
        <v>20</v>
      </c>
      <c r="G305" s="1" t="s">
        <v>126</v>
      </c>
      <c r="H305" s="1" t="s">
        <v>127</v>
      </c>
      <c r="I305" s="1" t="s">
        <v>81</v>
      </c>
      <c r="J305" s="1" t="s">
        <v>32</v>
      </c>
      <c r="K305" s="1" t="s">
        <v>52</v>
      </c>
      <c r="L305" s="1" t="s">
        <v>651</v>
      </c>
      <c r="M305">
        <v>3</v>
      </c>
      <c r="N305">
        <v>0.2</v>
      </c>
      <c r="O305">
        <v>4.2666000000000004</v>
      </c>
      <c r="P305">
        <v>13.128</v>
      </c>
      <c r="Q305">
        <v>8.8613999999999997</v>
      </c>
    </row>
    <row r="306" spans="1:17" x14ac:dyDescent="0.25">
      <c r="A306" s="2">
        <v>42996</v>
      </c>
      <c r="B306" s="2">
        <v>43000</v>
      </c>
      <c r="C306" s="1" t="s">
        <v>35</v>
      </c>
      <c r="D306" s="1" t="s">
        <v>764</v>
      </c>
      <c r="E306" s="1" t="s">
        <v>28</v>
      </c>
      <c r="F306" s="1" t="s">
        <v>20</v>
      </c>
      <c r="G306" s="1" t="s">
        <v>602</v>
      </c>
      <c r="H306" s="1" t="s">
        <v>63</v>
      </c>
      <c r="I306" s="1" t="s">
        <v>58</v>
      </c>
      <c r="J306" s="1" t="s">
        <v>32</v>
      </c>
      <c r="K306" s="1" t="s">
        <v>47</v>
      </c>
      <c r="L306" s="1" t="s">
        <v>765</v>
      </c>
      <c r="M306">
        <v>4</v>
      </c>
      <c r="N306">
        <v>0</v>
      </c>
      <c r="O306">
        <v>10.224</v>
      </c>
      <c r="P306">
        <v>22.72</v>
      </c>
      <c r="Q306">
        <v>12.495999999999999</v>
      </c>
    </row>
    <row r="307" spans="1:17" x14ac:dyDescent="0.25">
      <c r="A307" s="2">
        <v>42247</v>
      </c>
      <c r="B307" s="2">
        <v>42252</v>
      </c>
      <c r="C307" s="1" t="s">
        <v>35</v>
      </c>
      <c r="D307" s="1" t="s">
        <v>650</v>
      </c>
      <c r="E307" s="1" t="s">
        <v>19</v>
      </c>
      <c r="F307" s="1" t="s">
        <v>20</v>
      </c>
      <c r="G307" s="1" t="s">
        <v>29</v>
      </c>
      <c r="H307" s="1" t="s">
        <v>30</v>
      </c>
      <c r="I307" s="1" t="s">
        <v>31</v>
      </c>
      <c r="J307" s="1" t="s">
        <v>32</v>
      </c>
      <c r="K307" s="1" t="s">
        <v>47</v>
      </c>
      <c r="L307" s="1" t="s">
        <v>766</v>
      </c>
      <c r="M307">
        <v>9</v>
      </c>
      <c r="N307">
        <v>0</v>
      </c>
      <c r="O307">
        <v>27.993600000000001</v>
      </c>
      <c r="P307">
        <v>58.32</v>
      </c>
      <c r="Q307">
        <v>30.3264</v>
      </c>
    </row>
    <row r="308" spans="1:17" x14ac:dyDescent="0.25">
      <c r="A308" s="2">
        <v>41652</v>
      </c>
      <c r="B308" s="2">
        <v>41654</v>
      </c>
      <c r="C308" s="1" t="s">
        <v>17</v>
      </c>
      <c r="D308" s="1" t="s">
        <v>767</v>
      </c>
      <c r="E308" s="1" t="s">
        <v>28</v>
      </c>
      <c r="F308" s="1" t="s">
        <v>20</v>
      </c>
      <c r="G308" s="1" t="s">
        <v>768</v>
      </c>
      <c r="H308" s="1" t="s">
        <v>280</v>
      </c>
      <c r="I308" s="1" t="s">
        <v>23</v>
      </c>
      <c r="J308" s="1" t="s">
        <v>32</v>
      </c>
      <c r="K308" s="1" t="s">
        <v>94</v>
      </c>
      <c r="L308" s="1" t="s">
        <v>263</v>
      </c>
      <c r="M308">
        <v>2</v>
      </c>
      <c r="N308">
        <v>0</v>
      </c>
      <c r="O308">
        <v>5.3391999999999999</v>
      </c>
      <c r="P308">
        <v>11.36</v>
      </c>
      <c r="Q308">
        <v>6.0207999999999995</v>
      </c>
    </row>
    <row r="309" spans="1:17" x14ac:dyDescent="0.25">
      <c r="A309" s="2">
        <v>41773</v>
      </c>
      <c r="B309" s="2">
        <v>41779</v>
      </c>
      <c r="C309" s="1" t="s">
        <v>35</v>
      </c>
      <c r="D309" s="1" t="s">
        <v>769</v>
      </c>
      <c r="E309" s="1" t="s">
        <v>28</v>
      </c>
      <c r="F309" s="1" t="s">
        <v>20</v>
      </c>
      <c r="G309" s="1" t="s">
        <v>393</v>
      </c>
      <c r="H309" s="1" t="s">
        <v>38</v>
      </c>
      <c r="I309" s="1" t="s">
        <v>23</v>
      </c>
      <c r="J309" s="1" t="s">
        <v>24</v>
      </c>
      <c r="K309" s="1" t="s">
        <v>42</v>
      </c>
      <c r="L309" s="1" t="s">
        <v>770</v>
      </c>
      <c r="M309">
        <v>2</v>
      </c>
      <c r="N309">
        <v>0.2</v>
      </c>
      <c r="O309">
        <v>23.315999999999999</v>
      </c>
      <c r="P309">
        <v>310.88</v>
      </c>
      <c r="Q309">
        <v>287.56400000000002</v>
      </c>
    </row>
    <row r="310" spans="1:17" x14ac:dyDescent="0.25">
      <c r="A310" s="2">
        <v>42509</v>
      </c>
      <c r="B310" s="2">
        <v>42514</v>
      </c>
      <c r="C310" s="1" t="s">
        <v>35</v>
      </c>
      <c r="D310" s="1" t="s">
        <v>313</v>
      </c>
      <c r="E310" s="1" t="s">
        <v>19</v>
      </c>
      <c r="F310" s="1" t="s">
        <v>20</v>
      </c>
      <c r="G310" s="1" t="s">
        <v>384</v>
      </c>
      <c r="H310" s="1" t="s">
        <v>144</v>
      </c>
      <c r="I310" s="1" t="s">
        <v>23</v>
      </c>
      <c r="J310" s="1" t="s">
        <v>24</v>
      </c>
      <c r="K310" s="1" t="s">
        <v>82</v>
      </c>
      <c r="L310" s="1" t="s">
        <v>771</v>
      </c>
      <c r="M310">
        <v>2</v>
      </c>
      <c r="N310">
        <v>0</v>
      </c>
      <c r="O310">
        <v>179.74879999999999</v>
      </c>
      <c r="P310">
        <v>641.96</v>
      </c>
      <c r="Q310">
        <v>462.21120000000008</v>
      </c>
    </row>
    <row r="311" spans="1:17" x14ac:dyDescent="0.25">
      <c r="A311" s="2">
        <v>42237</v>
      </c>
      <c r="B311" s="2">
        <v>42239</v>
      </c>
      <c r="C311" s="1" t="s">
        <v>107</v>
      </c>
      <c r="D311" s="1" t="s">
        <v>772</v>
      </c>
      <c r="E311" s="1" t="s">
        <v>55</v>
      </c>
      <c r="F311" s="1" t="s">
        <v>20</v>
      </c>
      <c r="G311" s="1" t="s">
        <v>71</v>
      </c>
      <c r="H311" s="1" t="s">
        <v>30</v>
      </c>
      <c r="I311" s="1" t="s">
        <v>31</v>
      </c>
      <c r="J311" s="1" t="s">
        <v>24</v>
      </c>
      <c r="K311" s="1" t="s">
        <v>82</v>
      </c>
      <c r="L311" s="1" t="s">
        <v>773</v>
      </c>
      <c r="M311">
        <v>3</v>
      </c>
      <c r="N311">
        <v>0.2</v>
      </c>
      <c r="O311">
        <v>40.800600000000003</v>
      </c>
      <c r="P311">
        <v>544.00800000000004</v>
      </c>
      <c r="Q311">
        <v>503.20740000000001</v>
      </c>
    </row>
    <row r="312" spans="1:17" x14ac:dyDescent="0.25">
      <c r="A312" s="2">
        <v>42280</v>
      </c>
      <c r="B312" s="2">
        <v>42283</v>
      </c>
      <c r="C312" s="1" t="s">
        <v>17</v>
      </c>
      <c r="D312" s="1" t="s">
        <v>774</v>
      </c>
      <c r="E312" s="1" t="s">
        <v>19</v>
      </c>
      <c r="F312" s="1" t="s">
        <v>20</v>
      </c>
      <c r="G312" s="1" t="s">
        <v>213</v>
      </c>
      <c r="H312" s="1" t="s">
        <v>214</v>
      </c>
      <c r="I312" s="1" t="s">
        <v>81</v>
      </c>
      <c r="J312" s="1" t="s">
        <v>32</v>
      </c>
      <c r="K312" s="1" t="s">
        <v>52</v>
      </c>
      <c r="L312" s="1" t="s">
        <v>775</v>
      </c>
      <c r="M312">
        <v>5</v>
      </c>
      <c r="N312">
        <v>0.7</v>
      </c>
      <c r="O312">
        <v>-22.449000000000002</v>
      </c>
      <c r="P312">
        <v>32.07</v>
      </c>
      <c r="Q312">
        <v>54.519000000000005</v>
      </c>
    </row>
    <row r="313" spans="1:17" x14ac:dyDescent="0.25">
      <c r="A313" s="2">
        <v>42147</v>
      </c>
      <c r="B313" s="2">
        <v>42152</v>
      </c>
      <c r="C313" s="1" t="s">
        <v>35</v>
      </c>
      <c r="D313" s="1" t="s">
        <v>334</v>
      </c>
      <c r="E313" s="1" t="s">
        <v>28</v>
      </c>
      <c r="F313" s="1" t="s">
        <v>20</v>
      </c>
      <c r="G313" s="1" t="s">
        <v>168</v>
      </c>
      <c r="H313" s="1" t="s">
        <v>169</v>
      </c>
      <c r="I313" s="1" t="s">
        <v>23</v>
      </c>
      <c r="J313" s="1" t="s">
        <v>32</v>
      </c>
      <c r="K313" s="1" t="s">
        <v>94</v>
      </c>
      <c r="L313" s="1" t="s">
        <v>776</v>
      </c>
      <c r="M313">
        <v>3</v>
      </c>
      <c r="N313">
        <v>0</v>
      </c>
      <c r="O313">
        <v>87.744299999999996</v>
      </c>
      <c r="P313">
        <v>186.69</v>
      </c>
      <c r="Q313">
        <v>98.945700000000002</v>
      </c>
    </row>
    <row r="314" spans="1:17" x14ac:dyDescent="0.25">
      <c r="A314" s="2">
        <v>42811</v>
      </c>
      <c r="B314" s="2">
        <v>42815</v>
      </c>
      <c r="C314" s="1" t="s">
        <v>17</v>
      </c>
      <c r="D314" s="1" t="s">
        <v>208</v>
      </c>
      <c r="E314" s="1" t="s">
        <v>19</v>
      </c>
      <c r="F314" s="1" t="s">
        <v>20</v>
      </c>
      <c r="G314" s="1" t="s">
        <v>777</v>
      </c>
      <c r="H314" s="1" t="s">
        <v>30</v>
      </c>
      <c r="I314" s="1" t="s">
        <v>31</v>
      </c>
      <c r="J314" s="1" t="s">
        <v>32</v>
      </c>
      <c r="K314" s="1" t="s">
        <v>52</v>
      </c>
      <c r="L314" s="1" t="s">
        <v>778</v>
      </c>
      <c r="M314">
        <v>2</v>
      </c>
      <c r="N314">
        <v>0.2</v>
      </c>
      <c r="O314">
        <v>5.8914</v>
      </c>
      <c r="P314">
        <v>17.456</v>
      </c>
      <c r="Q314">
        <v>11.564599999999999</v>
      </c>
    </row>
    <row r="315" spans="1:17" x14ac:dyDescent="0.25">
      <c r="A315" s="2">
        <v>42350</v>
      </c>
      <c r="B315" s="2">
        <v>42354</v>
      </c>
      <c r="C315" s="1" t="s">
        <v>35</v>
      </c>
      <c r="D315" s="1" t="s">
        <v>779</v>
      </c>
      <c r="E315" s="1" t="s">
        <v>19</v>
      </c>
      <c r="F315" s="1" t="s">
        <v>20</v>
      </c>
      <c r="G315" s="1" t="s">
        <v>777</v>
      </c>
      <c r="H315" s="1" t="s">
        <v>30</v>
      </c>
      <c r="I315" s="1" t="s">
        <v>31</v>
      </c>
      <c r="J315" s="1" t="s">
        <v>24</v>
      </c>
      <c r="K315" s="1" t="s">
        <v>82</v>
      </c>
      <c r="L315" s="1" t="s">
        <v>780</v>
      </c>
      <c r="M315">
        <v>2</v>
      </c>
      <c r="N315">
        <v>0.2</v>
      </c>
      <c r="O315">
        <v>34.892800000000001</v>
      </c>
      <c r="P315">
        <v>348.928</v>
      </c>
      <c r="Q315">
        <v>314.03519999999997</v>
      </c>
    </row>
    <row r="316" spans="1:17" x14ac:dyDescent="0.25">
      <c r="A316" s="2">
        <v>42181</v>
      </c>
      <c r="B316" s="2">
        <v>42185</v>
      </c>
      <c r="C316" s="1" t="s">
        <v>35</v>
      </c>
      <c r="D316" s="1" t="s">
        <v>548</v>
      </c>
      <c r="E316" s="1" t="s">
        <v>19</v>
      </c>
      <c r="F316" s="1" t="s">
        <v>20</v>
      </c>
      <c r="G316" s="1" t="s">
        <v>496</v>
      </c>
      <c r="H316" s="1" t="s">
        <v>144</v>
      </c>
      <c r="I316" s="1" t="s">
        <v>23</v>
      </c>
      <c r="J316" s="1" t="s">
        <v>32</v>
      </c>
      <c r="K316" s="1" t="s">
        <v>52</v>
      </c>
      <c r="L316" s="1" t="s">
        <v>781</v>
      </c>
      <c r="M316">
        <v>4</v>
      </c>
      <c r="N316">
        <v>0</v>
      </c>
      <c r="O316">
        <v>69.100800000000007</v>
      </c>
      <c r="P316">
        <v>143.96</v>
      </c>
      <c r="Q316">
        <v>74.859200000000001</v>
      </c>
    </row>
    <row r="317" spans="1:17" x14ac:dyDescent="0.25">
      <c r="A317" s="2">
        <v>42510</v>
      </c>
      <c r="B317" s="2">
        <v>42510</v>
      </c>
      <c r="C317" s="1" t="s">
        <v>434</v>
      </c>
      <c r="D317" s="1" t="s">
        <v>782</v>
      </c>
      <c r="E317" s="1" t="s">
        <v>19</v>
      </c>
      <c r="F317" s="1" t="s">
        <v>20</v>
      </c>
      <c r="G317" s="1" t="s">
        <v>783</v>
      </c>
      <c r="H317" s="1" t="s">
        <v>46</v>
      </c>
      <c r="I317" s="1" t="s">
        <v>23</v>
      </c>
      <c r="J317" s="1" t="s">
        <v>99</v>
      </c>
      <c r="K317" s="1" t="s">
        <v>100</v>
      </c>
      <c r="L317" s="1" t="s">
        <v>784</v>
      </c>
      <c r="M317">
        <v>5</v>
      </c>
      <c r="N317">
        <v>0.2</v>
      </c>
      <c r="O317">
        <v>85.247500000000002</v>
      </c>
      <c r="P317">
        <v>1363.96</v>
      </c>
      <c r="Q317">
        <v>1278.7125000000001</v>
      </c>
    </row>
    <row r="318" spans="1:17" x14ac:dyDescent="0.25">
      <c r="A318" s="2">
        <v>41902</v>
      </c>
      <c r="B318" s="2">
        <v>41908</v>
      </c>
      <c r="C318" s="1" t="s">
        <v>35</v>
      </c>
      <c r="D318" s="1" t="s">
        <v>785</v>
      </c>
      <c r="E318" s="1" t="s">
        <v>19</v>
      </c>
      <c r="F318" s="1" t="s">
        <v>20</v>
      </c>
      <c r="G318" s="1" t="s">
        <v>71</v>
      </c>
      <c r="H318" s="1" t="s">
        <v>30</v>
      </c>
      <c r="I318" s="1" t="s">
        <v>31</v>
      </c>
      <c r="J318" s="1" t="s">
        <v>32</v>
      </c>
      <c r="K318" s="1" t="s">
        <v>33</v>
      </c>
      <c r="L318" s="1" t="s">
        <v>786</v>
      </c>
      <c r="M318">
        <v>2</v>
      </c>
      <c r="N318">
        <v>0</v>
      </c>
      <c r="O318">
        <v>4.5815999999999999</v>
      </c>
      <c r="P318">
        <v>9.9600000000000009</v>
      </c>
      <c r="Q318">
        <v>5.378400000000001</v>
      </c>
    </row>
    <row r="319" spans="1:17" x14ac:dyDescent="0.25">
      <c r="A319" s="2">
        <v>42362</v>
      </c>
      <c r="B319" s="2">
        <v>42364</v>
      </c>
      <c r="C319" s="1" t="s">
        <v>107</v>
      </c>
      <c r="D319" s="1" t="s">
        <v>787</v>
      </c>
      <c r="E319" s="1" t="s">
        <v>28</v>
      </c>
      <c r="F319" s="1" t="s">
        <v>20</v>
      </c>
      <c r="G319" s="1" t="s">
        <v>172</v>
      </c>
      <c r="H319" s="1" t="s">
        <v>127</v>
      </c>
      <c r="I319" s="1" t="s">
        <v>81</v>
      </c>
      <c r="J319" s="1" t="s">
        <v>32</v>
      </c>
      <c r="K319" s="1" t="s">
        <v>47</v>
      </c>
      <c r="L319" s="1" t="s">
        <v>788</v>
      </c>
      <c r="M319">
        <v>7</v>
      </c>
      <c r="N319">
        <v>0</v>
      </c>
      <c r="O319">
        <v>63.739199999999997</v>
      </c>
      <c r="P319">
        <v>132.79</v>
      </c>
      <c r="Q319">
        <v>69.050799999999995</v>
      </c>
    </row>
    <row r="320" spans="1:17" x14ac:dyDescent="0.25">
      <c r="A320" s="2">
        <v>42786</v>
      </c>
      <c r="B320" s="2">
        <v>42789</v>
      </c>
      <c r="C320" s="1" t="s">
        <v>107</v>
      </c>
      <c r="D320" s="1" t="s">
        <v>789</v>
      </c>
      <c r="E320" s="1" t="s">
        <v>28</v>
      </c>
      <c r="F320" s="1" t="s">
        <v>20</v>
      </c>
      <c r="G320" s="1" t="s">
        <v>345</v>
      </c>
      <c r="H320" s="1" t="s">
        <v>30</v>
      </c>
      <c r="I320" s="1" t="s">
        <v>31</v>
      </c>
      <c r="J320" s="1" t="s">
        <v>24</v>
      </c>
      <c r="K320" s="1" t="s">
        <v>42</v>
      </c>
      <c r="L320" s="1" t="s">
        <v>790</v>
      </c>
      <c r="M320">
        <v>1</v>
      </c>
      <c r="N320">
        <v>0</v>
      </c>
      <c r="O320">
        <v>7.3358999999999996</v>
      </c>
      <c r="P320">
        <v>22.23</v>
      </c>
      <c r="Q320">
        <v>14.894100000000002</v>
      </c>
    </row>
    <row r="321" spans="1:17" x14ac:dyDescent="0.25">
      <c r="A321" s="2">
        <v>42600</v>
      </c>
      <c r="B321" s="2">
        <v>42605</v>
      </c>
      <c r="C321" s="1" t="s">
        <v>17</v>
      </c>
      <c r="D321" s="1" t="s">
        <v>789</v>
      </c>
      <c r="E321" s="1" t="s">
        <v>28</v>
      </c>
      <c r="F321" s="1" t="s">
        <v>20</v>
      </c>
      <c r="G321" s="1" t="s">
        <v>126</v>
      </c>
      <c r="H321" s="1" t="s">
        <v>127</v>
      </c>
      <c r="I321" s="1" t="s">
        <v>81</v>
      </c>
      <c r="J321" s="1" t="s">
        <v>32</v>
      </c>
      <c r="K321" s="1" t="s">
        <v>59</v>
      </c>
      <c r="L321" s="1" t="s">
        <v>791</v>
      </c>
      <c r="M321">
        <v>9</v>
      </c>
      <c r="N321">
        <v>0</v>
      </c>
      <c r="O321">
        <v>99.489599999999996</v>
      </c>
      <c r="P321">
        <v>355.32</v>
      </c>
      <c r="Q321">
        <v>255.8304</v>
      </c>
    </row>
    <row r="322" spans="1:17" x14ac:dyDescent="0.25">
      <c r="A322" s="2">
        <v>42441</v>
      </c>
      <c r="B322" s="2">
        <v>42446</v>
      </c>
      <c r="C322" s="1" t="s">
        <v>35</v>
      </c>
      <c r="D322" s="1" t="s">
        <v>792</v>
      </c>
      <c r="E322" s="1" t="s">
        <v>28</v>
      </c>
      <c r="F322" s="1" t="s">
        <v>20</v>
      </c>
      <c r="G322" s="1" t="s">
        <v>279</v>
      </c>
      <c r="H322" s="1" t="s">
        <v>280</v>
      </c>
      <c r="I322" s="1" t="s">
        <v>23</v>
      </c>
      <c r="J322" s="1" t="s">
        <v>32</v>
      </c>
      <c r="K322" s="1" t="s">
        <v>47</v>
      </c>
      <c r="L322" s="1" t="s">
        <v>793</v>
      </c>
      <c r="M322">
        <v>2</v>
      </c>
      <c r="N322">
        <v>0</v>
      </c>
      <c r="O322">
        <v>6.2207999999999997</v>
      </c>
      <c r="P322">
        <v>12.96</v>
      </c>
      <c r="Q322">
        <v>6.7392000000000012</v>
      </c>
    </row>
    <row r="323" spans="1:17" x14ac:dyDescent="0.25">
      <c r="A323" s="2">
        <v>42847</v>
      </c>
      <c r="B323" s="2">
        <v>42849</v>
      </c>
      <c r="C323" s="1" t="s">
        <v>107</v>
      </c>
      <c r="D323" s="1" t="s">
        <v>794</v>
      </c>
      <c r="E323" s="1" t="s">
        <v>19</v>
      </c>
      <c r="F323" s="1" t="s">
        <v>20</v>
      </c>
      <c r="G323" s="1" t="s">
        <v>71</v>
      </c>
      <c r="H323" s="1" t="s">
        <v>30</v>
      </c>
      <c r="I323" s="1" t="s">
        <v>31</v>
      </c>
      <c r="J323" s="1" t="s">
        <v>24</v>
      </c>
      <c r="K323" s="1" t="s">
        <v>42</v>
      </c>
      <c r="L323" s="1" t="s">
        <v>795</v>
      </c>
      <c r="M323">
        <v>2</v>
      </c>
      <c r="N323">
        <v>0</v>
      </c>
      <c r="O323">
        <v>6.2152000000000003</v>
      </c>
      <c r="P323">
        <v>18.28</v>
      </c>
      <c r="Q323">
        <v>12.064800000000002</v>
      </c>
    </row>
    <row r="324" spans="1:17" x14ac:dyDescent="0.25">
      <c r="A324" s="2">
        <v>41944</v>
      </c>
      <c r="B324" s="2">
        <v>41950</v>
      </c>
      <c r="C324" s="1" t="s">
        <v>35</v>
      </c>
      <c r="D324" s="1" t="s">
        <v>796</v>
      </c>
      <c r="E324" s="1" t="s">
        <v>19</v>
      </c>
      <c r="F324" s="1" t="s">
        <v>20</v>
      </c>
      <c r="G324" s="1" t="s">
        <v>306</v>
      </c>
      <c r="H324" s="1" t="s">
        <v>198</v>
      </c>
      <c r="I324" s="1" t="s">
        <v>31</v>
      </c>
      <c r="J324" s="1" t="s">
        <v>32</v>
      </c>
      <c r="K324" s="1" t="s">
        <v>72</v>
      </c>
      <c r="L324" s="1" t="s">
        <v>797</v>
      </c>
      <c r="M324">
        <v>3</v>
      </c>
      <c r="N324">
        <v>0.2</v>
      </c>
      <c r="O324">
        <v>4.3175999999999997</v>
      </c>
      <c r="P324">
        <v>43.176000000000002</v>
      </c>
      <c r="Q324">
        <v>38.858400000000003</v>
      </c>
    </row>
    <row r="325" spans="1:17" x14ac:dyDescent="0.25">
      <c r="A325" s="2">
        <v>41925</v>
      </c>
      <c r="B325" s="2">
        <v>41927</v>
      </c>
      <c r="C325" s="1" t="s">
        <v>107</v>
      </c>
      <c r="D325" s="1" t="s">
        <v>638</v>
      </c>
      <c r="E325" s="1" t="s">
        <v>19</v>
      </c>
      <c r="F325" s="1" t="s">
        <v>20</v>
      </c>
      <c r="G325" s="1" t="s">
        <v>798</v>
      </c>
      <c r="H325" s="1" t="s">
        <v>51</v>
      </c>
      <c r="I325" s="1" t="s">
        <v>31</v>
      </c>
      <c r="J325" s="1" t="s">
        <v>32</v>
      </c>
      <c r="K325" s="1" t="s">
        <v>72</v>
      </c>
      <c r="L325" s="1" t="s">
        <v>799</v>
      </c>
      <c r="M325">
        <v>4</v>
      </c>
      <c r="N325">
        <v>0</v>
      </c>
      <c r="O325">
        <v>3.2256</v>
      </c>
      <c r="P325">
        <v>11.52</v>
      </c>
      <c r="Q325">
        <v>8.2943999999999996</v>
      </c>
    </row>
    <row r="326" spans="1:17" x14ac:dyDescent="0.25">
      <c r="A326" s="2">
        <v>42869</v>
      </c>
      <c r="B326" s="2">
        <v>42869</v>
      </c>
      <c r="C326" s="1" t="s">
        <v>434</v>
      </c>
      <c r="D326" s="1" t="s">
        <v>800</v>
      </c>
      <c r="E326" s="1" t="s">
        <v>19</v>
      </c>
      <c r="F326" s="1" t="s">
        <v>20</v>
      </c>
      <c r="G326" s="1" t="s">
        <v>801</v>
      </c>
      <c r="H326" s="1" t="s">
        <v>30</v>
      </c>
      <c r="I326" s="1" t="s">
        <v>31</v>
      </c>
      <c r="J326" s="1" t="s">
        <v>24</v>
      </c>
      <c r="K326" s="1" t="s">
        <v>42</v>
      </c>
      <c r="L326" s="1" t="s">
        <v>795</v>
      </c>
      <c r="M326">
        <v>2</v>
      </c>
      <c r="N326">
        <v>0</v>
      </c>
      <c r="O326">
        <v>6.2152000000000003</v>
      </c>
      <c r="P326">
        <v>18.28</v>
      </c>
      <c r="Q326">
        <v>12.064800000000002</v>
      </c>
    </row>
    <row r="327" spans="1:17" x14ac:dyDescent="0.25">
      <c r="A327" s="2">
        <v>42083</v>
      </c>
      <c r="B327" s="2">
        <v>42086</v>
      </c>
      <c r="C327" s="1" t="s">
        <v>107</v>
      </c>
      <c r="D327" s="1" t="s">
        <v>802</v>
      </c>
      <c r="E327" s="1" t="s">
        <v>28</v>
      </c>
      <c r="F327" s="1" t="s">
        <v>20</v>
      </c>
      <c r="G327" s="1" t="s">
        <v>803</v>
      </c>
      <c r="H327" s="1" t="s">
        <v>63</v>
      </c>
      <c r="I327" s="1" t="s">
        <v>58</v>
      </c>
      <c r="J327" s="1" t="s">
        <v>32</v>
      </c>
      <c r="K327" s="1" t="s">
        <v>47</v>
      </c>
      <c r="L327" s="1" t="s">
        <v>804</v>
      </c>
      <c r="M327">
        <v>8</v>
      </c>
      <c r="N327">
        <v>0</v>
      </c>
      <c r="O327">
        <v>24.883199999999999</v>
      </c>
      <c r="P327">
        <v>51.84</v>
      </c>
      <c r="Q327">
        <v>26.956800000000005</v>
      </c>
    </row>
    <row r="328" spans="1:17" x14ac:dyDescent="0.25">
      <c r="A328" s="2">
        <v>41818</v>
      </c>
      <c r="B328" s="2">
        <v>41822</v>
      </c>
      <c r="C328" s="1" t="s">
        <v>35</v>
      </c>
      <c r="D328" s="1" t="s">
        <v>617</v>
      </c>
      <c r="E328" s="1" t="s">
        <v>19</v>
      </c>
      <c r="F328" s="1" t="s">
        <v>20</v>
      </c>
      <c r="G328" s="1" t="s">
        <v>79</v>
      </c>
      <c r="H328" s="1" t="s">
        <v>80</v>
      </c>
      <c r="I328" s="1" t="s">
        <v>81</v>
      </c>
      <c r="J328" s="1" t="s">
        <v>32</v>
      </c>
      <c r="K328" s="1" t="s">
        <v>47</v>
      </c>
      <c r="L328" s="1" t="s">
        <v>805</v>
      </c>
      <c r="M328">
        <v>8</v>
      </c>
      <c r="N328">
        <v>0.2</v>
      </c>
      <c r="O328">
        <v>14.5152</v>
      </c>
      <c r="P328">
        <v>41.472000000000001</v>
      </c>
      <c r="Q328">
        <v>26.956800000000001</v>
      </c>
    </row>
    <row r="329" spans="1:17" x14ac:dyDescent="0.25">
      <c r="A329" s="2">
        <v>42906</v>
      </c>
      <c r="B329" s="2">
        <v>42913</v>
      </c>
      <c r="C329" s="1" t="s">
        <v>35</v>
      </c>
      <c r="D329" s="1" t="s">
        <v>806</v>
      </c>
      <c r="E329" s="1" t="s">
        <v>19</v>
      </c>
      <c r="F329" s="1" t="s">
        <v>20</v>
      </c>
      <c r="G329" s="1" t="s">
        <v>376</v>
      </c>
      <c r="H329" s="1" t="s">
        <v>298</v>
      </c>
      <c r="I329" s="1" t="s">
        <v>81</v>
      </c>
      <c r="J329" s="1" t="s">
        <v>99</v>
      </c>
      <c r="K329" s="1" t="s">
        <v>111</v>
      </c>
      <c r="L329" s="1" t="s">
        <v>807</v>
      </c>
      <c r="M329">
        <v>3</v>
      </c>
      <c r="N329">
        <v>0</v>
      </c>
      <c r="O329">
        <v>71.991</v>
      </c>
      <c r="P329">
        <v>239.97</v>
      </c>
      <c r="Q329">
        <v>167.97899999999998</v>
      </c>
    </row>
    <row r="330" spans="1:17" x14ac:dyDescent="0.25">
      <c r="A330" s="2">
        <v>42968</v>
      </c>
      <c r="B330" s="2">
        <v>42975</v>
      </c>
      <c r="C330" s="1" t="s">
        <v>35</v>
      </c>
      <c r="D330" s="1" t="s">
        <v>808</v>
      </c>
      <c r="E330" s="1" t="s">
        <v>19</v>
      </c>
      <c r="F330" s="1" t="s">
        <v>20</v>
      </c>
      <c r="G330" s="1" t="s">
        <v>341</v>
      </c>
      <c r="H330" s="1" t="s">
        <v>110</v>
      </c>
      <c r="I330" s="1" t="s">
        <v>58</v>
      </c>
      <c r="J330" s="1" t="s">
        <v>32</v>
      </c>
      <c r="K330" s="1" t="s">
        <v>128</v>
      </c>
      <c r="L330" s="1" t="s">
        <v>809</v>
      </c>
      <c r="M330">
        <v>7</v>
      </c>
      <c r="N330">
        <v>0</v>
      </c>
      <c r="O330">
        <v>16.8</v>
      </c>
      <c r="P330">
        <v>35</v>
      </c>
      <c r="Q330">
        <v>18.2</v>
      </c>
    </row>
    <row r="331" spans="1:17" x14ac:dyDescent="0.25">
      <c r="A331" s="2">
        <v>42902</v>
      </c>
      <c r="B331" s="2">
        <v>42907</v>
      </c>
      <c r="C331" s="1" t="s">
        <v>17</v>
      </c>
      <c r="D331" s="1" t="s">
        <v>150</v>
      </c>
      <c r="E331" s="1" t="s">
        <v>19</v>
      </c>
      <c r="F331" s="1" t="s">
        <v>20</v>
      </c>
      <c r="G331" s="1" t="s">
        <v>810</v>
      </c>
      <c r="H331" s="1" t="s">
        <v>22</v>
      </c>
      <c r="I331" s="1" t="s">
        <v>23</v>
      </c>
      <c r="J331" s="1" t="s">
        <v>24</v>
      </c>
      <c r="K331" s="1" t="s">
        <v>82</v>
      </c>
      <c r="L331" s="1" t="s">
        <v>811</v>
      </c>
      <c r="M331">
        <v>2</v>
      </c>
      <c r="N331">
        <v>0</v>
      </c>
      <c r="O331">
        <v>90.587999999999994</v>
      </c>
      <c r="P331">
        <v>301.95999999999998</v>
      </c>
      <c r="Q331">
        <v>211.37199999999999</v>
      </c>
    </row>
    <row r="332" spans="1:17" x14ac:dyDescent="0.25">
      <c r="A332" s="2">
        <v>42574</v>
      </c>
      <c r="B332" s="2">
        <v>42578</v>
      </c>
      <c r="C332" s="1" t="s">
        <v>35</v>
      </c>
      <c r="D332" s="1" t="s">
        <v>269</v>
      </c>
      <c r="E332" s="1" t="s">
        <v>28</v>
      </c>
      <c r="F332" s="1" t="s">
        <v>20</v>
      </c>
      <c r="G332" s="1" t="s">
        <v>336</v>
      </c>
      <c r="H332" s="1" t="s">
        <v>38</v>
      </c>
      <c r="I332" s="1" t="s">
        <v>23</v>
      </c>
      <c r="J332" s="1" t="s">
        <v>32</v>
      </c>
      <c r="K332" s="1" t="s">
        <v>72</v>
      </c>
      <c r="L332" s="1" t="s">
        <v>812</v>
      </c>
      <c r="M332">
        <v>2</v>
      </c>
      <c r="N332">
        <v>0.2</v>
      </c>
      <c r="O332">
        <v>2.6412</v>
      </c>
      <c r="P332">
        <v>35.216000000000001</v>
      </c>
      <c r="Q332">
        <v>32.574800000000003</v>
      </c>
    </row>
    <row r="333" spans="1:17" x14ac:dyDescent="0.25">
      <c r="A333" s="2">
        <v>42436</v>
      </c>
      <c r="B333" s="2">
        <v>42441</v>
      </c>
      <c r="C333" s="1" t="s">
        <v>35</v>
      </c>
      <c r="D333" s="1" t="s">
        <v>528</v>
      </c>
      <c r="E333" s="1" t="s">
        <v>28</v>
      </c>
      <c r="F333" s="1" t="s">
        <v>20</v>
      </c>
      <c r="G333" s="1" t="s">
        <v>56</v>
      </c>
      <c r="H333" s="1" t="s">
        <v>57</v>
      </c>
      <c r="I333" s="1" t="s">
        <v>58</v>
      </c>
      <c r="J333" s="1" t="s">
        <v>99</v>
      </c>
      <c r="K333" s="1" t="s">
        <v>100</v>
      </c>
      <c r="L333" s="1" t="s">
        <v>813</v>
      </c>
      <c r="M333">
        <v>3</v>
      </c>
      <c r="N333">
        <v>0.2</v>
      </c>
      <c r="O333">
        <v>1.5804</v>
      </c>
      <c r="P333">
        <v>21.071999999999999</v>
      </c>
      <c r="Q333">
        <v>19.491599999999998</v>
      </c>
    </row>
    <row r="334" spans="1:17" x14ac:dyDescent="0.25">
      <c r="A334" s="2">
        <v>42328</v>
      </c>
      <c r="B334" s="2">
        <v>42333</v>
      </c>
      <c r="C334" s="1" t="s">
        <v>35</v>
      </c>
      <c r="D334" s="1" t="s">
        <v>814</v>
      </c>
      <c r="E334" s="1" t="s">
        <v>28</v>
      </c>
      <c r="F334" s="1" t="s">
        <v>20</v>
      </c>
      <c r="G334" s="1" t="s">
        <v>126</v>
      </c>
      <c r="H334" s="1" t="s">
        <v>127</v>
      </c>
      <c r="I334" s="1" t="s">
        <v>81</v>
      </c>
      <c r="J334" s="1" t="s">
        <v>32</v>
      </c>
      <c r="K334" s="1" t="s">
        <v>72</v>
      </c>
      <c r="L334" s="1" t="s">
        <v>815</v>
      </c>
      <c r="M334">
        <v>3</v>
      </c>
      <c r="N334">
        <v>0</v>
      </c>
      <c r="O334">
        <v>16.3215</v>
      </c>
      <c r="P334">
        <v>60.45</v>
      </c>
      <c r="Q334">
        <v>44.128500000000003</v>
      </c>
    </row>
    <row r="335" spans="1:17" x14ac:dyDescent="0.25">
      <c r="A335" s="2">
        <v>42681</v>
      </c>
      <c r="B335" s="2">
        <v>42683</v>
      </c>
      <c r="C335" s="1" t="s">
        <v>107</v>
      </c>
      <c r="D335" s="1" t="s">
        <v>816</v>
      </c>
      <c r="E335" s="1" t="s">
        <v>28</v>
      </c>
      <c r="F335" s="1" t="s">
        <v>20</v>
      </c>
      <c r="G335" s="1" t="s">
        <v>29</v>
      </c>
      <c r="H335" s="1" t="s">
        <v>30</v>
      </c>
      <c r="I335" s="1" t="s">
        <v>31</v>
      </c>
      <c r="J335" s="1" t="s">
        <v>32</v>
      </c>
      <c r="K335" s="1" t="s">
        <v>52</v>
      </c>
      <c r="L335" s="1" t="s">
        <v>817</v>
      </c>
      <c r="M335">
        <v>4</v>
      </c>
      <c r="N335">
        <v>0.2</v>
      </c>
      <c r="O335">
        <v>11.7</v>
      </c>
      <c r="P335">
        <v>37.44</v>
      </c>
      <c r="Q335">
        <v>25.74</v>
      </c>
    </row>
    <row r="336" spans="1:17" x14ac:dyDescent="0.25">
      <c r="A336" s="2">
        <v>42290</v>
      </c>
      <c r="B336" s="2">
        <v>42294</v>
      </c>
      <c r="C336" s="1" t="s">
        <v>35</v>
      </c>
      <c r="D336" s="1" t="s">
        <v>818</v>
      </c>
      <c r="E336" s="1" t="s">
        <v>19</v>
      </c>
      <c r="F336" s="1" t="s">
        <v>20</v>
      </c>
      <c r="G336" s="1" t="s">
        <v>499</v>
      </c>
      <c r="H336" s="1" t="s">
        <v>22</v>
      </c>
      <c r="I336" s="1" t="s">
        <v>23</v>
      </c>
      <c r="J336" s="1" t="s">
        <v>99</v>
      </c>
      <c r="K336" s="1" t="s">
        <v>100</v>
      </c>
      <c r="L336" s="1" t="s">
        <v>819</v>
      </c>
      <c r="M336">
        <v>7</v>
      </c>
      <c r="N336">
        <v>0</v>
      </c>
      <c r="O336">
        <v>23.441600000000001</v>
      </c>
      <c r="P336">
        <v>83.72</v>
      </c>
      <c r="Q336">
        <v>60.278399999999998</v>
      </c>
    </row>
    <row r="337" spans="1:17" x14ac:dyDescent="0.25">
      <c r="A337" s="2">
        <v>42736</v>
      </c>
      <c r="B337" s="2">
        <v>42741</v>
      </c>
      <c r="C337" s="1" t="s">
        <v>35</v>
      </c>
      <c r="D337" s="1" t="s">
        <v>820</v>
      </c>
      <c r="E337" s="1" t="s">
        <v>19</v>
      </c>
      <c r="F337" s="1" t="s">
        <v>20</v>
      </c>
      <c r="G337" s="1" t="s">
        <v>821</v>
      </c>
      <c r="H337" s="1" t="s">
        <v>214</v>
      </c>
      <c r="I337" s="1" t="s">
        <v>81</v>
      </c>
      <c r="J337" s="1" t="s">
        <v>24</v>
      </c>
      <c r="K337" s="1" t="s">
        <v>42</v>
      </c>
      <c r="L337" s="1" t="s">
        <v>822</v>
      </c>
      <c r="M337">
        <v>4</v>
      </c>
      <c r="N337">
        <v>0.2</v>
      </c>
      <c r="O337">
        <v>8.5568000000000008</v>
      </c>
      <c r="P337">
        <v>48.896000000000001</v>
      </c>
      <c r="Q337">
        <v>40.339199999999998</v>
      </c>
    </row>
    <row r="338" spans="1:17" x14ac:dyDescent="0.25">
      <c r="A338" s="2">
        <v>41677</v>
      </c>
      <c r="B338" s="2">
        <v>41682</v>
      </c>
      <c r="C338" s="1" t="s">
        <v>35</v>
      </c>
      <c r="D338" s="1" t="s">
        <v>823</v>
      </c>
      <c r="E338" s="1" t="s">
        <v>28</v>
      </c>
      <c r="F338" s="1" t="s">
        <v>20</v>
      </c>
      <c r="G338" s="1" t="s">
        <v>824</v>
      </c>
      <c r="H338" s="1" t="s">
        <v>298</v>
      </c>
      <c r="I338" s="1" t="s">
        <v>81</v>
      </c>
      <c r="J338" s="1" t="s">
        <v>99</v>
      </c>
      <c r="K338" s="1" t="s">
        <v>111</v>
      </c>
      <c r="L338" s="1" t="s">
        <v>825</v>
      </c>
      <c r="M338">
        <v>7</v>
      </c>
      <c r="N338">
        <v>0</v>
      </c>
      <c r="O338">
        <v>49.604799999999997</v>
      </c>
      <c r="P338">
        <v>115.36</v>
      </c>
      <c r="Q338">
        <v>65.755200000000002</v>
      </c>
    </row>
    <row r="339" spans="1:17" x14ac:dyDescent="0.25">
      <c r="A339" s="2">
        <v>42419</v>
      </c>
      <c r="B339" s="2">
        <v>42424</v>
      </c>
      <c r="C339" s="1" t="s">
        <v>35</v>
      </c>
      <c r="D339" s="1" t="s">
        <v>808</v>
      </c>
      <c r="E339" s="1" t="s">
        <v>19</v>
      </c>
      <c r="F339" s="1" t="s">
        <v>20</v>
      </c>
      <c r="G339" s="1" t="s">
        <v>126</v>
      </c>
      <c r="H339" s="1" t="s">
        <v>127</v>
      </c>
      <c r="I339" s="1" t="s">
        <v>81</v>
      </c>
      <c r="J339" s="1" t="s">
        <v>24</v>
      </c>
      <c r="K339" s="1" t="s">
        <v>42</v>
      </c>
      <c r="L339" s="1" t="s">
        <v>790</v>
      </c>
      <c r="M339">
        <v>2</v>
      </c>
      <c r="N339">
        <v>0</v>
      </c>
      <c r="O339">
        <v>14.671799999999999</v>
      </c>
      <c r="P339">
        <v>44.46</v>
      </c>
      <c r="Q339">
        <v>29.788200000000003</v>
      </c>
    </row>
    <row r="340" spans="1:17" x14ac:dyDescent="0.25">
      <c r="A340" s="2">
        <v>41854</v>
      </c>
      <c r="B340" s="2">
        <v>41859</v>
      </c>
      <c r="C340" s="1" t="s">
        <v>35</v>
      </c>
      <c r="D340" s="1" t="s">
        <v>826</v>
      </c>
      <c r="E340" s="1" t="s">
        <v>19</v>
      </c>
      <c r="F340" s="1" t="s">
        <v>20</v>
      </c>
      <c r="G340" s="1" t="s">
        <v>126</v>
      </c>
      <c r="H340" s="1" t="s">
        <v>127</v>
      </c>
      <c r="I340" s="1" t="s">
        <v>81</v>
      </c>
      <c r="J340" s="1" t="s">
        <v>32</v>
      </c>
      <c r="K340" s="1" t="s">
        <v>47</v>
      </c>
      <c r="L340" s="1" t="s">
        <v>827</v>
      </c>
      <c r="M340">
        <v>2</v>
      </c>
      <c r="N340">
        <v>0</v>
      </c>
      <c r="O340">
        <v>18.781199999999998</v>
      </c>
      <c r="P340">
        <v>39.96</v>
      </c>
      <c r="Q340">
        <v>21.178800000000003</v>
      </c>
    </row>
    <row r="341" spans="1:17" x14ac:dyDescent="0.25">
      <c r="A341" s="2">
        <v>42835</v>
      </c>
      <c r="B341" s="2">
        <v>42840</v>
      </c>
      <c r="C341" s="1" t="s">
        <v>35</v>
      </c>
      <c r="D341" s="1" t="s">
        <v>828</v>
      </c>
      <c r="E341" s="1" t="s">
        <v>55</v>
      </c>
      <c r="F341" s="1" t="s">
        <v>20</v>
      </c>
      <c r="G341" s="1" t="s">
        <v>829</v>
      </c>
      <c r="H341" s="1" t="s">
        <v>298</v>
      </c>
      <c r="I341" s="1" t="s">
        <v>81</v>
      </c>
      <c r="J341" s="1" t="s">
        <v>32</v>
      </c>
      <c r="K341" s="1" t="s">
        <v>47</v>
      </c>
      <c r="L341" s="1" t="s">
        <v>346</v>
      </c>
      <c r="M341">
        <v>1</v>
      </c>
      <c r="N341">
        <v>0</v>
      </c>
      <c r="O341">
        <v>3.5767000000000002</v>
      </c>
      <c r="P341">
        <v>7.61</v>
      </c>
      <c r="Q341">
        <v>4.0333000000000006</v>
      </c>
    </row>
    <row r="342" spans="1:17" x14ac:dyDescent="0.25">
      <c r="A342" s="2">
        <v>41799</v>
      </c>
      <c r="B342" s="2">
        <v>41806</v>
      </c>
      <c r="C342" s="1" t="s">
        <v>35</v>
      </c>
      <c r="D342" s="1" t="s">
        <v>830</v>
      </c>
      <c r="E342" s="1" t="s">
        <v>19</v>
      </c>
      <c r="F342" s="1" t="s">
        <v>20</v>
      </c>
      <c r="G342" s="1" t="s">
        <v>71</v>
      </c>
      <c r="H342" s="1" t="s">
        <v>30</v>
      </c>
      <c r="I342" s="1" t="s">
        <v>31</v>
      </c>
      <c r="J342" s="1" t="s">
        <v>32</v>
      </c>
      <c r="K342" s="1" t="s">
        <v>476</v>
      </c>
      <c r="L342" s="1" t="s">
        <v>831</v>
      </c>
      <c r="M342">
        <v>2</v>
      </c>
      <c r="N342">
        <v>0</v>
      </c>
      <c r="O342">
        <v>0.1472</v>
      </c>
      <c r="P342">
        <v>7.36</v>
      </c>
      <c r="Q342">
        <v>7.2128000000000005</v>
      </c>
    </row>
    <row r="343" spans="1:17" x14ac:dyDescent="0.25">
      <c r="A343" s="2">
        <v>42374</v>
      </c>
      <c r="B343" s="2">
        <v>42376</v>
      </c>
      <c r="C343" s="1" t="s">
        <v>17</v>
      </c>
      <c r="D343" s="1" t="s">
        <v>769</v>
      </c>
      <c r="E343" s="1" t="s">
        <v>28</v>
      </c>
      <c r="F343" s="1" t="s">
        <v>20</v>
      </c>
      <c r="G343" s="1" t="s">
        <v>516</v>
      </c>
      <c r="H343" s="1" t="s">
        <v>38</v>
      </c>
      <c r="I343" s="1" t="s">
        <v>23</v>
      </c>
      <c r="J343" s="1" t="s">
        <v>99</v>
      </c>
      <c r="K343" s="1" t="s">
        <v>111</v>
      </c>
      <c r="L343" s="1" t="s">
        <v>832</v>
      </c>
      <c r="M343">
        <v>6</v>
      </c>
      <c r="N343">
        <v>0.2</v>
      </c>
      <c r="O343">
        <v>40.687800000000003</v>
      </c>
      <c r="P343">
        <v>191.47200000000001</v>
      </c>
      <c r="Q343">
        <v>150.7842</v>
      </c>
    </row>
    <row r="344" spans="1:17" x14ac:dyDescent="0.25">
      <c r="A344" s="2">
        <v>42642</v>
      </c>
      <c r="B344" s="2">
        <v>42645</v>
      </c>
      <c r="C344" s="1" t="s">
        <v>107</v>
      </c>
      <c r="D344" s="1" t="s">
        <v>833</v>
      </c>
      <c r="E344" s="1" t="s">
        <v>28</v>
      </c>
      <c r="F344" s="1" t="s">
        <v>20</v>
      </c>
      <c r="G344" s="1" t="s">
        <v>79</v>
      </c>
      <c r="H344" s="1" t="s">
        <v>80</v>
      </c>
      <c r="I344" s="1" t="s">
        <v>81</v>
      </c>
      <c r="J344" s="1" t="s">
        <v>32</v>
      </c>
      <c r="K344" s="1" t="s">
        <v>33</v>
      </c>
      <c r="L344" s="1" t="s">
        <v>834</v>
      </c>
      <c r="M344">
        <v>4</v>
      </c>
      <c r="N344">
        <v>0.2</v>
      </c>
      <c r="O344">
        <v>5.1791999999999998</v>
      </c>
      <c r="P344">
        <v>15.936</v>
      </c>
      <c r="Q344">
        <v>10.7568</v>
      </c>
    </row>
    <row r="345" spans="1:17" x14ac:dyDescent="0.25">
      <c r="A345" s="2">
        <v>41735</v>
      </c>
      <c r="B345" s="2">
        <v>41739</v>
      </c>
      <c r="C345" s="1" t="s">
        <v>35</v>
      </c>
      <c r="D345" s="1" t="s">
        <v>835</v>
      </c>
      <c r="E345" s="1" t="s">
        <v>28</v>
      </c>
      <c r="F345" s="1" t="s">
        <v>20</v>
      </c>
      <c r="G345" s="1" t="s">
        <v>777</v>
      </c>
      <c r="H345" s="1" t="s">
        <v>80</v>
      </c>
      <c r="I345" s="1" t="s">
        <v>81</v>
      </c>
      <c r="J345" s="1" t="s">
        <v>32</v>
      </c>
      <c r="K345" s="1" t="s">
        <v>52</v>
      </c>
      <c r="L345" s="1" t="s">
        <v>836</v>
      </c>
      <c r="M345">
        <v>6</v>
      </c>
      <c r="N345">
        <v>0.7</v>
      </c>
      <c r="O345">
        <v>-35.927999999999997</v>
      </c>
      <c r="P345">
        <v>44.91</v>
      </c>
      <c r="Q345">
        <v>80.837999999999994</v>
      </c>
    </row>
    <row r="346" spans="1:17" x14ac:dyDescent="0.25">
      <c r="A346" s="2">
        <v>42616</v>
      </c>
      <c r="B346" s="2">
        <v>42618</v>
      </c>
      <c r="C346" s="1" t="s">
        <v>107</v>
      </c>
      <c r="D346" s="1" t="s">
        <v>837</v>
      </c>
      <c r="E346" s="1" t="s">
        <v>55</v>
      </c>
      <c r="F346" s="1" t="s">
        <v>20</v>
      </c>
      <c r="G346" s="1" t="s">
        <v>79</v>
      </c>
      <c r="H346" s="1" t="s">
        <v>80</v>
      </c>
      <c r="I346" s="1" t="s">
        <v>81</v>
      </c>
      <c r="J346" s="1" t="s">
        <v>32</v>
      </c>
      <c r="K346" s="1" t="s">
        <v>52</v>
      </c>
      <c r="L346" s="1" t="s">
        <v>838</v>
      </c>
      <c r="M346">
        <v>5</v>
      </c>
      <c r="N346">
        <v>0.7</v>
      </c>
      <c r="O346">
        <v>-760.98</v>
      </c>
      <c r="P346">
        <v>1141.47</v>
      </c>
      <c r="Q346">
        <v>1902.45</v>
      </c>
    </row>
    <row r="347" spans="1:17" x14ac:dyDescent="0.25">
      <c r="A347" s="2">
        <v>41983</v>
      </c>
      <c r="B347" s="2">
        <v>41988</v>
      </c>
      <c r="C347" s="1" t="s">
        <v>35</v>
      </c>
      <c r="D347" s="1" t="s">
        <v>839</v>
      </c>
      <c r="E347" s="1" t="s">
        <v>19</v>
      </c>
      <c r="F347" s="1" t="s">
        <v>20</v>
      </c>
      <c r="G347" s="1" t="s">
        <v>126</v>
      </c>
      <c r="H347" s="1" t="s">
        <v>127</v>
      </c>
      <c r="I347" s="1" t="s">
        <v>81</v>
      </c>
      <c r="J347" s="1" t="s">
        <v>32</v>
      </c>
      <c r="K347" s="1" t="s">
        <v>47</v>
      </c>
      <c r="L347" s="1" t="s">
        <v>840</v>
      </c>
      <c r="M347">
        <v>2</v>
      </c>
      <c r="N347">
        <v>0</v>
      </c>
      <c r="O347">
        <v>5.2256</v>
      </c>
      <c r="P347">
        <v>11.36</v>
      </c>
      <c r="Q347">
        <v>6.1343999999999994</v>
      </c>
    </row>
    <row r="348" spans="1:17" x14ac:dyDescent="0.25">
      <c r="A348" s="2">
        <v>42972</v>
      </c>
      <c r="B348" s="2">
        <v>42976</v>
      </c>
      <c r="C348" s="1" t="s">
        <v>35</v>
      </c>
      <c r="D348" s="1" t="s">
        <v>820</v>
      </c>
      <c r="E348" s="1" t="s">
        <v>19</v>
      </c>
      <c r="F348" s="1" t="s">
        <v>20</v>
      </c>
      <c r="G348" s="1" t="s">
        <v>201</v>
      </c>
      <c r="H348" s="1" t="s">
        <v>46</v>
      </c>
      <c r="I348" s="1" t="s">
        <v>23</v>
      </c>
      <c r="J348" s="1" t="s">
        <v>32</v>
      </c>
      <c r="K348" s="1" t="s">
        <v>47</v>
      </c>
      <c r="L348" s="1" t="s">
        <v>841</v>
      </c>
      <c r="M348">
        <v>5</v>
      </c>
      <c r="N348">
        <v>0.2</v>
      </c>
      <c r="O348">
        <v>67.256</v>
      </c>
      <c r="P348">
        <v>192.16</v>
      </c>
      <c r="Q348">
        <v>124.904</v>
      </c>
    </row>
    <row r="349" spans="1:17" x14ac:dyDescent="0.25">
      <c r="A349" s="2">
        <v>42386</v>
      </c>
      <c r="B349" s="2">
        <v>42390</v>
      </c>
      <c r="C349" s="1" t="s">
        <v>35</v>
      </c>
      <c r="D349" s="1" t="s">
        <v>683</v>
      </c>
      <c r="E349" s="1" t="s">
        <v>55</v>
      </c>
      <c r="F349" s="1" t="s">
        <v>20</v>
      </c>
      <c r="G349" s="1" t="s">
        <v>45</v>
      </c>
      <c r="H349" s="1" t="s">
        <v>842</v>
      </c>
      <c r="I349" s="1" t="s">
        <v>81</v>
      </c>
      <c r="J349" s="1" t="s">
        <v>24</v>
      </c>
      <c r="K349" s="1" t="s">
        <v>42</v>
      </c>
      <c r="L349" s="1" t="s">
        <v>843</v>
      </c>
      <c r="M349">
        <v>3</v>
      </c>
      <c r="N349">
        <v>0</v>
      </c>
      <c r="O349">
        <v>64.518000000000001</v>
      </c>
      <c r="P349">
        <v>322.58999999999997</v>
      </c>
      <c r="Q349">
        <v>258.072</v>
      </c>
    </row>
    <row r="350" spans="1:17" x14ac:dyDescent="0.25">
      <c r="A350" s="2">
        <v>43069</v>
      </c>
      <c r="B350" s="2">
        <v>43071</v>
      </c>
      <c r="C350" s="1" t="s">
        <v>17</v>
      </c>
      <c r="D350" s="1" t="s">
        <v>54</v>
      </c>
      <c r="E350" s="1" t="s">
        <v>55</v>
      </c>
      <c r="F350" s="1" t="s">
        <v>20</v>
      </c>
      <c r="G350" s="1" t="s">
        <v>126</v>
      </c>
      <c r="H350" s="1" t="s">
        <v>127</v>
      </c>
      <c r="I350" s="1" t="s">
        <v>81</v>
      </c>
      <c r="J350" s="1" t="s">
        <v>32</v>
      </c>
      <c r="K350" s="1" t="s">
        <v>52</v>
      </c>
      <c r="L350" s="1" t="s">
        <v>844</v>
      </c>
      <c r="M350">
        <v>3</v>
      </c>
      <c r="N350">
        <v>0.2</v>
      </c>
      <c r="O350">
        <v>23.109300000000001</v>
      </c>
      <c r="P350">
        <v>68.471999999999994</v>
      </c>
      <c r="Q350">
        <v>45.36269999999999</v>
      </c>
    </row>
    <row r="351" spans="1:17" x14ac:dyDescent="0.25">
      <c r="A351" s="2">
        <v>42286</v>
      </c>
      <c r="B351" s="2">
        <v>42290</v>
      </c>
      <c r="C351" s="1" t="s">
        <v>35</v>
      </c>
      <c r="D351" s="1" t="s">
        <v>216</v>
      </c>
      <c r="E351" s="1" t="s">
        <v>19</v>
      </c>
      <c r="F351" s="1" t="s">
        <v>20</v>
      </c>
      <c r="G351" s="1" t="s">
        <v>143</v>
      </c>
      <c r="H351" s="1" t="s">
        <v>144</v>
      </c>
      <c r="I351" s="1" t="s">
        <v>23</v>
      </c>
      <c r="J351" s="1" t="s">
        <v>32</v>
      </c>
      <c r="K351" s="1" t="s">
        <v>64</v>
      </c>
      <c r="L351" s="1" t="s">
        <v>845</v>
      </c>
      <c r="M351">
        <v>2</v>
      </c>
      <c r="N351">
        <v>0</v>
      </c>
      <c r="O351">
        <v>8.3268000000000004</v>
      </c>
      <c r="P351">
        <v>30.84</v>
      </c>
      <c r="Q351">
        <v>22.513199999999998</v>
      </c>
    </row>
    <row r="352" spans="1:17" x14ac:dyDescent="0.25">
      <c r="A352" s="2">
        <v>43092</v>
      </c>
      <c r="B352" s="2">
        <v>43092</v>
      </c>
      <c r="C352" s="1" t="s">
        <v>434</v>
      </c>
      <c r="D352" s="1" t="s">
        <v>194</v>
      </c>
      <c r="E352" s="1" t="s">
        <v>19</v>
      </c>
      <c r="F352" s="1" t="s">
        <v>20</v>
      </c>
      <c r="G352" s="1" t="s">
        <v>71</v>
      </c>
      <c r="H352" s="1" t="s">
        <v>30</v>
      </c>
      <c r="I352" s="1" t="s">
        <v>31</v>
      </c>
      <c r="J352" s="1" t="s">
        <v>32</v>
      </c>
      <c r="K352" s="1" t="s">
        <v>72</v>
      </c>
      <c r="L352" s="1" t="s">
        <v>846</v>
      </c>
      <c r="M352">
        <v>4</v>
      </c>
      <c r="N352">
        <v>0</v>
      </c>
      <c r="O352">
        <v>5.9311999999999996</v>
      </c>
      <c r="P352">
        <v>13.48</v>
      </c>
      <c r="Q352">
        <v>7.5488000000000008</v>
      </c>
    </row>
    <row r="353" spans="1:17" x14ac:dyDescent="0.25">
      <c r="A353" s="2">
        <v>42665</v>
      </c>
      <c r="B353" s="2">
        <v>42667</v>
      </c>
      <c r="C353" s="1" t="s">
        <v>107</v>
      </c>
      <c r="D353" s="1" t="s">
        <v>847</v>
      </c>
      <c r="E353" s="1" t="s">
        <v>55</v>
      </c>
      <c r="F353" s="1" t="s">
        <v>20</v>
      </c>
      <c r="G353" s="1" t="s">
        <v>330</v>
      </c>
      <c r="H353" s="1" t="s">
        <v>115</v>
      </c>
      <c r="I353" s="1" t="s">
        <v>58</v>
      </c>
      <c r="J353" s="1" t="s">
        <v>24</v>
      </c>
      <c r="K353" s="1" t="s">
        <v>42</v>
      </c>
      <c r="L353" s="1" t="s">
        <v>674</v>
      </c>
      <c r="M353">
        <v>5</v>
      </c>
      <c r="N353">
        <v>0</v>
      </c>
      <c r="O353">
        <v>10.048</v>
      </c>
      <c r="P353">
        <v>31.4</v>
      </c>
      <c r="Q353">
        <v>21.351999999999997</v>
      </c>
    </row>
    <row r="354" spans="1:17" x14ac:dyDescent="0.25">
      <c r="A354" s="2">
        <v>41758</v>
      </c>
      <c r="B354" s="2">
        <v>41763</v>
      </c>
      <c r="C354" s="1" t="s">
        <v>35</v>
      </c>
      <c r="D354" s="1" t="s">
        <v>848</v>
      </c>
      <c r="E354" s="1" t="s">
        <v>19</v>
      </c>
      <c r="F354" s="1" t="s">
        <v>20</v>
      </c>
      <c r="G354" s="1" t="s">
        <v>172</v>
      </c>
      <c r="H354" s="1" t="s">
        <v>127</v>
      </c>
      <c r="I354" s="1" t="s">
        <v>81</v>
      </c>
      <c r="J354" s="1" t="s">
        <v>24</v>
      </c>
      <c r="K354" s="1" t="s">
        <v>42</v>
      </c>
      <c r="L354" s="1" t="s">
        <v>849</v>
      </c>
      <c r="M354">
        <v>2</v>
      </c>
      <c r="N354">
        <v>0</v>
      </c>
      <c r="O354">
        <v>5.9363999999999999</v>
      </c>
      <c r="P354">
        <v>17.46</v>
      </c>
      <c r="Q354">
        <v>11.523600000000002</v>
      </c>
    </row>
    <row r="355" spans="1:17" x14ac:dyDescent="0.25">
      <c r="A355" s="2">
        <v>42119</v>
      </c>
      <c r="B355" s="2">
        <v>42122</v>
      </c>
      <c r="C355" s="1" t="s">
        <v>17</v>
      </c>
      <c r="D355" s="1" t="s">
        <v>850</v>
      </c>
      <c r="E355" s="1" t="s">
        <v>28</v>
      </c>
      <c r="F355" s="1" t="s">
        <v>20</v>
      </c>
      <c r="G355" s="1" t="s">
        <v>29</v>
      </c>
      <c r="H355" s="1" t="s">
        <v>30</v>
      </c>
      <c r="I355" s="1" t="s">
        <v>31</v>
      </c>
      <c r="J355" s="1" t="s">
        <v>32</v>
      </c>
      <c r="K355" s="1" t="s">
        <v>52</v>
      </c>
      <c r="L355" s="1" t="s">
        <v>851</v>
      </c>
      <c r="M355">
        <v>3</v>
      </c>
      <c r="N355">
        <v>0.2</v>
      </c>
      <c r="O355">
        <v>4.5317999999999996</v>
      </c>
      <c r="P355">
        <v>13.944000000000001</v>
      </c>
      <c r="Q355">
        <v>9.4122000000000021</v>
      </c>
    </row>
    <row r="356" spans="1:17" x14ac:dyDescent="0.25">
      <c r="A356" s="2">
        <v>42912</v>
      </c>
      <c r="B356" s="2">
        <v>42918</v>
      </c>
      <c r="C356" s="1" t="s">
        <v>35</v>
      </c>
      <c r="D356" s="1" t="s">
        <v>852</v>
      </c>
      <c r="E356" s="1" t="s">
        <v>19</v>
      </c>
      <c r="F356" s="1" t="s">
        <v>20</v>
      </c>
      <c r="G356" s="1" t="s">
        <v>345</v>
      </c>
      <c r="H356" s="1" t="s">
        <v>30</v>
      </c>
      <c r="I356" s="1" t="s">
        <v>31</v>
      </c>
      <c r="J356" s="1" t="s">
        <v>32</v>
      </c>
      <c r="K356" s="1" t="s">
        <v>64</v>
      </c>
      <c r="L356" s="1" t="s">
        <v>853</v>
      </c>
      <c r="M356">
        <v>12</v>
      </c>
      <c r="N356">
        <v>0</v>
      </c>
      <c r="O356">
        <v>1.6752</v>
      </c>
      <c r="P356">
        <v>83.76</v>
      </c>
      <c r="Q356">
        <v>82.084800000000001</v>
      </c>
    </row>
    <row r="357" spans="1:17" x14ac:dyDescent="0.25">
      <c r="A357" s="2">
        <v>41982</v>
      </c>
      <c r="B357" s="2">
        <v>41989</v>
      </c>
      <c r="C357" s="1" t="s">
        <v>35</v>
      </c>
      <c r="D357" s="1" t="s">
        <v>823</v>
      </c>
      <c r="E357" s="1" t="s">
        <v>28</v>
      </c>
      <c r="F357" s="1" t="s">
        <v>20</v>
      </c>
      <c r="G357" s="1" t="s">
        <v>71</v>
      </c>
      <c r="H357" s="1" t="s">
        <v>30</v>
      </c>
      <c r="I357" s="1" t="s">
        <v>31</v>
      </c>
      <c r="J357" s="1" t="s">
        <v>32</v>
      </c>
      <c r="K357" s="1" t="s">
        <v>47</v>
      </c>
      <c r="L357" s="1" t="s">
        <v>497</v>
      </c>
      <c r="M357">
        <v>6</v>
      </c>
      <c r="N357">
        <v>0</v>
      </c>
      <c r="O357">
        <v>16.993200000000002</v>
      </c>
      <c r="P357">
        <v>34.68</v>
      </c>
      <c r="Q357">
        <v>17.686799999999998</v>
      </c>
    </row>
    <row r="358" spans="1:17" x14ac:dyDescent="0.25">
      <c r="A358" s="2">
        <v>42906</v>
      </c>
      <c r="B358" s="2">
        <v>42912</v>
      </c>
      <c r="C358" s="1" t="s">
        <v>35</v>
      </c>
      <c r="D358" s="1" t="s">
        <v>541</v>
      </c>
      <c r="E358" s="1" t="s">
        <v>19</v>
      </c>
      <c r="F358" s="1" t="s">
        <v>20</v>
      </c>
      <c r="G358" s="1" t="s">
        <v>507</v>
      </c>
      <c r="H358" s="1" t="s">
        <v>127</v>
      </c>
      <c r="I358" s="1" t="s">
        <v>81</v>
      </c>
      <c r="J358" s="1" t="s">
        <v>99</v>
      </c>
      <c r="K358" s="1" t="s">
        <v>111</v>
      </c>
      <c r="L358" s="1" t="s">
        <v>854</v>
      </c>
      <c r="M358">
        <v>5</v>
      </c>
      <c r="N358">
        <v>0</v>
      </c>
      <c r="O358">
        <v>14.994999999999999</v>
      </c>
      <c r="P358">
        <v>149.94999999999999</v>
      </c>
      <c r="Q358">
        <v>134.95499999999998</v>
      </c>
    </row>
    <row r="359" spans="1:17" x14ac:dyDescent="0.25">
      <c r="A359" s="2">
        <v>42684</v>
      </c>
      <c r="B359" s="2">
        <v>42686</v>
      </c>
      <c r="C359" s="1" t="s">
        <v>107</v>
      </c>
      <c r="D359" s="1" t="s">
        <v>855</v>
      </c>
      <c r="E359" s="1" t="s">
        <v>28</v>
      </c>
      <c r="F359" s="1" t="s">
        <v>20</v>
      </c>
      <c r="G359" s="1" t="s">
        <v>71</v>
      </c>
      <c r="H359" s="1" t="s">
        <v>30</v>
      </c>
      <c r="I359" s="1" t="s">
        <v>31</v>
      </c>
      <c r="J359" s="1" t="s">
        <v>32</v>
      </c>
      <c r="K359" s="1" t="s">
        <v>64</v>
      </c>
      <c r="L359" s="1" t="s">
        <v>856</v>
      </c>
      <c r="M359">
        <v>7</v>
      </c>
      <c r="N359">
        <v>0</v>
      </c>
      <c r="O359">
        <v>42.071399999999997</v>
      </c>
      <c r="P359">
        <v>155.82</v>
      </c>
      <c r="Q359">
        <v>113.7486</v>
      </c>
    </row>
    <row r="360" spans="1:17" x14ac:dyDescent="0.25">
      <c r="A360" s="2">
        <v>42646</v>
      </c>
      <c r="B360" s="2">
        <v>42649</v>
      </c>
      <c r="C360" s="1" t="s">
        <v>17</v>
      </c>
      <c r="D360" s="1" t="s">
        <v>857</v>
      </c>
      <c r="E360" s="1" t="s">
        <v>19</v>
      </c>
      <c r="F360" s="1" t="s">
        <v>20</v>
      </c>
      <c r="G360" s="1" t="s">
        <v>91</v>
      </c>
      <c r="H360" s="1" t="s">
        <v>57</v>
      </c>
      <c r="I360" s="1" t="s">
        <v>58</v>
      </c>
      <c r="J360" s="1" t="s">
        <v>32</v>
      </c>
      <c r="K360" s="1" t="s">
        <v>94</v>
      </c>
      <c r="L360" s="1" t="s">
        <v>263</v>
      </c>
      <c r="M360">
        <v>2</v>
      </c>
      <c r="N360">
        <v>0.2</v>
      </c>
      <c r="O360">
        <v>5.0856000000000003</v>
      </c>
      <c r="P360">
        <v>15.648</v>
      </c>
      <c r="Q360">
        <v>10.5624</v>
      </c>
    </row>
    <row r="361" spans="1:17" x14ac:dyDescent="0.25">
      <c r="A361" s="2">
        <v>41891</v>
      </c>
      <c r="B361" s="2">
        <v>41897</v>
      </c>
      <c r="C361" s="1" t="s">
        <v>35</v>
      </c>
      <c r="D361" s="1" t="s">
        <v>858</v>
      </c>
      <c r="E361" s="1" t="s">
        <v>19</v>
      </c>
      <c r="F361" s="1" t="s">
        <v>20</v>
      </c>
      <c r="G361" s="1" t="s">
        <v>330</v>
      </c>
      <c r="H361" s="1" t="s">
        <v>115</v>
      </c>
      <c r="I361" s="1" t="s">
        <v>58</v>
      </c>
      <c r="J361" s="1" t="s">
        <v>32</v>
      </c>
      <c r="K361" s="1" t="s">
        <v>33</v>
      </c>
      <c r="L361" s="1" t="s">
        <v>547</v>
      </c>
      <c r="M361">
        <v>7</v>
      </c>
      <c r="N361">
        <v>0</v>
      </c>
      <c r="O361">
        <v>51.8</v>
      </c>
      <c r="P361">
        <v>103.6</v>
      </c>
      <c r="Q361">
        <v>51.8</v>
      </c>
    </row>
    <row r="362" spans="1:17" x14ac:dyDescent="0.25">
      <c r="A362" s="2">
        <v>43037</v>
      </c>
      <c r="B362" s="2">
        <v>43039</v>
      </c>
      <c r="C362" s="1" t="s">
        <v>17</v>
      </c>
      <c r="D362" s="1" t="s">
        <v>859</v>
      </c>
      <c r="E362" s="1" t="s">
        <v>28</v>
      </c>
      <c r="F362" s="1" t="s">
        <v>20</v>
      </c>
      <c r="G362" s="1" t="s">
        <v>526</v>
      </c>
      <c r="H362" s="1" t="s">
        <v>127</v>
      </c>
      <c r="I362" s="1" t="s">
        <v>81</v>
      </c>
      <c r="J362" s="1" t="s">
        <v>32</v>
      </c>
      <c r="K362" s="1" t="s">
        <v>47</v>
      </c>
      <c r="L362" s="1" t="s">
        <v>860</v>
      </c>
      <c r="M362">
        <v>8</v>
      </c>
      <c r="N362">
        <v>0</v>
      </c>
      <c r="O362">
        <v>22.540800000000001</v>
      </c>
      <c r="P362">
        <v>46.96</v>
      </c>
      <c r="Q362">
        <v>24.4192</v>
      </c>
    </row>
    <row r="363" spans="1:17" x14ac:dyDescent="0.25">
      <c r="A363" s="2">
        <v>42470</v>
      </c>
      <c r="B363" s="2">
        <v>42472</v>
      </c>
      <c r="C363" s="1" t="s">
        <v>107</v>
      </c>
      <c r="D363" s="1" t="s">
        <v>861</v>
      </c>
      <c r="E363" s="1" t="s">
        <v>28</v>
      </c>
      <c r="F363" s="1" t="s">
        <v>20</v>
      </c>
      <c r="G363" s="1" t="s">
        <v>143</v>
      </c>
      <c r="H363" s="1" t="s">
        <v>214</v>
      </c>
      <c r="I363" s="1" t="s">
        <v>81</v>
      </c>
      <c r="J363" s="1" t="s">
        <v>32</v>
      </c>
      <c r="K363" s="1" t="s">
        <v>52</v>
      </c>
      <c r="L363" s="1" t="s">
        <v>862</v>
      </c>
      <c r="M363">
        <v>2</v>
      </c>
      <c r="N363">
        <v>0.7</v>
      </c>
      <c r="O363">
        <v>-6.5296000000000003</v>
      </c>
      <c r="P363">
        <v>8.9039999999999999</v>
      </c>
      <c r="Q363">
        <v>15.4336</v>
      </c>
    </row>
    <row r="364" spans="1:17" x14ac:dyDescent="0.25">
      <c r="A364" s="2">
        <v>43099</v>
      </c>
      <c r="B364" s="2">
        <v>43103</v>
      </c>
      <c r="C364" s="1" t="s">
        <v>35</v>
      </c>
      <c r="D364" s="1" t="s">
        <v>113</v>
      </c>
      <c r="E364" s="1" t="s">
        <v>19</v>
      </c>
      <c r="F364" s="1" t="s">
        <v>20</v>
      </c>
      <c r="G364" s="1" t="s">
        <v>126</v>
      </c>
      <c r="H364" s="1" t="s">
        <v>127</v>
      </c>
      <c r="I364" s="1" t="s">
        <v>81</v>
      </c>
      <c r="J364" s="1" t="s">
        <v>24</v>
      </c>
      <c r="K364" s="1" t="s">
        <v>25</v>
      </c>
      <c r="L364" s="1" t="s">
        <v>863</v>
      </c>
      <c r="M364">
        <v>4</v>
      </c>
      <c r="N364">
        <v>0.2</v>
      </c>
      <c r="O364">
        <v>12.117599999999999</v>
      </c>
      <c r="P364">
        <v>323.13600000000002</v>
      </c>
      <c r="Q364">
        <v>311.01840000000004</v>
      </c>
    </row>
    <row r="365" spans="1:17" x14ac:dyDescent="0.25">
      <c r="A365" s="2">
        <v>42155</v>
      </c>
      <c r="B365" s="2">
        <v>42162</v>
      </c>
      <c r="C365" s="1" t="s">
        <v>35</v>
      </c>
      <c r="D365" s="1" t="s">
        <v>864</v>
      </c>
      <c r="E365" s="1" t="s">
        <v>55</v>
      </c>
      <c r="F365" s="1" t="s">
        <v>20</v>
      </c>
      <c r="G365" s="1" t="s">
        <v>865</v>
      </c>
      <c r="H365" s="1" t="s">
        <v>284</v>
      </c>
      <c r="I365" s="1" t="s">
        <v>81</v>
      </c>
      <c r="J365" s="1" t="s">
        <v>24</v>
      </c>
      <c r="K365" s="1" t="s">
        <v>42</v>
      </c>
      <c r="L365" s="1" t="s">
        <v>689</v>
      </c>
      <c r="M365">
        <v>6</v>
      </c>
      <c r="N365">
        <v>0</v>
      </c>
      <c r="O365">
        <v>9.1020000000000003</v>
      </c>
      <c r="P365">
        <v>22.2</v>
      </c>
      <c r="Q365">
        <v>13.097999999999999</v>
      </c>
    </row>
    <row r="366" spans="1:17" x14ac:dyDescent="0.25">
      <c r="A366" s="2">
        <v>43066</v>
      </c>
      <c r="B366" s="2">
        <v>43068</v>
      </c>
      <c r="C366" s="1" t="s">
        <v>107</v>
      </c>
      <c r="D366" s="1" t="s">
        <v>814</v>
      </c>
      <c r="E366" s="1" t="s">
        <v>28</v>
      </c>
      <c r="F366" s="1" t="s">
        <v>20</v>
      </c>
      <c r="G366" s="1" t="s">
        <v>803</v>
      </c>
      <c r="H366" s="1" t="s">
        <v>63</v>
      </c>
      <c r="I366" s="1" t="s">
        <v>58</v>
      </c>
      <c r="J366" s="1" t="s">
        <v>24</v>
      </c>
      <c r="K366" s="1" t="s">
        <v>42</v>
      </c>
      <c r="L366" s="1" t="s">
        <v>866</v>
      </c>
      <c r="M366">
        <v>1</v>
      </c>
      <c r="N366">
        <v>0</v>
      </c>
      <c r="O366">
        <v>19.2454</v>
      </c>
      <c r="P366">
        <v>46.94</v>
      </c>
      <c r="Q366">
        <v>27.694599999999998</v>
      </c>
    </row>
    <row r="367" spans="1:17" x14ac:dyDescent="0.25">
      <c r="A367" s="2">
        <v>41805</v>
      </c>
      <c r="B367" s="2">
        <v>41811</v>
      </c>
      <c r="C367" s="1" t="s">
        <v>35</v>
      </c>
      <c r="D367" s="1" t="s">
        <v>867</v>
      </c>
      <c r="E367" s="1" t="s">
        <v>28</v>
      </c>
      <c r="F367" s="1" t="s">
        <v>20</v>
      </c>
      <c r="G367" s="1" t="s">
        <v>265</v>
      </c>
      <c r="H367" s="1" t="s">
        <v>57</v>
      </c>
      <c r="I367" s="1" t="s">
        <v>58</v>
      </c>
      <c r="J367" s="1" t="s">
        <v>24</v>
      </c>
      <c r="K367" s="1" t="s">
        <v>39</v>
      </c>
      <c r="L367" s="1" t="s">
        <v>868</v>
      </c>
      <c r="M367">
        <v>2</v>
      </c>
      <c r="N367">
        <v>0.3</v>
      </c>
      <c r="O367">
        <v>-18.5562</v>
      </c>
      <c r="P367">
        <v>99.918000000000006</v>
      </c>
      <c r="Q367">
        <v>118.47420000000001</v>
      </c>
    </row>
    <row r="368" spans="1:17" x14ac:dyDescent="0.25">
      <c r="A368" s="2">
        <v>42434</v>
      </c>
      <c r="B368" s="2">
        <v>42440</v>
      </c>
      <c r="C368" s="1" t="s">
        <v>35</v>
      </c>
      <c r="D368" s="1" t="s">
        <v>869</v>
      </c>
      <c r="E368" s="1" t="s">
        <v>28</v>
      </c>
      <c r="F368" s="1" t="s">
        <v>20</v>
      </c>
      <c r="G368" s="1" t="s">
        <v>309</v>
      </c>
      <c r="H368" s="1" t="s">
        <v>57</v>
      </c>
      <c r="I368" s="1" t="s">
        <v>58</v>
      </c>
      <c r="J368" s="1" t="s">
        <v>32</v>
      </c>
      <c r="K368" s="1" t="s">
        <v>94</v>
      </c>
      <c r="L368" s="1" t="s">
        <v>776</v>
      </c>
      <c r="M368">
        <v>3</v>
      </c>
      <c r="N368">
        <v>0.2</v>
      </c>
      <c r="O368">
        <v>50.406300000000002</v>
      </c>
      <c r="P368">
        <v>149.352</v>
      </c>
      <c r="Q368">
        <v>98.945700000000002</v>
      </c>
    </row>
    <row r="369" spans="1:17" x14ac:dyDescent="0.25">
      <c r="A369" s="2">
        <v>41978</v>
      </c>
      <c r="B369" s="2">
        <v>41985</v>
      </c>
      <c r="C369" s="1" t="s">
        <v>35</v>
      </c>
      <c r="D369" s="1" t="s">
        <v>356</v>
      </c>
      <c r="E369" s="1" t="s">
        <v>19</v>
      </c>
      <c r="F369" s="1" t="s">
        <v>20</v>
      </c>
      <c r="G369" s="1" t="s">
        <v>870</v>
      </c>
      <c r="H369" s="1" t="s">
        <v>144</v>
      </c>
      <c r="I369" s="1" t="s">
        <v>23</v>
      </c>
      <c r="J369" s="1" t="s">
        <v>32</v>
      </c>
      <c r="K369" s="1" t="s">
        <v>64</v>
      </c>
      <c r="L369" s="1" t="s">
        <v>762</v>
      </c>
      <c r="M369">
        <v>2</v>
      </c>
      <c r="N369">
        <v>0</v>
      </c>
      <c r="O369">
        <v>6.8768000000000002</v>
      </c>
      <c r="P369">
        <v>24.56</v>
      </c>
      <c r="Q369">
        <v>17.683199999999999</v>
      </c>
    </row>
    <row r="370" spans="1:17" x14ac:dyDescent="0.25">
      <c r="A370" s="2">
        <v>42105</v>
      </c>
      <c r="B370" s="2">
        <v>42109</v>
      </c>
      <c r="C370" s="1" t="s">
        <v>35</v>
      </c>
      <c r="D370" s="1" t="s">
        <v>871</v>
      </c>
      <c r="E370" s="1" t="s">
        <v>19</v>
      </c>
      <c r="F370" s="1" t="s">
        <v>20</v>
      </c>
      <c r="G370" s="1" t="s">
        <v>126</v>
      </c>
      <c r="H370" s="1" t="s">
        <v>127</v>
      </c>
      <c r="I370" s="1" t="s">
        <v>81</v>
      </c>
      <c r="J370" s="1" t="s">
        <v>99</v>
      </c>
      <c r="K370" s="1" t="s">
        <v>111</v>
      </c>
      <c r="L370" s="1" t="s">
        <v>872</v>
      </c>
      <c r="M370">
        <v>3</v>
      </c>
      <c r="N370">
        <v>0</v>
      </c>
      <c r="O370">
        <v>34.907400000000003</v>
      </c>
      <c r="P370">
        <v>85.14</v>
      </c>
      <c r="Q370">
        <v>50.232599999999998</v>
      </c>
    </row>
    <row r="371" spans="1:17" x14ac:dyDescent="0.25">
      <c r="A371" s="2">
        <v>42628</v>
      </c>
      <c r="B371" s="2">
        <v>42633</v>
      </c>
      <c r="C371" s="1" t="s">
        <v>35</v>
      </c>
      <c r="D371" s="1" t="s">
        <v>873</v>
      </c>
      <c r="E371" s="1" t="s">
        <v>28</v>
      </c>
      <c r="F371" s="1" t="s">
        <v>20</v>
      </c>
      <c r="G371" s="1" t="s">
        <v>126</v>
      </c>
      <c r="H371" s="1" t="s">
        <v>127</v>
      </c>
      <c r="I371" s="1" t="s">
        <v>81</v>
      </c>
      <c r="J371" s="1" t="s">
        <v>32</v>
      </c>
      <c r="K371" s="1" t="s">
        <v>52</v>
      </c>
      <c r="L371" s="1" t="s">
        <v>220</v>
      </c>
      <c r="M371">
        <v>2</v>
      </c>
      <c r="N371">
        <v>0.2</v>
      </c>
      <c r="O371">
        <v>294.54880000000003</v>
      </c>
      <c r="P371">
        <v>841.56799999999998</v>
      </c>
      <c r="Q371">
        <v>547.01919999999996</v>
      </c>
    </row>
    <row r="372" spans="1:17" x14ac:dyDescent="0.25">
      <c r="A372" s="2">
        <v>41895</v>
      </c>
      <c r="B372" s="2">
        <v>41898</v>
      </c>
      <c r="C372" s="1" t="s">
        <v>107</v>
      </c>
      <c r="D372" s="1" t="s">
        <v>874</v>
      </c>
      <c r="E372" s="1" t="s">
        <v>19</v>
      </c>
      <c r="F372" s="1" t="s">
        <v>20</v>
      </c>
      <c r="G372" s="1" t="s">
        <v>79</v>
      </c>
      <c r="H372" s="1" t="s">
        <v>80</v>
      </c>
      <c r="I372" s="1" t="s">
        <v>81</v>
      </c>
      <c r="J372" s="1" t="s">
        <v>32</v>
      </c>
      <c r="K372" s="1" t="s">
        <v>47</v>
      </c>
      <c r="L372" s="1" t="s">
        <v>875</v>
      </c>
      <c r="M372">
        <v>3</v>
      </c>
      <c r="N372">
        <v>0.2</v>
      </c>
      <c r="O372">
        <v>5.4432</v>
      </c>
      <c r="P372">
        <v>15.552</v>
      </c>
      <c r="Q372">
        <v>10.108799999999999</v>
      </c>
    </row>
    <row r="373" spans="1:17" x14ac:dyDescent="0.25">
      <c r="A373" s="2">
        <v>42980</v>
      </c>
      <c r="B373" s="2">
        <v>42984</v>
      </c>
      <c r="C373" s="1" t="s">
        <v>35</v>
      </c>
      <c r="D373" s="1" t="s">
        <v>876</v>
      </c>
      <c r="E373" s="1" t="s">
        <v>19</v>
      </c>
      <c r="F373" s="1" t="s">
        <v>20</v>
      </c>
      <c r="G373" s="1" t="s">
        <v>79</v>
      </c>
      <c r="H373" s="1" t="s">
        <v>80</v>
      </c>
      <c r="I373" s="1" t="s">
        <v>81</v>
      </c>
      <c r="J373" s="1" t="s">
        <v>32</v>
      </c>
      <c r="K373" s="1" t="s">
        <v>47</v>
      </c>
      <c r="L373" s="1" t="s">
        <v>877</v>
      </c>
      <c r="M373">
        <v>3</v>
      </c>
      <c r="N373">
        <v>0.2</v>
      </c>
      <c r="O373">
        <v>4.1147999999999998</v>
      </c>
      <c r="P373">
        <v>12.192</v>
      </c>
      <c r="Q373">
        <v>8.0772000000000013</v>
      </c>
    </row>
    <row r="374" spans="1:17" x14ac:dyDescent="0.25">
      <c r="A374" s="2">
        <v>42541</v>
      </c>
      <c r="B374" s="2">
        <v>42545</v>
      </c>
      <c r="C374" s="1" t="s">
        <v>35</v>
      </c>
      <c r="D374" s="1" t="s">
        <v>878</v>
      </c>
      <c r="E374" s="1" t="s">
        <v>55</v>
      </c>
      <c r="F374" s="1" t="s">
        <v>20</v>
      </c>
      <c r="G374" s="1" t="s">
        <v>79</v>
      </c>
      <c r="H374" s="1" t="s">
        <v>80</v>
      </c>
      <c r="I374" s="1" t="s">
        <v>81</v>
      </c>
      <c r="J374" s="1" t="s">
        <v>32</v>
      </c>
      <c r="K374" s="1" t="s">
        <v>47</v>
      </c>
      <c r="L374" s="1" t="s">
        <v>879</v>
      </c>
      <c r="M374">
        <v>8</v>
      </c>
      <c r="N374">
        <v>0.2</v>
      </c>
      <c r="O374">
        <v>15.2064</v>
      </c>
      <c r="P374">
        <v>45.055999999999997</v>
      </c>
      <c r="Q374">
        <v>29.849599999999995</v>
      </c>
    </row>
    <row r="375" spans="1:17" x14ac:dyDescent="0.25">
      <c r="A375" s="2">
        <v>43044</v>
      </c>
      <c r="B375" s="2">
        <v>43045</v>
      </c>
      <c r="C375" s="1" t="s">
        <v>107</v>
      </c>
      <c r="D375" s="1" t="s">
        <v>102</v>
      </c>
      <c r="E375" s="1" t="s">
        <v>28</v>
      </c>
      <c r="F375" s="1" t="s">
        <v>20</v>
      </c>
      <c r="G375" s="1" t="s">
        <v>880</v>
      </c>
      <c r="H375" s="1" t="s">
        <v>262</v>
      </c>
      <c r="I375" s="1" t="s">
        <v>31</v>
      </c>
      <c r="J375" s="1" t="s">
        <v>99</v>
      </c>
      <c r="K375" s="1" t="s">
        <v>111</v>
      </c>
      <c r="L375" s="1" t="s">
        <v>709</v>
      </c>
      <c r="M375">
        <v>1</v>
      </c>
      <c r="N375">
        <v>0</v>
      </c>
      <c r="O375">
        <v>54.396599999999999</v>
      </c>
      <c r="P375">
        <v>159.99</v>
      </c>
      <c r="Q375">
        <v>105.5934</v>
      </c>
    </row>
    <row r="376" spans="1:17" x14ac:dyDescent="0.25">
      <c r="A376" s="2">
        <v>42351</v>
      </c>
      <c r="B376" s="2">
        <v>42355</v>
      </c>
      <c r="C376" s="1" t="s">
        <v>35</v>
      </c>
      <c r="D376" s="1" t="s">
        <v>881</v>
      </c>
      <c r="E376" s="1" t="s">
        <v>28</v>
      </c>
      <c r="F376" s="1" t="s">
        <v>20</v>
      </c>
      <c r="G376" s="1" t="s">
        <v>882</v>
      </c>
      <c r="H376" s="1" t="s">
        <v>30</v>
      </c>
      <c r="I376" s="1" t="s">
        <v>31</v>
      </c>
      <c r="J376" s="1" t="s">
        <v>32</v>
      </c>
      <c r="K376" s="1" t="s">
        <v>47</v>
      </c>
      <c r="L376" s="1" t="s">
        <v>883</v>
      </c>
      <c r="M376">
        <v>2</v>
      </c>
      <c r="N376">
        <v>0</v>
      </c>
      <c r="O376">
        <v>6.2207999999999997</v>
      </c>
      <c r="P376">
        <v>12.96</v>
      </c>
      <c r="Q376">
        <v>6.7392000000000012</v>
      </c>
    </row>
    <row r="377" spans="1:17" x14ac:dyDescent="0.25">
      <c r="A377" s="2">
        <v>42540</v>
      </c>
      <c r="B377" s="2">
        <v>42541</v>
      </c>
      <c r="C377" s="1" t="s">
        <v>107</v>
      </c>
      <c r="D377" s="1" t="s">
        <v>884</v>
      </c>
      <c r="E377" s="1" t="s">
        <v>28</v>
      </c>
      <c r="F377" s="1" t="s">
        <v>20</v>
      </c>
      <c r="G377" s="1" t="s">
        <v>71</v>
      </c>
      <c r="H377" s="1" t="s">
        <v>30</v>
      </c>
      <c r="I377" s="1" t="s">
        <v>31</v>
      </c>
      <c r="J377" s="1" t="s">
        <v>32</v>
      </c>
      <c r="K377" s="1" t="s">
        <v>47</v>
      </c>
      <c r="L377" s="1" t="s">
        <v>885</v>
      </c>
      <c r="M377">
        <v>2</v>
      </c>
      <c r="N377">
        <v>0</v>
      </c>
      <c r="O377">
        <v>8.0464000000000002</v>
      </c>
      <c r="P377">
        <v>17.12</v>
      </c>
      <c r="Q377">
        <v>9.0736000000000008</v>
      </c>
    </row>
    <row r="378" spans="1:17" x14ac:dyDescent="0.25">
      <c r="A378" s="2">
        <v>42211</v>
      </c>
      <c r="B378" s="2">
        <v>42213</v>
      </c>
      <c r="C378" s="1" t="s">
        <v>107</v>
      </c>
      <c r="D378" s="1" t="s">
        <v>617</v>
      </c>
      <c r="E378" s="1" t="s">
        <v>19</v>
      </c>
      <c r="F378" s="1" t="s">
        <v>20</v>
      </c>
      <c r="G378" s="1" t="s">
        <v>594</v>
      </c>
      <c r="H378" s="1" t="s">
        <v>140</v>
      </c>
      <c r="I378" s="1" t="s">
        <v>31</v>
      </c>
      <c r="J378" s="1" t="s">
        <v>24</v>
      </c>
      <c r="K378" s="1" t="s">
        <v>39</v>
      </c>
      <c r="L378" s="1" t="s">
        <v>886</v>
      </c>
      <c r="M378">
        <v>3</v>
      </c>
      <c r="N378">
        <v>0.5</v>
      </c>
      <c r="O378">
        <v>-204.44579999999999</v>
      </c>
      <c r="P378">
        <v>393.16500000000002</v>
      </c>
      <c r="Q378">
        <v>597.61080000000004</v>
      </c>
    </row>
    <row r="379" spans="1:17" x14ac:dyDescent="0.25">
      <c r="A379" s="2">
        <v>42828</v>
      </c>
      <c r="B379" s="2">
        <v>42832</v>
      </c>
      <c r="C379" s="1" t="s">
        <v>35</v>
      </c>
      <c r="D379" s="1" t="s">
        <v>887</v>
      </c>
      <c r="E379" s="1" t="s">
        <v>19</v>
      </c>
      <c r="F379" s="1" t="s">
        <v>20</v>
      </c>
      <c r="G379" s="1" t="s">
        <v>79</v>
      </c>
      <c r="H379" s="1" t="s">
        <v>80</v>
      </c>
      <c r="I379" s="1" t="s">
        <v>81</v>
      </c>
      <c r="J379" s="1" t="s">
        <v>24</v>
      </c>
      <c r="K379" s="1" t="s">
        <v>42</v>
      </c>
      <c r="L379" s="1" t="s">
        <v>888</v>
      </c>
      <c r="M379">
        <v>4</v>
      </c>
      <c r="N379">
        <v>0.2</v>
      </c>
      <c r="O379">
        <v>7.6416000000000004</v>
      </c>
      <c r="P379">
        <v>25.472000000000001</v>
      </c>
      <c r="Q379">
        <v>17.830400000000001</v>
      </c>
    </row>
    <row r="380" spans="1:17" x14ac:dyDescent="0.25">
      <c r="A380" s="2">
        <v>43097</v>
      </c>
      <c r="B380" s="2">
        <v>43101</v>
      </c>
      <c r="C380" s="1" t="s">
        <v>35</v>
      </c>
      <c r="D380" s="1" t="s">
        <v>889</v>
      </c>
      <c r="E380" s="1" t="s">
        <v>19</v>
      </c>
      <c r="F380" s="1" t="s">
        <v>20</v>
      </c>
      <c r="G380" s="1" t="s">
        <v>890</v>
      </c>
      <c r="H380" s="1" t="s">
        <v>57</v>
      </c>
      <c r="I380" s="1" t="s">
        <v>58</v>
      </c>
      <c r="J380" s="1" t="s">
        <v>32</v>
      </c>
      <c r="K380" s="1" t="s">
        <v>72</v>
      </c>
      <c r="L380" s="1" t="s">
        <v>891</v>
      </c>
      <c r="M380">
        <v>2</v>
      </c>
      <c r="N380">
        <v>0.2</v>
      </c>
      <c r="O380">
        <v>2.7168000000000001</v>
      </c>
      <c r="P380">
        <v>27.167999999999999</v>
      </c>
      <c r="Q380">
        <v>24.4512</v>
      </c>
    </row>
    <row r="381" spans="1:17" x14ac:dyDescent="0.25">
      <c r="A381" s="2">
        <v>43069</v>
      </c>
      <c r="B381" s="2">
        <v>43073</v>
      </c>
      <c r="C381" s="1" t="s">
        <v>35</v>
      </c>
      <c r="D381" s="1" t="s">
        <v>892</v>
      </c>
      <c r="E381" s="1" t="s">
        <v>19</v>
      </c>
      <c r="F381" s="1" t="s">
        <v>20</v>
      </c>
      <c r="G381" s="1" t="s">
        <v>148</v>
      </c>
      <c r="H381" s="1" t="s">
        <v>502</v>
      </c>
      <c r="I381" s="1" t="s">
        <v>23</v>
      </c>
      <c r="J381" s="1" t="s">
        <v>32</v>
      </c>
      <c r="K381" s="1" t="s">
        <v>64</v>
      </c>
      <c r="L381" s="1" t="s">
        <v>132</v>
      </c>
      <c r="M381">
        <v>5</v>
      </c>
      <c r="N381">
        <v>0</v>
      </c>
      <c r="O381">
        <v>43.45</v>
      </c>
      <c r="P381">
        <v>173.8</v>
      </c>
      <c r="Q381">
        <v>130.35000000000002</v>
      </c>
    </row>
    <row r="382" spans="1:17" x14ac:dyDescent="0.25">
      <c r="A382" s="2">
        <v>42870</v>
      </c>
      <c r="B382" s="2">
        <v>42873</v>
      </c>
      <c r="C382" s="1" t="s">
        <v>17</v>
      </c>
      <c r="D382" s="1" t="s">
        <v>893</v>
      </c>
      <c r="E382" s="1" t="s">
        <v>19</v>
      </c>
      <c r="F382" s="1" t="s">
        <v>20</v>
      </c>
      <c r="G382" s="1" t="s">
        <v>894</v>
      </c>
      <c r="H382" s="1" t="s">
        <v>140</v>
      </c>
      <c r="I382" s="1" t="s">
        <v>31</v>
      </c>
      <c r="J382" s="1" t="s">
        <v>99</v>
      </c>
      <c r="K382" s="1" t="s">
        <v>100</v>
      </c>
      <c r="L382" s="1" t="s">
        <v>895</v>
      </c>
      <c r="M382">
        <v>1</v>
      </c>
      <c r="N382">
        <v>0.2</v>
      </c>
      <c r="O382">
        <v>2.5893000000000002</v>
      </c>
      <c r="P382">
        <v>29.591999999999999</v>
      </c>
      <c r="Q382">
        <v>27.002699999999997</v>
      </c>
    </row>
    <row r="383" spans="1:17" x14ac:dyDescent="0.25">
      <c r="A383" s="2">
        <v>43053</v>
      </c>
      <c r="B383" s="2">
        <v>43058</v>
      </c>
      <c r="C383" s="1" t="s">
        <v>35</v>
      </c>
      <c r="D383" s="1" t="s">
        <v>896</v>
      </c>
      <c r="E383" s="1" t="s">
        <v>28</v>
      </c>
      <c r="F383" s="1" t="s">
        <v>20</v>
      </c>
      <c r="G383" s="1" t="s">
        <v>71</v>
      </c>
      <c r="H383" s="1" t="s">
        <v>30</v>
      </c>
      <c r="I383" s="1" t="s">
        <v>31</v>
      </c>
      <c r="J383" s="1" t="s">
        <v>24</v>
      </c>
      <c r="K383" s="1" t="s">
        <v>82</v>
      </c>
      <c r="L383" s="1" t="s">
        <v>343</v>
      </c>
      <c r="M383">
        <v>2</v>
      </c>
      <c r="N383">
        <v>0.2</v>
      </c>
      <c r="O383">
        <v>28.1372</v>
      </c>
      <c r="P383">
        <v>321.56799999999998</v>
      </c>
      <c r="Q383">
        <v>293.43079999999998</v>
      </c>
    </row>
    <row r="384" spans="1:17" x14ac:dyDescent="0.25">
      <c r="A384" s="2">
        <v>42335</v>
      </c>
      <c r="B384" s="2">
        <v>42339</v>
      </c>
      <c r="C384" s="1" t="s">
        <v>35</v>
      </c>
      <c r="D384" s="1" t="s">
        <v>897</v>
      </c>
      <c r="E384" s="1" t="s">
        <v>55</v>
      </c>
      <c r="F384" s="1" t="s">
        <v>20</v>
      </c>
      <c r="G384" s="1" t="s">
        <v>898</v>
      </c>
      <c r="H384" s="1" t="s">
        <v>899</v>
      </c>
      <c r="I384" s="1" t="s">
        <v>23</v>
      </c>
      <c r="J384" s="1" t="s">
        <v>32</v>
      </c>
      <c r="K384" s="1" t="s">
        <v>52</v>
      </c>
      <c r="L384" s="1" t="s">
        <v>900</v>
      </c>
      <c r="M384">
        <v>2</v>
      </c>
      <c r="N384">
        <v>0</v>
      </c>
      <c r="O384">
        <v>3.0575999999999999</v>
      </c>
      <c r="P384">
        <v>6.24</v>
      </c>
      <c r="Q384">
        <v>3.1824000000000003</v>
      </c>
    </row>
    <row r="385" spans="1:17" x14ac:dyDescent="0.25">
      <c r="A385" s="2">
        <v>42614</v>
      </c>
      <c r="B385" s="2">
        <v>42617</v>
      </c>
      <c r="C385" s="1" t="s">
        <v>107</v>
      </c>
      <c r="D385" s="1" t="s">
        <v>206</v>
      </c>
      <c r="E385" s="1" t="s">
        <v>28</v>
      </c>
      <c r="F385" s="1" t="s">
        <v>20</v>
      </c>
      <c r="G385" s="1" t="s">
        <v>71</v>
      </c>
      <c r="H385" s="1" t="s">
        <v>30</v>
      </c>
      <c r="I385" s="1" t="s">
        <v>31</v>
      </c>
      <c r="J385" s="1" t="s">
        <v>32</v>
      </c>
      <c r="K385" s="1" t="s">
        <v>94</v>
      </c>
      <c r="L385" s="1" t="s">
        <v>901</v>
      </c>
      <c r="M385">
        <v>2</v>
      </c>
      <c r="N385">
        <v>0</v>
      </c>
      <c r="O385">
        <v>10.94</v>
      </c>
      <c r="P385">
        <v>21.88</v>
      </c>
      <c r="Q385">
        <v>10.94</v>
      </c>
    </row>
    <row r="386" spans="1:17" x14ac:dyDescent="0.25">
      <c r="A386" s="2">
        <v>42834</v>
      </c>
      <c r="B386" s="2">
        <v>42836</v>
      </c>
      <c r="C386" s="1" t="s">
        <v>107</v>
      </c>
      <c r="D386" s="1" t="s">
        <v>902</v>
      </c>
      <c r="E386" s="1" t="s">
        <v>55</v>
      </c>
      <c r="F386" s="1" t="s">
        <v>20</v>
      </c>
      <c r="G386" s="1" t="s">
        <v>126</v>
      </c>
      <c r="H386" s="1" t="s">
        <v>127</v>
      </c>
      <c r="I386" s="1" t="s">
        <v>81</v>
      </c>
      <c r="J386" s="1" t="s">
        <v>32</v>
      </c>
      <c r="K386" s="1" t="s">
        <v>33</v>
      </c>
      <c r="L386" s="1" t="s">
        <v>903</v>
      </c>
      <c r="M386">
        <v>2</v>
      </c>
      <c r="N386">
        <v>0</v>
      </c>
      <c r="O386">
        <v>4.8117999999999999</v>
      </c>
      <c r="P386">
        <v>9.82</v>
      </c>
      <c r="Q386">
        <v>5.0082000000000004</v>
      </c>
    </row>
    <row r="387" spans="1:17" x14ac:dyDescent="0.25">
      <c r="A387" s="2">
        <v>41655</v>
      </c>
      <c r="B387" s="2">
        <v>41657</v>
      </c>
      <c r="C387" s="1" t="s">
        <v>17</v>
      </c>
      <c r="D387" s="1" t="s">
        <v>904</v>
      </c>
      <c r="E387" s="1" t="s">
        <v>19</v>
      </c>
      <c r="F387" s="1" t="s">
        <v>20</v>
      </c>
      <c r="G387" s="1" t="s">
        <v>79</v>
      </c>
      <c r="H387" s="1" t="s">
        <v>80</v>
      </c>
      <c r="I387" s="1" t="s">
        <v>81</v>
      </c>
      <c r="J387" s="1" t="s">
        <v>24</v>
      </c>
      <c r="K387" s="1" t="s">
        <v>42</v>
      </c>
      <c r="L387" s="1" t="s">
        <v>905</v>
      </c>
      <c r="M387">
        <v>6</v>
      </c>
      <c r="N387">
        <v>0.2</v>
      </c>
      <c r="O387">
        <v>28.598400000000002</v>
      </c>
      <c r="P387">
        <v>127.104</v>
      </c>
      <c r="Q387">
        <v>98.505600000000001</v>
      </c>
    </row>
    <row r="388" spans="1:17" x14ac:dyDescent="0.25">
      <c r="A388" s="2">
        <v>42925</v>
      </c>
      <c r="B388" s="2">
        <v>42931</v>
      </c>
      <c r="C388" s="1" t="s">
        <v>35</v>
      </c>
      <c r="D388" s="1" t="s">
        <v>421</v>
      </c>
      <c r="E388" s="1" t="s">
        <v>19</v>
      </c>
      <c r="F388" s="1" t="s">
        <v>20</v>
      </c>
      <c r="G388" s="1" t="s">
        <v>182</v>
      </c>
      <c r="H388" s="1" t="s">
        <v>183</v>
      </c>
      <c r="I388" s="1" t="s">
        <v>31</v>
      </c>
      <c r="J388" s="1" t="s">
        <v>32</v>
      </c>
      <c r="K388" s="1" t="s">
        <v>52</v>
      </c>
      <c r="L388" s="1" t="s">
        <v>906</v>
      </c>
      <c r="M388">
        <v>2</v>
      </c>
      <c r="N388">
        <v>0.7</v>
      </c>
      <c r="O388">
        <v>-0.79200000000000004</v>
      </c>
      <c r="P388">
        <v>1.08</v>
      </c>
      <c r="Q388">
        <v>1.8720000000000001</v>
      </c>
    </row>
    <row r="389" spans="1:17" x14ac:dyDescent="0.25">
      <c r="A389" s="2">
        <v>42742</v>
      </c>
      <c r="B389" s="2">
        <v>42745</v>
      </c>
      <c r="C389" s="1" t="s">
        <v>107</v>
      </c>
      <c r="D389" s="1" t="s">
        <v>802</v>
      </c>
      <c r="E389" s="1" t="s">
        <v>28</v>
      </c>
      <c r="F389" s="1" t="s">
        <v>20</v>
      </c>
      <c r="G389" s="1" t="s">
        <v>330</v>
      </c>
      <c r="H389" s="1" t="s">
        <v>115</v>
      </c>
      <c r="I389" s="1" t="s">
        <v>58</v>
      </c>
      <c r="J389" s="1" t="s">
        <v>99</v>
      </c>
      <c r="K389" s="1" t="s">
        <v>354</v>
      </c>
      <c r="L389" s="1" t="s">
        <v>355</v>
      </c>
      <c r="M389">
        <v>2</v>
      </c>
      <c r="N389">
        <v>0.1</v>
      </c>
      <c r="O389">
        <v>679.99599999999998</v>
      </c>
      <c r="P389">
        <v>3059.982</v>
      </c>
      <c r="Q389">
        <v>2379.9859999999999</v>
      </c>
    </row>
    <row r="390" spans="1:17" x14ac:dyDescent="0.25">
      <c r="A390" s="2">
        <v>42520</v>
      </c>
      <c r="B390" s="2">
        <v>42521</v>
      </c>
      <c r="C390" s="1" t="s">
        <v>107</v>
      </c>
      <c r="D390" s="1" t="s">
        <v>907</v>
      </c>
      <c r="E390" s="1" t="s">
        <v>19</v>
      </c>
      <c r="F390" s="1" t="s">
        <v>20</v>
      </c>
      <c r="G390" s="1" t="s">
        <v>483</v>
      </c>
      <c r="H390" s="1" t="s">
        <v>46</v>
      </c>
      <c r="I390" s="1" t="s">
        <v>23</v>
      </c>
      <c r="J390" s="1" t="s">
        <v>32</v>
      </c>
      <c r="K390" s="1" t="s">
        <v>52</v>
      </c>
      <c r="L390" s="1" t="s">
        <v>651</v>
      </c>
      <c r="M390">
        <v>2</v>
      </c>
      <c r="N390">
        <v>0.7</v>
      </c>
      <c r="O390">
        <v>-2.6255999999999999</v>
      </c>
      <c r="P390">
        <v>3.282</v>
      </c>
      <c r="Q390">
        <v>5.9076000000000004</v>
      </c>
    </row>
    <row r="391" spans="1:17" x14ac:dyDescent="0.25">
      <c r="A391" s="2">
        <v>42646</v>
      </c>
      <c r="B391" s="2">
        <v>42651</v>
      </c>
      <c r="C391" s="1" t="s">
        <v>35</v>
      </c>
      <c r="D391" s="1" t="s">
        <v>84</v>
      </c>
      <c r="E391" s="1" t="s">
        <v>19</v>
      </c>
      <c r="F391" s="1" t="s">
        <v>20</v>
      </c>
      <c r="G391" s="1" t="s">
        <v>126</v>
      </c>
      <c r="H391" s="1" t="s">
        <v>127</v>
      </c>
      <c r="I391" s="1" t="s">
        <v>81</v>
      </c>
      <c r="J391" s="1" t="s">
        <v>24</v>
      </c>
      <c r="K391" s="1" t="s">
        <v>82</v>
      </c>
      <c r="L391" s="1" t="s">
        <v>908</v>
      </c>
      <c r="M391">
        <v>6</v>
      </c>
      <c r="N391">
        <v>0.1</v>
      </c>
      <c r="O391">
        <v>93.223200000000006</v>
      </c>
      <c r="P391">
        <v>599.29200000000003</v>
      </c>
      <c r="Q391">
        <v>506.06880000000001</v>
      </c>
    </row>
    <row r="392" spans="1:17" x14ac:dyDescent="0.25">
      <c r="A392" s="2">
        <v>41954</v>
      </c>
      <c r="B392" s="2">
        <v>41957</v>
      </c>
      <c r="C392" s="1" t="s">
        <v>17</v>
      </c>
      <c r="D392" s="1" t="s">
        <v>909</v>
      </c>
      <c r="E392" s="1" t="s">
        <v>19</v>
      </c>
      <c r="F392" s="1" t="s">
        <v>20</v>
      </c>
      <c r="G392" s="1" t="s">
        <v>499</v>
      </c>
      <c r="H392" s="1" t="s">
        <v>198</v>
      </c>
      <c r="I392" s="1" t="s">
        <v>31</v>
      </c>
      <c r="J392" s="1" t="s">
        <v>32</v>
      </c>
      <c r="K392" s="1" t="s">
        <v>72</v>
      </c>
      <c r="L392" s="1" t="s">
        <v>910</v>
      </c>
      <c r="M392">
        <v>1</v>
      </c>
      <c r="N392">
        <v>0.2</v>
      </c>
      <c r="O392">
        <v>0.80559999999999998</v>
      </c>
      <c r="P392">
        <v>3.3919999999999999</v>
      </c>
      <c r="Q392">
        <v>2.5863999999999998</v>
      </c>
    </row>
    <row r="393" spans="1:17" x14ac:dyDescent="0.25">
      <c r="A393" s="2">
        <v>43007</v>
      </c>
      <c r="B393" s="2">
        <v>43013</v>
      </c>
      <c r="C393" s="1" t="s">
        <v>35</v>
      </c>
      <c r="D393" s="1" t="s">
        <v>911</v>
      </c>
      <c r="E393" s="1" t="s">
        <v>55</v>
      </c>
      <c r="F393" s="1" t="s">
        <v>20</v>
      </c>
      <c r="G393" s="1" t="s">
        <v>238</v>
      </c>
      <c r="H393" s="1" t="s">
        <v>57</v>
      </c>
      <c r="I393" s="1" t="s">
        <v>58</v>
      </c>
      <c r="J393" s="1" t="s">
        <v>32</v>
      </c>
      <c r="K393" s="1" t="s">
        <v>33</v>
      </c>
      <c r="L393" s="1" t="s">
        <v>786</v>
      </c>
      <c r="M393">
        <v>2</v>
      </c>
      <c r="N393">
        <v>0.2</v>
      </c>
      <c r="O393">
        <v>2.5895999999999999</v>
      </c>
      <c r="P393">
        <v>7.968</v>
      </c>
      <c r="Q393">
        <v>5.3784000000000001</v>
      </c>
    </row>
    <row r="394" spans="1:17" x14ac:dyDescent="0.25">
      <c r="A394" s="2">
        <v>42073</v>
      </c>
      <c r="B394" s="2">
        <v>42073</v>
      </c>
      <c r="C394" s="1" t="s">
        <v>434</v>
      </c>
      <c r="D394" s="1" t="s">
        <v>912</v>
      </c>
      <c r="E394" s="1" t="s">
        <v>19</v>
      </c>
      <c r="F394" s="1" t="s">
        <v>20</v>
      </c>
      <c r="G394" s="1" t="s">
        <v>91</v>
      </c>
      <c r="H394" s="1" t="s">
        <v>57</v>
      </c>
      <c r="I394" s="1" t="s">
        <v>58</v>
      </c>
      <c r="J394" s="1" t="s">
        <v>32</v>
      </c>
      <c r="K394" s="1" t="s">
        <v>52</v>
      </c>
      <c r="L394" s="1" t="s">
        <v>913</v>
      </c>
      <c r="M394">
        <v>2</v>
      </c>
      <c r="N394">
        <v>0.8</v>
      </c>
      <c r="O394">
        <v>-1.8904000000000001</v>
      </c>
      <c r="P394">
        <v>1.1120000000000001</v>
      </c>
      <c r="Q394">
        <v>3.0024000000000002</v>
      </c>
    </row>
    <row r="395" spans="1:17" x14ac:dyDescent="0.25">
      <c r="A395" s="2">
        <v>42876</v>
      </c>
      <c r="B395" s="2">
        <v>42881</v>
      </c>
      <c r="C395" s="1" t="s">
        <v>35</v>
      </c>
      <c r="D395" s="1" t="s">
        <v>542</v>
      </c>
      <c r="E395" s="1" t="s">
        <v>28</v>
      </c>
      <c r="F395" s="1" t="s">
        <v>20</v>
      </c>
      <c r="G395" s="1" t="s">
        <v>526</v>
      </c>
      <c r="H395" s="1" t="s">
        <v>127</v>
      </c>
      <c r="I395" s="1" t="s">
        <v>81</v>
      </c>
      <c r="J395" s="1" t="s">
        <v>24</v>
      </c>
      <c r="K395" s="1" t="s">
        <v>42</v>
      </c>
      <c r="L395" s="1" t="s">
        <v>712</v>
      </c>
      <c r="M395">
        <v>5</v>
      </c>
      <c r="N395">
        <v>0</v>
      </c>
      <c r="O395">
        <v>72.807000000000002</v>
      </c>
      <c r="P395">
        <v>520.04999999999995</v>
      </c>
      <c r="Q395">
        <v>447.24299999999994</v>
      </c>
    </row>
    <row r="396" spans="1:17" x14ac:dyDescent="0.25">
      <c r="A396" s="2">
        <v>42092</v>
      </c>
      <c r="B396" s="2">
        <v>42094</v>
      </c>
      <c r="C396" s="1" t="s">
        <v>17</v>
      </c>
      <c r="D396" s="1" t="s">
        <v>914</v>
      </c>
      <c r="E396" s="1" t="s">
        <v>55</v>
      </c>
      <c r="F396" s="1" t="s">
        <v>20</v>
      </c>
      <c r="G396" s="1" t="s">
        <v>516</v>
      </c>
      <c r="H396" s="1" t="s">
        <v>38</v>
      </c>
      <c r="I396" s="1" t="s">
        <v>23</v>
      </c>
      <c r="J396" s="1" t="s">
        <v>24</v>
      </c>
      <c r="K396" s="1" t="s">
        <v>82</v>
      </c>
      <c r="L396" s="1" t="s">
        <v>915</v>
      </c>
      <c r="M396">
        <v>5</v>
      </c>
      <c r="N396">
        <v>0.2</v>
      </c>
      <c r="O396">
        <v>131.27850000000001</v>
      </c>
      <c r="P396">
        <v>1166.92</v>
      </c>
      <c r="Q396">
        <v>1035.6415000000002</v>
      </c>
    </row>
    <row r="397" spans="1:17" x14ac:dyDescent="0.25">
      <c r="A397" s="2">
        <v>42608</v>
      </c>
      <c r="B397" s="2">
        <v>42609</v>
      </c>
      <c r="C397" s="1" t="s">
        <v>107</v>
      </c>
      <c r="D397" s="1" t="s">
        <v>754</v>
      </c>
      <c r="E397" s="1" t="s">
        <v>19</v>
      </c>
      <c r="F397" s="1" t="s">
        <v>20</v>
      </c>
      <c r="G397" s="1" t="s">
        <v>249</v>
      </c>
      <c r="H397" s="1" t="s">
        <v>30</v>
      </c>
      <c r="I397" s="1" t="s">
        <v>31</v>
      </c>
      <c r="J397" s="1" t="s">
        <v>32</v>
      </c>
      <c r="K397" s="1" t="s">
        <v>128</v>
      </c>
      <c r="L397" s="1" t="s">
        <v>916</v>
      </c>
      <c r="M397">
        <v>3</v>
      </c>
      <c r="N397">
        <v>0</v>
      </c>
      <c r="O397">
        <v>4.9104000000000001</v>
      </c>
      <c r="P397">
        <v>10.23</v>
      </c>
      <c r="Q397">
        <v>5.3196000000000003</v>
      </c>
    </row>
    <row r="398" spans="1:17" x14ac:dyDescent="0.25">
      <c r="A398" s="2">
        <v>41780</v>
      </c>
      <c r="B398" s="2">
        <v>41784</v>
      </c>
      <c r="C398" s="1" t="s">
        <v>35</v>
      </c>
      <c r="D398" s="1" t="s">
        <v>917</v>
      </c>
      <c r="E398" s="1" t="s">
        <v>28</v>
      </c>
      <c r="F398" s="1" t="s">
        <v>20</v>
      </c>
      <c r="G398" s="1" t="s">
        <v>918</v>
      </c>
      <c r="H398" s="1" t="s">
        <v>144</v>
      </c>
      <c r="I398" s="1" t="s">
        <v>23</v>
      </c>
      <c r="J398" s="1" t="s">
        <v>32</v>
      </c>
      <c r="K398" s="1" t="s">
        <v>52</v>
      </c>
      <c r="L398" s="1" t="s">
        <v>919</v>
      </c>
      <c r="M398">
        <v>7</v>
      </c>
      <c r="N398">
        <v>0</v>
      </c>
      <c r="O398">
        <v>1276.4871000000001</v>
      </c>
      <c r="P398">
        <v>2715.93</v>
      </c>
      <c r="Q398">
        <v>1439.4428999999998</v>
      </c>
    </row>
    <row r="399" spans="1:17" x14ac:dyDescent="0.25">
      <c r="A399" s="2">
        <v>42305</v>
      </c>
      <c r="B399" s="2">
        <v>42311</v>
      </c>
      <c r="C399" s="1" t="s">
        <v>35</v>
      </c>
      <c r="D399" s="1" t="s">
        <v>920</v>
      </c>
      <c r="E399" s="1" t="s">
        <v>19</v>
      </c>
      <c r="F399" s="1" t="s">
        <v>20</v>
      </c>
      <c r="G399" s="1" t="s">
        <v>21</v>
      </c>
      <c r="H399" s="1" t="s">
        <v>22</v>
      </c>
      <c r="I399" s="1" t="s">
        <v>23</v>
      </c>
      <c r="J399" s="1" t="s">
        <v>32</v>
      </c>
      <c r="K399" s="1" t="s">
        <v>94</v>
      </c>
      <c r="L399" s="1" t="s">
        <v>921</v>
      </c>
      <c r="M399">
        <v>1</v>
      </c>
      <c r="N399">
        <v>0</v>
      </c>
      <c r="O399">
        <v>4.9081999999999999</v>
      </c>
      <c r="P399">
        <v>10.67</v>
      </c>
      <c r="Q399">
        <v>5.7618</v>
      </c>
    </row>
    <row r="400" spans="1:17" x14ac:dyDescent="0.25">
      <c r="A400" s="2">
        <v>42687</v>
      </c>
      <c r="B400" s="2">
        <v>42691</v>
      </c>
      <c r="C400" s="1" t="s">
        <v>35</v>
      </c>
      <c r="D400" s="1" t="s">
        <v>286</v>
      </c>
      <c r="E400" s="1" t="s">
        <v>55</v>
      </c>
      <c r="F400" s="1" t="s">
        <v>20</v>
      </c>
      <c r="G400" s="1" t="s">
        <v>688</v>
      </c>
      <c r="H400" s="1" t="s">
        <v>51</v>
      </c>
      <c r="I400" s="1" t="s">
        <v>31</v>
      </c>
      <c r="J400" s="1" t="s">
        <v>32</v>
      </c>
      <c r="K400" s="1" t="s">
        <v>72</v>
      </c>
      <c r="L400" s="1" t="s">
        <v>812</v>
      </c>
      <c r="M400">
        <v>2</v>
      </c>
      <c r="N400">
        <v>0</v>
      </c>
      <c r="O400">
        <v>11.4452</v>
      </c>
      <c r="P400">
        <v>44.02</v>
      </c>
      <c r="Q400">
        <v>32.574800000000003</v>
      </c>
    </row>
    <row r="401" spans="1:17" x14ac:dyDescent="0.25">
      <c r="A401" s="2">
        <v>42243</v>
      </c>
      <c r="B401" s="2">
        <v>42247</v>
      </c>
      <c r="C401" s="1" t="s">
        <v>35</v>
      </c>
      <c r="D401" s="1" t="s">
        <v>922</v>
      </c>
      <c r="E401" s="1" t="s">
        <v>19</v>
      </c>
      <c r="F401" s="1" t="s">
        <v>20</v>
      </c>
      <c r="G401" s="1" t="s">
        <v>923</v>
      </c>
      <c r="H401" s="1" t="s">
        <v>30</v>
      </c>
      <c r="I401" s="1" t="s">
        <v>31</v>
      </c>
      <c r="J401" s="1" t="s">
        <v>32</v>
      </c>
      <c r="K401" s="1" t="s">
        <v>64</v>
      </c>
      <c r="L401" s="1" t="s">
        <v>924</v>
      </c>
      <c r="M401">
        <v>3</v>
      </c>
      <c r="N401">
        <v>0</v>
      </c>
      <c r="O401">
        <v>92.083500000000001</v>
      </c>
      <c r="P401">
        <v>484.65</v>
      </c>
      <c r="Q401">
        <v>392.56649999999996</v>
      </c>
    </row>
    <row r="402" spans="1:17" x14ac:dyDescent="0.25">
      <c r="A402" s="2">
        <v>42264</v>
      </c>
      <c r="B402" s="2">
        <v>42266</v>
      </c>
      <c r="C402" s="1" t="s">
        <v>17</v>
      </c>
      <c r="D402" s="1" t="s">
        <v>925</v>
      </c>
      <c r="E402" s="1" t="s">
        <v>55</v>
      </c>
      <c r="F402" s="1" t="s">
        <v>20</v>
      </c>
      <c r="G402" s="1" t="s">
        <v>29</v>
      </c>
      <c r="H402" s="1" t="s">
        <v>30</v>
      </c>
      <c r="I402" s="1" t="s">
        <v>31</v>
      </c>
      <c r="J402" s="1" t="s">
        <v>32</v>
      </c>
      <c r="K402" s="1" t="s">
        <v>47</v>
      </c>
      <c r="L402" s="1" t="s">
        <v>926</v>
      </c>
      <c r="M402">
        <v>5</v>
      </c>
      <c r="N402">
        <v>0</v>
      </c>
      <c r="O402">
        <v>15.552</v>
      </c>
      <c r="P402">
        <v>32.4</v>
      </c>
      <c r="Q402">
        <v>16.847999999999999</v>
      </c>
    </row>
    <row r="403" spans="1:17" x14ac:dyDescent="0.25">
      <c r="A403" s="2">
        <v>42191</v>
      </c>
      <c r="B403" s="2">
        <v>42195</v>
      </c>
      <c r="C403" s="1" t="s">
        <v>35</v>
      </c>
      <c r="D403" s="1" t="s">
        <v>927</v>
      </c>
      <c r="E403" s="1" t="s">
        <v>28</v>
      </c>
      <c r="F403" s="1" t="s">
        <v>20</v>
      </c>
      <c r="G403" s="1" t="s">
        <v>126</v>
      </c>
      <c r="H403" s="1" t="s">
        <v>127</v>
      </c>
      <c r="I403" s="1" t="s">
        <v>81</v>
      </c>
      <c r="J403" s="1" t="s">
        <v>24</v>
      </c>
      <c r="K403" s="1" t="s">
        <v>42</v>
      </c>
      <c r="L403" s="1" t="s">
        <v>928</v>
      </c>
      <c r="M403">
        <v>2</v>
      </c>
      <c r="N403">
        <v>0</v>
      </c>
      <c r="O403">
        <v>6.7008000000000001</v>
      </c>
      <c r="P403">
        <v>13.96</v>
      </c>
      <c r="Q403">
        <v>7.2592000000000008</v>
      </c>
    </row>
    <row r="404" spans="1:17" x14ac:dyDescent="0.25">
      <c r="A404" s="2">
        <v>42121</v>
      </c>
      <c r="B404" s="2">
        <v>42127</v>
      </c>
      <c r="C404" s="1" t="s">
        <v>35</v>
      </c>
      <c r="D404" s="1" t="s">
        <v>808</v>
      </c>
      <c r="E404" s="1" t="s">
        <v>19</v>
      </c>
      <c r="F404" s="1" t="s">
        <v>20</v>
      </c>
      <c r="G404" s="1" t="s">
        <v>51</v>
      </c>
      <c r="H404" s="1" t="s">
        <v>929</v>
      </c>
      <c r="I404" s="1" t="s">
        <v>81</v>
      </c>
      <c r="J404" s="1" t="s">
        <v>32</v>
      </c>
      <c r="K404" s="1" t="s">
        <v>72</v>
      </c>
      <c r="L404" s="1" t="s">
        <v>930</v>
      </c>
      <c r="M404">
        <v>3</v>
      </c>
      <c r="N404">
        <v>0</v>
      </c>
      <c r="O404">
        <v>8.8686000000000007</v>
      </c>
      <c r="P404">
        <v>22.74</v>
      </c>
      <c r="Q404">
        <v>13.871399999999998</v>
      </c>
    </row>
    <row r="405" spans="1:17" x14ac:dyDescent="0.25">
      <c r="A405" s="2">
        <v>42171</v>
      </c>
      <c r="B405" s="2">
        <v>42175</v>
      </c>
      <c r="C405" s="1" t="s">
        <v>35</v>
      </c>
      <c r="D405" s="1" t="s">
        <v>494</v>
      </c>
      <c r="E405" s="1" t="s">
        <v>19</v>
      </c>
      <c r="F405" s="1" t="s">
        <v>20</v>
      </c>
      <c r="G405" s="1" t="s">
        <v>79</v>
      </c>
      <c r="H405" s="1" t="s">
        <v>80</v>
      </c>
      <c r="I405" s="1" t="s">
        <v>81</v>
      </c>
      <c r="J405" s="1" t="s">
        <v>32</v>
      </c>
      <c r="K405" s="1" t="s">
        <v>94</v>
      </c>
      <c r="L405" s="1" t="s">
        <v>931</v>
      </c>
      <c r="M405">
        <v>2</v>
      </c>
      <c r="N405">
        <v>0.2</v>
      </c>
      <c r="O405">
        <v>2.1728000000000001</v>
      </c>
      <c r="P405">
        <v>6.2080000000000002</v>
      </c>
      <c r="Q405">
        <v>4.0351999999999997</v>
      </c>
    </row>
    <row r="406" spans="1:17" x14ac:dyDescent="0.25">
      <c r="A406" s="2">
        <v>43086</v>
      </c>
      <c r="B406" s="2">
        <v>43089</v>
      </c>
      <c r="C406" s="1" t="s">
        <v>107</v>
      </c>
      <c r="D406" s="1" t="s">
        <v>932</v>
      </c>
      <c r="E406" s="1" t="s">
        <v>55</v>
      </c>
      <c r="F406" s="1" t="s">
        <v>20</v>
      </c>
      <c r="G406" s="1" t="s">
        <v>29</v>
      </c>
      <c r="H406" s="1" t="s">
        <v>30</v>
      </c>
      <c r="I406" s="1" t="s">
        <v>31</v>
      </c>
      <c r="J406" s="1" t="s">
        <v>32</v>
      </c>
      <c r="K406" s="1" t="s">
        <v>52</v>
      </c>
      <c r="L406" s="1" t="s">
        <v>933</v>
      </c>
      <c r="M406">
        <v>2</v>
      </c>
      <c r="N406">
        <v>0.2</v>
      </c>
      <c r="O406">
        <v>4.2804000000000002</v>
      </c>
      <c r="P406">
        <v>11.808</v>
      </c>
      <c r="Q406">
        <v>7.5275999999999996</v>
      </c>
    </row>
    <row r="407" spans="1:17" x14ac:dyDescent="0.25">
      <c r="A407" s="2">
        <v>42380</v>
      </c>
      <c r="B407" s="2">
        <v>42382</v>
      </c>
      <c r="C407" s="1" t="s">
        <v>17</v>
      </c>
      <c r="D407" s="1" t="s">
        <v>934</v>
      </c>
      <c r="E407" s="1" t="s">
        <v>55</v>
      </c>
      <c r="F407" s="1" t="s">
        <v>20</v>
      </c>
      <c r="G407" s="1" t="s">
        <v>143</v>
      </c>
      <c r="H407" s="1" t="s">
        <v>214</v>
      </c>
      <c r="I407" s="1" t="s">
        <v>81</v>
      </c>
      <c r="J407" s="1" t="s">
        <v>32</v>
      </c>
      <c r="K407" s="1" t="s">
        <v>47</v>
      </c>
      <c r="L407" s="1" t="s">
        <v>935</v>
      </c>
      <c r="M407">
        <v>3</v>
      </c>
      <c r="N407">
        <v>0.2</v>
      </c>
      <c r="O407">
        <v>5.4432</v>
      </c>
      <c r="P407">
        <v>15.552</v>
      </c>
      <c r="Q407">
        <v>10.108799999999999</v>
      </c>
    </row>
    <row r="408" spans="1:17" x14ac:dyDescent="0.25">
      <c r="A408" s="2">
        <v>41831</v>
      </c>
      <c r="B408" s="2">
        <v>41835</v>
      </c>
      <c r="C408" s="1" t="s">
        <v>35</v>
      </c>
      <c r="D408" s="1" t="s">
        <v>451</v>
      </c>
      <c r="E408" s="1" t="s">
        <v>28</v>
      </c>
      <c r="F408" s="1" t="s">
        <v>20</v>
      </c>
      <c r="G408" s="1" t="s">
        <v>390</v>
      </c>
      <c r="H408" s="1" t="s">
        <v>298</v>
      </c>
      <c r="I408" s="1" t="s">
        <v>81</v>
      </c>
      <c r="J408" s="1" t="s">
        <v>32</v>
      </c>
      <c r="K408" s="1" t="s">
        <v>47</v>
      </c>
      <c r="L408" s="1" t="s">
        <v>92</v>
      </c>
      <c r="M408">
        <v>5</v>
      </c>
      <c r="N408">
        <v>0</v>
      </c>
      <c r="O408">
        <v>83.284000000000006</v>
      </c>
      <c r="P408">
        <v>177.2</v>
      </c>
      <c r="Q408">
        <v>93.915999999999983</v>
      </c>
    </row>
    <row r="409" spans="1:17" x14ac:dyDescent="0.25">
      <c r="A409" s="2">
        <v>42694</v>
      </c>
      <c r="B409" s="2">
        <v>42696</v>
      </c>
      <c r="C409" s="1" t="s">
        <v>107</v>
      </c>
      <c r="D409" s="1" t="s">
        <v>936</v>
      </c>
      <c r="E409" s="1" t="s">
        <v>19</v>
      </c>
      <c r="F409" s="1" t="s">
        <v>20</v>
      </c>
      <c r="G409" s="1" t="s">
        <v>364</v>
      </c>
      <c r="H409" s="1" t="s">
        <v>214</v>
      </c>
      <c r="I409" s="1" t="s">
        <v>81</v>
      </c>
      <c r="J409" s="1" t="s">
        <v>32</v>
      </c>
      <c r="K409" s="1" t="s">
        <v>47</v>
      </c>
      <c r="L409" s="1" t="s">
        <v>937</v>
      </c>
      <c r="M409">
        <v>3</v>
      </c>
      <c r="N409">
        <v>0.2</v>
      </c>
      <c r="O409">
        <v>5.1012000000000004</v>
      </c>
      <c r="P409">
        <v>15.696</v>
      </c>
      <c r="Q409">
        <v>10.594799999999999</v>
      </c>
    </row>
    <row r="410" spans="1:17" x14ac:dyDescent="0.25">
      <c r="A410" s="2">
        <v>42482</v>
      </c>
      <c r="B410" s="2">
        <v>42486</v>
      </c>
      <c r="C410" s="1" t="s">
        <v>35</v>
      </c>
      <c r="D410" s="1" t="s">
        <v>938</v>
      </c>
      <c r="E410" s="1" t="s">
        <v>55</v>
      </c>
      <c r="F410" s="1" t="s">
        <v>20</v>
      </c>
      <c r="G410" s="1" t="s">
        <v>939</v>
      </c>
      <c r="H410" s="1" t="s">
        <v>235</v>
      </c>
      <c r="I410" s="1" t="s">
        <v>58</v>
      </c>
      <c r="J410" s="1" t="s">
        <v>24</v>
      </c>
      <c r="K410" s="1" t="s">
        <v>42</v>
      </c>
      <c r="L410" s="1" t="s">
        <v>940</v>
      </c>
      <c r="M410">
        <v>2</v>
      </c>
      <c r="N410">
        <v>0</v>
      </c>
      <c r="O410">
        <v>8.6620000000000008</v>
      </c>
      <c r="P410">
        <v>86.62</v>
      </c>
      <c r="Q410">
        <v>77.957999999999998</v>
      </c>
    </row>
    <row r="411" spans="1:17" x14ac:dyDescent="0.25">
      <c r="A411" s="2">
        <v>42168</v>
      </c>
      <c r="B411" s="2">
        <v>42169</v>
      </c>
      <c r="C411" s="1" t="s">
        <v>107</v>
      </c>
      <c r="D411" s="1" t="s">
        <v>941</v>
      </c>
      <c r="E411" s="1" t="s">
        <v>19</v>
      </c>
      <c r="F411" s="1" t="s">
        <v>20</v>
      </c>
      <c r="G411" s="1" t="s">
        <v>29</v>
      </c>
      <c r="H411" s="1" t="s">
        <v>30</v>
      </c>
      <c r="I411" s="1" t="s">
        <v>31</v>
      </c>
      <c r="J411" s="1" t="s">
        <v>32</v>
      </c>
      <c r="K411" s="1" t="s">
        <v>52</v>
      </c>
      <c r="L411" s="1" t="s">
        <v>942</v>
      </c>
      <c r="M411">
        <v>3</v>
      </c>
      <c r="N411">
        <v>0.2</v>
      </c>
      <c r="O411">
        <v>13.734</v>
      </c>
      <c r="P411">
        <v>36.624000000000002</v>
      </c>
      <c r="Q411">
        <v>22.89</v>
      </c>
    </row>
    <row r="412" spans="1:17" x14ac:dyDescent="0.25">
      <c r="A412" s="2">
        <v>43059</v>
      </c>
      <c r="B412" s="2">
        <v>43060</v>
      </c>
      <c r="C412" s="1" t="s">
        <v>107</v>
      </c>
      <c r="D412" s="1" t="s">
        <v>943</v>
      </c>
      <c r="E412" s="1" t="s">
        <v>19</v>
      </c>
      <c r="F412" s="1" t="s">
        <v>20</v>
      </c>
      <c r="G412" s="1" t="s">
        <v>706</v>
      </c>
      <c r="H412" s="1" t="s">
        <v>46</v>
      </c>
      <c r="I412" s="1" t="s">
        <v>23</v>
      </c>
      <c r="J412" s="1" t="s">
        <v>32</v>
      </c>
      <c r="K412" s="1" t="s">
        <v>72</v>
      </c>
      <c r="L412" s="1" t="s">
        <v>944</v>
      </c>
      <c r="M412">
        <v>7</v>
      </c>
      <c r="N412">
        <v>0.2</v>
      </c>
      <c r="O412">
        <v>2.6964000000000001</v>
      </c>
      <c r="P412">
        <v>23.968</v>
      </c>
      <c r="Q412">
        <v>21.271599999999999</v>
      </c>
    </row>
    <row r="413" spans="1:17" x14ac:dyDescent="0.25">
      <c r="A413" s="2">
        <v>42619</v>
      </c>
      <c r="B413" s="2">
        <v>42622</v>
      </c>
      <c r="C413" s="1" t="s">
        <v>17</v>
      </c>
      <c r="D413" s="1" t="s">
        <v>945</v>
      </c>
      <c r="E413" s="1" t="s">
        <v>19</v>
      </c>
      <c r="F413" s="1" t="s">
        <v>20</v>
      </c>
      <c r="G413" s="1" t="s">
        <v>126</v>
      </c>
      <c r="H413" s="1" t="s">
        <v>127</v>
      </c>
      <c r="I413" s="1" t="s">
        <v>81</v>
      </c>
      <c r="J413" s="1" t="s">
        <v>99</v>
      </c>
      <c r="K413" s="1" t="s">
        <v>111</v>
      </c>
      <c r="L413" s="1" t="s">
        <v>946</v>
      </c>
      <c r="M413">
        <v>2</v>
      </c>
      <c r="N413">
        <v>0</v>
      </c>
      <c r="O413">
        <v>11.151</v>
      </c>
      <c r="P413">
        <v>31.86</v>
      </c>
      <c r="Q413">
        <v>20.709</v>
      </c>
    </row>
    <row r="414" spans="1:17" x14ac:dyDescent="0.25">
      <c r="A414" s="2">
        <v>43020</v>
      </c>
      <c r="B414" s="2">
        <v>43024</v>
      </c>
      <c r="C414" s="1" t="s">
        <v>35</v>
      </c>
      <c r="D414" s="1" t="s">
        <v>93</v>
      </c>
      <c r="E414" s="1" t="s">
        <v>55</v>
      </c>
      <c r="F414" s="1" t="s">
        <v>20</v>
      </c>
      <c r="G414" s="1" t="s">
        <v>947</v>
      </c>
      <c r="H414" s="1" t="s">
        <v>98</v>
      </c>
      <c r="I414" s="1" t="s">
        <v>58</v>
      </c>
      <c r="J414" s="1" t="s">
        <v>24</v>
      </c>
      <c r="K414" s="1" t="s">
        <v>82</v>
      </c>
      <c r="L414" s="1" t="s">
        <v>948</v>
      </c>
      <c r="M414">
        <v>14</v>
      </c>
      <c r="N414">
        <v>0.3</v>
      </c>
      <c r="O414">
        <v>-18.186</v>
      </c>
      <c r="P414">
        <v>254.60400000000001</v>
      </c>
      <c r="Q414">
        <v>272.79000000000002</v>
      </c>
    </row>
    <row r="415" spans="1:17" x14ac:dyDescent="0.25">
      <c r="A415" s="2">
        <v>41786</v>
      </c>
      <c r="B415" s="2">
        <v>41791</v>
      </c>
      <c r="C415" s="1" t="s">
        <v>17</v>
      </c>
      <c r="D415" s="1" t="s">
        <v>228</v>
      </c>
      <c r="E415" s="1" t="s">
        <v>19</v>
      </c>
      <c r="F415" s="1" t="s">
        <v>20</v>
      </c>
      <c r="G415" s="1" t="s">
        <v>71</v>
      </c>
      <c r="H415" s="1" t="s">
        <v>30</v>
      </c>
      <c r="I415" s="1" t="s">
        <v>31</v>
      </c>
      <c r="J415" s="1" t="s">
        <v>99</v>
      </c>
      <c r="K415" s="1" t="s">
        <v>100</v>
      </c>
      <c r="L415" s="1" t="s">
        <v>949</v>
      </c>
      <c r="M415">
        <v>12</v>
      </c>
      <c r="N415">
        <v>0.2</v>
      </c>
      <c r="O415">
        <v>125.2692</v>
      </c>
      <c r="P415">
        <v>1113.5039999999999</v>
      </c>
      <c r="Q415">
        <v>988.23479999999995</v>
      </c>
    </row>
    <row r="416" spans="1:17" x14ac:dyDescent="0.25">
      <c r="A416" s="2">
        <v>42188</v>
      </c>
      <c r="B416" s="2">
        <v>42190</v>
      </c>
      <c r="C416" s="1" t="s">
        <v>107</v>
      </c>
      <c r="D416" s="1" t="s">
        <v>950</v>
      </c>
      <c r="E416" s="1" t="s">
        <v>28</v>
      </c>
      <c r="F416" s="1" t="s">
        <v>20</v>
      </c>
      <c r="G416" s="1" t="s">
        <v>79</v>
      </c>
      <c r="H416" s="1" t="s">
        <v>80</v>
      </c>
      <c r="I416" s="1" t="s">
        <v>81</v>
      </c>
      <c r="J416" s="1" t="s">
        <v>24</v>
      </c>
      <c r="K416" s="1" t="s">
        <v>42</v>
      </c>
      <c r="L416" s="1" t="s">
        <v>951</v>
      </c>
      <c r="M416">
        <v>2</v>
      </c>
      <c r="N416">
        <v>0.2</v>
      </c>
      <c r="O416">
        <v>-29.481200000000001</v>
      </c>
      <c r="P416">
        <v>168.464</v>
      </c>
      <c r="Q416">
        <v>197.9452</v>
      </c>
    </row>
    <row r="417" spans="1:17" x14ac:dyDescent="0.25">
      <c r="A417" s="2">
        <v>42098</v>
      </c>
      <c r="B417" s="2">
        <v>42102</v>
      </c>
      <c r="C417" s="1" t="s">
        <v>35</v>
      </c>
      <c r="D417" s="1" t="s">
        <v>952</v>
      </c>
      <c r="E417" s="1" t="s">
        <v>55</v>
      </c>
      <c r="F417" s="1" t="s">
        <v>20</v>
      </c>
      <c r="G417" s="1" t="s">
        <v>126</v>
      </c>
      <c r="H417" s="1" t="s">
        <v>127</v>
      </c>
      <c r="I417" s="1" t="s">
        <v>81</v>
      </c>
      <c r="J417" s="1" t="s">
        <v>32</v>
      </c>
      <c r="K417" s="1" t="s">
        <v>72</v>
      </c>
      <c r="L417" s="1" t="s">
        <v>953</v>
      </c>
      <c r="M417">
        <v>2</v>
      </c>
      <c r="N417">
        <v>0</v>
      </c>
      <c r="O417">
        <v>4.3524000000000003</v>
      </c>
      <c r="P417">
        <v>11.16</v>
      </c>
      <c r="Q417">
        <v>6.8075999999999999</v>
      </c>
    </row>
    <row r="418" spans="1:17" x14ac:dyDescent="0.25">
      <c r="A418" s="2">
        <v>43079</v>
      </c>
      <c r="B418" s="2">
        <v>43086</v>
      </c>
      <c r="C418" s="1" t="s">
        <v>35</v>
      </c>
      <c r="D418" s="1" t="s">
        <v>386</v>
      </c>
      <c r="E418" s="1" t="s">
        <v>28</v>
      </c>
      <c r="F418" s="1" t="s">
        <v>20</v>
      </c>
      <c r="G418" s="1" t="s">
        <v>345</v>
      </c>
      <c r="H418" s="1" t="s">
        <v>30</v>
      </c>
      <c r="I418" s="1" t="s">
        <v>31</v>
      </c>
      <c r="J418" s="1" t="s">
        <v>32</v>
      </c>
      <c r="K418" s="1" t="s">
        <v>52</v>
      </c>
      <c r="L418" s="1" t="s">
        <v>954</v>
      </c>
      <c r="M418">
        <v>4</v>
      </c>
      <c r="N418">
        <v>0.2</v>
      </c>
      <c r="O418">
        <v>7.2267999999999999</v>
      </c>
      <c r="P418">
        <v>19.936</v>
      </c>
      <c r="Q418">
        <v>12.709199999999999</v>
      </c>
    </row>
    <row r="419" spans="1:17" x14ac:dyDescent="0.25">
      <c r="A419" s="2">
        <v>42698</v>
      </c>
      <c r="B419" s="2">
        <v>42705</v>
      </c>
      <c r="C419" s="1" t="s">
        <v>35</v>
      </c>
      <c r="D419" s="1" t="s">
        <v>955</v>
      </c>
      <c r="E419" s="1" t="s">
        <v>55</v>
      </c>
      <c r="F419" s="1" t="s">
        <v>20</v>
      </c>
      <c r="G419" s="1" t="s">
        <v>79</v>
      </c>
      <c r="H419" s="1" t="s">
        <v>80</v>
      </c>
      <c r="I419" s="1" t="s">
        <v>81</v>
      </c>
      <c r="J419" s="1" t="s">
        <v>32</v>
      </c>
      <c r="K419" s="1" t="s">
        <v>128</v>
      </c>
      <c r="L419" s="1" t="s">
        <v>956</v>
      </c>
      <c r="M419">
        <v>3</v>
      </c>
      <c r="N419">
        <v>0.2</v>
      </c>
      <c r="O419">
        <v>1.6008</v>
      </c>
      <c r="P419">
        <v>4.4160000000000004</v>
      </c>
      <c r="Q419">
        <v>2.8152000000000004</v>
      </c>
    </row>
    <row r="420" spans="1:17" x14ac:dyDescent="0.25">
      <c r="A420" s="2">
        <v>42086</v>
      </c>
      <c r="B420" s="2">
        <v>42092</v>
      </c>
      <c r="C420" s="1" t="s">
        <v>35</v>
      </c>
      <c r="D420" s="1" t="s">
        <v>433</v>
      </c>
      <c r="E420" s="1" t="s">
        <v>19</v>
      </c>
      <c r="F420" s="1" t="s">
        <v>20</v>
      </c>
      <c r="G420" s="1" t="s">
        <v>91</v>
      </c>
      <c r="H420" s="1" t="s">
        <v>57</v>
      </c>
      <c r="I420" s="1" t="s">
        <v>58</v>
      </c>
      <c r="J420" s="1" t="s">
        <v>24</v>
      </c>
      <c r="K420" s="1" t="s">
        <v>82</v>
      </c>
      <c r="L420" s="1" t="s">
        <v>522</v>
      </c>
      <c r="M420">
        <v>2</v>
      </c>
      <c r="N420">
        <v>0.3</v>
      </c>
      <c r="O420">
        <v>-29.252400000000002</v>
      </c>
      <c r="P420">
        <v>107.77200000000001</v>
      </c>
      <c r="Q420">
        <v>137.02440000000001</v>
      </c>
    </row>
    <row r="421" spans="1:17" x14ac:dyDescent="0.25">
      <c r="A421" s="2">
        <v>42110</v>
      </c>
      <c r="B421" s="2">
        <v>42115</v>
      </c>
      <c r="C421" s="1" t="s">
        <v>35</v>
      </c>
      <c r="D421" s="1" t="s">
        <v>957</v>
      </c>
      <c r="E421" s="1" t="s">
        <v>28</v>
      </c>
      <c r="F421" s="1" t="s">
        <v>20</v>
      </c>
      <c r="G421" s="1" t="s">
        <v>958</v>
      </c>
      <c r="H421" s="1" t="s">
        <v>214</v>
      </c>
      <c r="I421" s="1" t="s">
        <v>81</v>
      </c>
      <c r="J421" s="1" t="s">
        <v>32</v>
      </c>
      <c r="K421" s="1" t="s">
        <v>59</v>
      </c>
      <c r="L421" s="1" t="s">
        <v>959</v>
      </c>
      <c r="M421">
        <v>3</v>
      </c>
      <c r="N421">
        <v>0.2</v>
      </c>
      <c r="O421">
        <v>4.5216000000000003</v>
      </c>
      <c r="P421">
        <v>45.216000000000001</v>
      </c>
      <c r="Q421">
        <v>40.694400000000002</v>
      </c>
    </row>
    <row r="422" spans="1:17" x14ac:dyDescent="0.25">
      <c r="A422" s="2">
        <v>43006</v>
      </c>
      <c r="B422" s="2">
        <v>43008</v>
      </c>
      <c r="C422" s="1" t="s">
        <v>17</v>
      </c>
      <c r="D422" s="1" t="s">
        <v>960</v>
      </c>
      <c r="E422" s="1" t="s">
        <v>19</v>
      </c>
      <c r="F422" s="1" t="s">
        <v>20</v>
      </c>
      <c r="G422" s="1" t="s">
        <v>961</v>
      </c>
      <c r="H422" s="1" t="s">
        <v>57</v>
      </c>
      <c r="I422" s="1" t="s">
        <v>58</v>
      </c>
      <c r="J422" s="1" t="s">
        <v>32</v>
      </c>
      <c r="K422" s="1" t="s">
        <v>476</v>
      </c>
      <c r="L422" s="1" t="s">
        <v>831</v>
      </c>
      <c r="M422">
        <v>1</v>
      </c>
      <c r="N422">
        <v>0.2</v>
      </c>
      <c r="O422">
        <v>-0.3488</v>
      </c>
      <c r="P422">
        <v>1.744</v>
      </c>
      <c r="Q422">
        <v>2.0928</v>
      </c>
    </row>
    <row r="423" spans="1:17" x14ac:dyDescent="0.25">
      <c r="A423" s="2">
        <v>42210</v>
      </c>
      <c r="B423" s="2">
        <v>42214</v>
      </c>
      <c r="C423" s="1" t="s">
        <v>35</v>
      </c>
      <c r="D423" s="1" t="s">
        <v>511</v>
      </c>
      <c r="E423" s="1" t="s">
        <v>55</v>
      </c>
      <c r="F423" s="1" t="s">
        <v>20</v>
      </c>
      <c r="G423" s="1" t="s">
        <v>79</v>
      </c>
      <c r="H423" s="1" t="s">
        <v>80</v>
      </c>
      <c r="I423" s="1" t="s">
        <v>81</v>
      </c>
      <c r="J423" s="1" t="s">
        <v>32</v>
      </c>
      <c r="K423" s="1" t="s">
        <v>52</v>
      </c>
      <c r="L423" s="1" t="s">
        <v>962</v>
      </c>
      <c r="M423">
        <v>4</v>
      </c>
      <c r="N423">
        <v>0.7</v>
      </c>
      <c r="O423">
        <v>-18.462399999999999</v>
      </c>
      <c r="P423">
        <v>25.175999999999998</v>
      </c>
      <c r="Q423">
        <v>43.638399999999997</v>
      </c>
    </row>
    <row r="424" spans="1:17" x14ac:dyDescent="0.25">
      <c r="A424" s="2">
        <v>42488</v>
      </c>
      <c r="B424" s="2">
        <v>42492</v>
      </c>
      <c r="C424" s="1" t="s">
        <v>35</v>
      </c>
      <c r="D424" s="1" t="s">
        <v>963</v>
      </c>
      <c r="E424" s="1" t="s">
        <v>55</v>
      </c>
      <c r="F424" s="1" t="s">
        <v>20</v>
      </c>
      <c r="G424" s="1" t="s">
        <v>306</v>
      </c>
      <c r="H424" s="1" t="s">
        <v>198</v>
      </c>
      <c r="I424" s="1" t="s">
        <v>31</v>
      </c>
      <c r="J424" s="1" t="s">
        <v>32</v>
      </c>
      <c r="K424" s="1" t="s">
        <v>47</v>
      </c>
      <c r="L424" s="1" t="s">
        <v>964</v>
      </c>
      <c r="M424">
        <v>3</v>
      </c>
      <c r="N424">
        <v>0.2</v>
      </c>
      <c r="O424">
        <v>9.9467999999999996</v>
      </c>
      <c r="P424">
        <v>29.472000000000001</v>
      </c>
      <c r="Q424">
        <v>19.525200000000002</v>
      </c>
    </row>
    <row r="425" spans="1:17" x14ac:dyDescent="0.25">
      <c r="A425" s="2">
        <v>42686</v>
      </c>
      <c r="B425" s="2">
        <v>42693</v>
      </c>
      <c r="C425" s="1" t="s">
        <v>35</v>
      </c>
      <c r="D425" s="1" t="s">
        <v>965</v>
      </c>
      <c r="E425" s="1" t="s">
        <v>19</v>
      </c>
      <c r="F425" s="1" t="s">
        <v>20</v>
      </c>
      <c r="G425" s="1" t="s">
        <v>594</v>
      </c>
      <c r="H425" s="1" t="s">
        <v>140</v>
      </c>
      <c r="I425" s="1" t="s">
        <v>31</v>
      </c>
      <c r="J425" s="1" t="s">
        <v>32</v>
      </c>
      <c r="K425" s="1" t="s">
        <v>52</v>
      </c>
      <c r="L425" s="1" t="s">
        <v>966</v>
      </c>
      <c r="M425">
        <v>5</v>
      </c>
      <c r="N425">
        <v>0.7</v>
      </c>
      <c r="O425">
        <v>-4.5979999999999999</v>
      </c>
      <c r="P425">
        <v>6.27</v>
      </c>
      <c r="Q425">
        <v>10.867999999999999</v>
      </c>
    </row>
    <row r="426" spans="1:17" x14ac:dyDescent="0.25">
      <c r="A426" s="2">
        <v>42642</v>
      </c>
      <c r="B426" s="2">
        <v>42643</v>
      </c>
      <c r="C426" s="1" t="s">
        <v>107</v>
      </c>
      <c r="D426" s="1" t="s">
        <v>967</v>
      </c>
      <c r="E426" s="1" t="s">
        <v>55</v>
      </c>
      <c r="F426" s="1" t="s">
        <v>20</v>
      </c>
      <c r="G426" s="1" t="s">
        <v>213</v>
      </c>
      <c r="H426" s="1" t="s">
        <v>123</v>
      </c>
      <c r="I426" s="1" t="s">
        <v>58</v>
      </c>
      <c r="J426" s="1" t="s">
        <v>32</v>
      </c>
      <c r="K426" s="1" t="s">
        <v>72</v>
      </c>
      <c r="L426" s="1" t="s">
        <v>968</v>
      </c>
      <c r="M426">
        <v>7</v>
      </c>
      <c r="N426">
        <v>0</v>
      </c>
      <c r="O426">
        <v>10.6288</v>
      </c>
      <c r="P426">
        <v>40.880000000000003</v>
      </c>
      <c r="Q426">
        <v>30.251200000000004</v>
      </c>
    </row>
    <row r="427" spans="1:17" x14ac:dyDescent="0.25">
      <c r="A427" s="2">
        <v>43001</v>
      </c>
      <c r="B427" s="2">
        <v>43003</v>
      </c>
      <c r="C427" s="1" t="s">
        <v>17</v>
      </c>
      <c r="D427" s="1" t="s">
        <v>969</v>
      </c>
      <c r="E427" s="1" t="s">
        <v>19</v>
      </c>
      <c r="F427" s="1" t="s">
        <v>20</v>
      </c>
      <c r="G427" s="1" t="s">
        <v>50</v>
      </c>
      <c r="H427" s="1" t="s">
        <v>51</v>
      </c>
      <c r="I427" s="1" t="s">
        <v>31</v>
      </c>
      <c r="J427" s="1" t="s">
        <v>32</v>
      </c>
      <c r="K427" s="1" t="s">
        <v>59</v>
      </c>
      <c r="L427" s="1" t="s">
        <v>970</v>
      </c>
      <c r="M427">
        <v>2</v>
      </c>
      <c r="N427">
        <v>0</v>
      </c>
      <c r="O427">
        <v>33.588799999999999</v>
      </c>
      <c r="P427">
        <v>119.96</v>
      </c>
      <c r="Q427">
        <v>86.371199999999988</v>
      </c>
    </row>
    <row r="428" spans="1:17" x14ac:dyDescent="0.25">
      <c r="A428" s="2">
        <v>42430</v>
      </c>
      <c r="B428" s="2">
        <v>42434</v>
      </c>
      <c r="C428" s="1" t="s">
        <v>35</v>
      </c>
      <c r="D428" s="1" t="s">
        <v>142</v>
      </c>
      <c r="E428" s="1" t="s">
        <v>19</v>
      </c>
      <c r="F428" s="1" t="s">
        <v>20</v>
      </c>
      <c r="G428" s="1" t="s">
        <v>971</v>
      </c>
      <c r="H428" s="1" t="s">
        <v>127</v>
      </c>
      <c r="I428" s="1" t="s">
        <v>81</v>
      </c>
      <c r="J428" s="1" t="s">
        <v>24</v>
      </c>
      <c r="K428" s="1" t="s">
        <v>39</v>
      </c>
      <c r="L428" s="1" t="s">
        <v>972</v>
      </c>
      <c r="M428">
        <v>8</v>
      </c>
      <c r="N428">
        <v>0.4</v>
      </c>
      <c r="O428">
        <v>-264.92079999999999</v>
      </c>
      <c r="P428">
        <v>836.59199999999998</v>
      </c>
      <c r="Q428">
        <v>1101.5128</v>
      </c>
    </row>
    <row r="429" spans="1:17" x14ac:dyDescent="0.25">
      <c r="A429" s="2">
        <v>42594</v>
      </c>
      <c r="B429" s="2">
        <v>42594</v>
      </c>
      <c r="C429" s="1" t="s">
        <v>434</v>
      </c>
      <c r="D429" s="1" t="s">
        <v>196</v>
      </c>
      <c r="E429" s="1" t="s">
        <v>19</v>
      </c>
      <c r="F429" s="1" t="s">
        <v>20</v>
      </c>
      <c r="G429" s="1" t="s">
        <v>463</v>
      </c>
      <c r="H429" s="1" t="s">
        <v>210</v>
      </c>
      <c r="I429" s="1" t="s">
        <v>58</v>
      </c>
      <c r="J429" s="1" t="s">
        <v>32</v>
      </c>
      <c r="K429" s="1" t="s">
        <v>47</v>
      </c>
      <c r="L429" s="1" t="s">
        <v>973</v>
      </c>
      <c r="M429">
        <v>1</v>
      </c>
      <c r="N429">
        <v>0</v>
      </c>
      <c r="O429">
        <v>3.1103999999999998</v>
      </c>
      <c r="P429">
        <v>6.48</v>
      </c>
      <c r="Q429">
        <v>3.3696000000000006</v>
      </c>
    </row>
    <row r="430" spans="1:17" x14ac:dyDescent="0.25">
      <c r="A430" s="2">
        <v>42597</v>
      </c>
      <c r="B430" s="2">
        <v>42602</v>
      </c>
      <c r="C430" s="1" t="s">
        <v>17</v>
      </c>
      <c r="D430" s="1" t="s">
        <v>974</v>
      </c>
      <c r="E430" s="1" t="s">
        <v>28</v>
      </c>
      <c r="F430" s="1" t="s">
        <v>20</v>
      </c>
      <c r="G430" s="1" t="s">
        <v>975</v>
      </c>
      <c r="H430" s="1" t="s">
        <v>30</v>
      </c>
      <c r="I430" s="1" t="s">
        <v>31</v>
      </c>
      <c r="J430" s="1" t="s">
        <v>99</v>
      </c>
      <c r="K430" s="1" t="s">
        <v>100</v>
      </c>
      <c r="L430" s="1" t="s">
        <v>976</v>
      </c>
      <c r="M430">
        <v>3</v>
      </c>
      <c r="N430">
        <v>0.2</v>
      </c>
      <c r="O430">
        <v>7.1976000000000004</v>
      </c>
      <c r="P430">
        <v>71.975999999999999</v>
      </c>
      <c r="Q430">
        <v>64.778400000000005</v>
      </c>
    </row>
    <row r="431" spans="1:17" x14ac:dyDescent="0.25">
      <c r="A431" s="2">
        <v>42344</v>
      </c>
      <c r="B431" s="2">
        <v>42351</v>
      </c>
      <c r="C431" s="1" t="s">
        <v>35</v>
      </c>
      <c r="D431" s="1" t="s">
        <v>710</v>
      </c>
      <c r="E431" s="1" t="s">
        <v>19</v>
      </c>
      <c r="F431" s="1" t="s">
        <v>20</v>
      </c>
      <c r="G431" s="1" t="s">
        <v>345</v>
      </c>
      <c r="H431" s="1" t="s">
        <v>30</v>
      </c>
      <c r="I431" s="1" t="s">
        <v>31</v>
      </c>
      <c r="J431" s="1" t="s">
        <v>32</v>
      </c>
      <c r="K431" s="1" t="s">
        <v>72</v>
      </c>
      <c r="L431" s="1" t="s">
        <v>977</v>
      </c>
      <c r="M431">
        <v>9</v>
      </c>
      <c r="N431">
        <v>0</v>
      </c>
      <c r="O431">
        <v>33.642000000000003</v>
      </c>
      <c r="P431">
        <v>120.15</v>
      </c>
      <c r="Q431">
        <v>86.50800000000001</v>
      </c>
    </row>
    <row r="432" spans="1:17" x14ac:dyDescent="0.25">
      <c r="A432" s="2">
        <v>42756</v>
      </c>
      <c r="B432" s="2">
        <v>42761</v>
      </c>
      <c r="C432" s="1" t="s">
        <v>35</v>
      </c>
      <c r="D432" s="1" t="s">
        <v>978</v>
      </c>
      <c r="E432" s="1" t="s">
        <v>55</v>
      </c>
      <c r="F432" s="1" t="s">
        <v>20</v>
      </c>
      <c r="G432" s="1" t="s">
        <v>201</v>
      </c>
      <c r="H432" s="1" t="s">
        <v>46</v>
      </c>
      <c r="I432" s="1" t="s">
        <v>23</v>
      </c>
      <c r="J432" s="1" t="s">
        <v>32</v>
      </c>
      <c r="K432" s="1" t="s">
        <v>64</v>
      </c>
      <c r="L432" s="1" t="s">
        <v>979</v>
      </c>
      <c r="M432">
        <v>7</v>
      </c>
      <c r="N432">
        <v>0.2</v>
      </c>
      <c r="O432">
        <v>30.4682</v>
      </c>
      <c r="P432">
        <v>348.20800000000003</v>
      </c>
      <c r="Q432">
        <v>317.7398</v>
      </c>
    </row>
    <row r="433" spans="1:17" x14ac:dyDescent="0.25">
      <c r="A433" s="2">
        <v>41815</v>
      </c>
      <c r="B433" s="2">
        <v>41818</v>
      </c>
      <c r="C433" s="1" t="s">
        <v>107</v>
      </c>
      <c r="D433" s="1" t="s">
        <v>980</v>
      </c>
      <c r="E433" s="1" t="s">
        <v>28</v>
      </c>
      <c r="F433" s="1" t="s">
        <v>20</v>
      </c>
      <c r="G433" s="1" t="s">
        <v>29</v>
      </c>
      <c r="H433" s="1" t="s">
        <v>30</v>
      </c>
      <c r="I433" s="1" t="s">
        <v>31</v>
      </c>
      <c r="J433" s="1" t="s">
        <v>24</v>
      </c>
      <c r="K433" s="1" t="s">
        <v>39</v>
      </c>
      <c r="L433" s="1" t="s">
        <v>981</v>
      </c>
      <c r="M433">
        <v>5</v>
      </c>
      <c r="N433">
        <v>0.2</v>
      </c>
      <c r="O433">
        <v>11.196</v>
      </c>
      <c r="P433">
        <v>447.84</v>
      </c>
      <c r="Q433">
        <v>436.64399999999995</v>
      </c>
    </row>
    <row r="434" spans="1:17" x14ac:dyDescent="0.25">
      <c r="A434" s="2">
        <v>42535</v>
      </c>
      <c r="B434" s="2">
        <v>42538</v>
      </c>
      <c r="C434" s="1" t="s">
        <v>107</v>
      </c>
      <c r="D434" s="1" t="s">
        <v>982</v>
      </c>
      <c r="E434" s="1" t="s">
        <v>55</v>
      </c>
      <c r="F434" s="1" t="s">
        <v>20</v>
      </c>
      <c r="G434" s="1" t="s">
        <v>71</v>
      </c>
      <c r="H434" s="1" t="s">
        <v>30</v>
      </c>
      <c r="I434" s="1" t="s">
        <v>31</v>
      </c>
      <c r="J434" s="1" t="s">
        <v>32</v>
      </c>
      <c r="K434" s="1" t="s">
        <v>72</v>
      </c>
      <c r="L434" s="1" t="s">
        <v>983</v>
      </c>
      <c r="M434">
        <v>4</v>
      </c>
      <c r="N434">
        <v>0</v>
      </c>
      <c r="O434">
        <v>2.0415999999999999</v>
      </c>
      <c r="P434">
        <v>7.04</v>
      </c>
      <c r="Q434">
        <v>4.9984000000000002</v>
      </c>
    </row>
    <row r="435" spans="1:17" x14ac:dyDescent="0.25">
      <c r="A435" s="2">
        <v>42846</v>
      </c>
      <c r="B435" s="2">
        <v>42852</v>
      </c>
      <c r="C435" s="1" t="s">
        <v>35</v>
      </c>
      <c r="D435" s="1" t="s">
        <v>984</v>
      </c>
      <c r="E435" s="1" t="s">
        <v>19</v>
      </c>
      <c r="F435" s="1" t="s">
        <v>20</v>
      </c>
      <c r="G435" s="1" t="s">
        <v>91</v>
      </c>
      <c r="H435" s="1" t="s">
        <v>57</v>
      </c>
      <c r="I435" s="1" t="s">
        <v>58</v>
      </c>
      <c r="J435" s="1" t="s">
        <v>32</v>
      </c>
      <c r="K435" s="1" t="s">
        <v>52</v>
      </c>
      <c r="L435" s="1" t="s">
        <v>985</v>
      </c>
      <c r="M435">
        <v>3</v>
      </c>
      <c r="N435">
        <v>0.8</v>
      </c>
      <c r="O435">
        <v>-4.7145000000000001</v>
      </c>
      <c r="P435">
        <v>2.694</v>
      </c>
      <c r="Q435">
        <v>7.4085000000000001</v>
      </c>
    </row>
    <row r="436" spans="1:17" x14ac:dyDescent="0.25">
      <c r="A436" s="2">
        <v>42664</v>
      </c>
      <c r="B436" s="2">
        <v>42670</v>
      </c>
      <c r="C436" s="1" t="s">
        <v>35</v>
      </c>
      <c r="D436" s="1" t="s">
        <v>986</v>
      </c>
      <c r="E436" s="1" t="s">
        <v>19</v>
      </c>
      <c r="F436" s="1" t="s">
        <v>20</v>
      </c>
      <c r="G436" s="1" t="s">
        <v>882</v>
      </c>
      <c r="H436" s="1" t="s">
        <v>30</v>
      </c>
      <c r="I436" s="1" t="s">
        <v>31</v>
      </c>
      <c r="J436" s="1" t="s">
        <v>32</v>
      </c>
      <c r="K436" s="1" t="s">
        <v>47</v>
      </c>
      <c r="L436" s="1" t="s">
        <v>987</v>
      </c>
      <c r="M436">
        <v>3</v>
      </c>
      <c r="N436">
        <v>0</v>
      </c>
      <c r="O436">
        <v>11.2308</v>
      </c>
      <c r="P436">
        <v>22.92</v>
      </c>
      <c r="Q436">
        <v>11.689200000000001</v>
      </c>
    </row>
    <row r="437" spans="1:17" x14ac:dyDescent="0.25">
      <c r="A437" s="2">
        <v>42573</v>
      </c>
      <c r="B437" s="2">
        <v>42575</v>
      </c>
      <c r="C437" s="1" t="s">
        <v>17</v>
      </c>
      <c r="D437" s="1" t="s">
        <v>988</v>
      </c>
      <c r="E437" s="1" t="s">
        <v>28</v>
      </c>
      <c r="F437" s="1" t="s">
        <v>20</v>
      </c>
      <c r="G437" s="1" t="s">
        <v>71</v>
      </c>
      <c r="H437" s="1" t="s">
        <v>30</v>
      </c>
      <c r="I437" s="1" t="s">
        <v>31</v>
      </c>
      <c r="J437" s="1" t="s">
        <v>32</v>
      </c>
      <c r="K437" s="1" t="s">
        <v>33</v>
      </c>
      <c r="L437" s="1" t="s">
        <v>989</v>
      </c>
      <c r="M437">
        <v>2</v>
      </c>
      <c r="N437">
        <v>0</v>
      </c>
      <c r="O437">
        <v>3.024</v>
      </c>
      <c r="P437">
        <v>6.3</v>
      </c>
      <c r="Q437">
        <v>3.2759999999999998</v>
      </c>
    </row>
    <row r="438" spans="1:17" x14ac:dyDescent="0.25">
      <c r="A438" s="2">
        <v>41659</v>
      </c>
      <c r="B438" s="2">
        <v>41665</v>
      </c>
      <c r="C438" s="1" t="s">
        <v>35</v>
      </c>
      <c r="D438" s="1" t="s">
        <v>857</v>
      </c>
      <c r="E438" s="1" t="s">
        <v>19</v>
      </c>
      <c r="F438" s="1" t="s">
        <v>20</v>
      </c>
      <c r="G438" s="1" t="s">
        <v>990</v>
      </c>
      <c r="H438" s="1" t="s">
        <v>899</v>
      </c>
      <c r="I438" s="1" t="s">
        <v>23</v>
      </c>
      <c r="J438" s="1" t="s">
        <v>99</v>
      </c>
      <c r="K438" s="1" t="s">
        <v>100</v>
      </c>
      <c r="L438" s="1" t="s">
        <v>991</v>
      </c>
      <c r="M438">
        <v>7</v>
      </c>
      <c r="N438">
        <v>0</v>
      </c>
      <c r="O438">
        <v>181.98179999999999</v>
      </c>
      <c r="P438">
        <v>699.93</v>
      </c>
      <c r="Q438">
        <v>517.94819999999993</v>
      </c>
    </row>
    <row r="439" spans="1:17" x14ac:dyDescent="0.25">
      <c r="A439" s="2">
        <v>42065</v>
      </c>
      <c r="B439" s="2">
        <v>42070</v>
      </c>
      <c r="C439" s="1" t="s">
        <v>35</v>
      </c>
      <c r="D439" s="1" t="s">
        <v>203</v>
      </c>
      <c r="E439" s="1" t="s">
        <v>55</v>
      </c>
      <c r="F439" s="1" t="s">
        <v>20</v>
      </c>
      <c r="G439" s="1" t="s">
        <v>496</v>
      </c>
      <c r="H439" s="1" t="s">
        <v>123</v>
      </c>
      <c r="I439" s="1" t="s">
        <v>58</v>
      </c>
      <c r="J439" s="1" t="s">
        <v>32</v>
      </c>
      <c r="K439" s="1" t="s">
        <v>72</v>
      </c>
      <c r="L439" s="1" t="s">
        <v>992</v>
      </c>
      <c r="M439">
        <v>1</v>
      </c>
      <c r="N439">
        <v>0</v>
      </c>
      <c r="O439">
        <v>2.6415999999999999</v>
      </c>
      <c r="P439">
        <v>10.16</v>
      </c>
      <c r="Q439">
        <v>7.5183999999999997</v>
      </c>
    </row>
    <row r="440" spans="1:17" x14ac:dyDescent="0.25">
      <c r="A440" s="2">
        <v>42472</v>
      </c>
      <c r="B440" s="2">
        <v>42476</v>
      </c>
      <c r="C440" s="1" t="s">
        <v>35</v>
      </c>
      <c r="D440" s="1" t="s">
        <v>578</v>
      </c>
      <c r="E440" s="1" t="s">
        <v>19</v>
      </c>
      <c r="F440" s="1" t="s">
        <v>20</v>
      </c>
      <c r="G440" s="1" t="s">
        <v>143</v>
      </c>
      <c r="H440" s="1" t="s">
        <v>144</v>
      </c>
      <c r="I440" s="1" t="s">
        <v>23</v>
      </c>
      <c r="J440" s="1" t="s">
        <v>24</v>
      </c>
      <c r="K440" s="1" t="s">
        <v>39</v>
      </c>
      <c r="L440" s="1" t="s">
        <v>993</v>
      </c>
      <c r="M440">
        <v>4</v>
      </c>
      <c r="N440">
        <v>0</v>
      </c>
      <c r="O440">
        <v>75.662400000000005</v>
      </c>
      <c r="P440">
        <v>343.92</v>
      </c>
      <c r="Q440">
        <v>268.25760000000002</v>
      </c>
    </row>
    <row r="441" spans="1:17" x14ac:dyDescent="0.25">
      <c r="A441" s="2">
        <v>42710</v>
      </c>
      <c r="B441" s="2">
        <v>42711</v>
      </c>
      <c r="C441" s="1" t="s">
        <v>107</v>
      </c>
      <c r="D441" s="1" t="s">
        <v>218</v>
      </c>
      <c r="E441" s="1" t="s">
        <v>28</v>
      </c>
      <c r="F441" s="1" t="s">
        <v>20</v>
      </c>
      <c r="G441" s="1" t="s">
        <v>994</v>
      </c>
      <c r="H441" s="1" t="s">
        <v>30</v>
      </c>
      <c r="I441" s="1" t="s">
        <v>31</v>
      </c>
      <c r="J441" s="1" t="s">
        <v>32</v>
      </c>
      <c r="K441" s="1" t="s">
        <v>47</v>
      </c>
      <c r="L441" s="1" t="s">
        <v>926</v>
      </c>
      <c r="M441">
        <v>3</v>
      </c>
      <c r="N441">
        <v>0</v>
      </c>
      <c r="O441">
        <v>9.3312000000000008</v>
      </c>
      <c r="P441">
        <v>19.440000000000001</v>
      </c>
      <c r="Q441">
        <v>10.1088</v>
      </c>
    </row>
    <row r="442" spans="1:17" x14ac:dyDescent="0.25">
      <c r="A442" s="2">
        <v>42715</v>
      </c>
      <c r="B442" s="2">
        <v>42715</v>
      </c>
      <c r="C442" s="1" t="s">
        <v>434</v>
      </c>
      <c r="D442" s="1" t="s">
        <v>644</v>
      </c>
      <c r="E442" s="1" t="s">
        <v>19</v>
      </c>
      <c r="F442" s="1" t="s">
        <v>20</v>
      </c>
      <c r="G442" s="1" t="s">
        <v>995</v>
      </c>
      <c r="H442" s="1" t="s">
        <v>38</v>
      </c>
      <c r="I442" s="1" t="s">
        <v>23</v>
      </c>
      <c r="J442" s="1" t="s">
        <v>32</v>
      </c>
      <c r="K442" s="1" t="s">
        <v>64</v>
      </c>
      <c r="L442" s="1" t="s">
        <v>996</v>
      </c>
      <c r="M442">
        <v>3</v>
      </c>
      <c r="N442">
        <v>0.2</v>
      </c>
      <c r="O442">
        <v>7.4570999999999996</v>
      </c>
      <c r="P442">
        <v>85.224000000000004</v>
      </c>
      <c r="Q442">
        <v>77.766900000000007</v>
      </c>
    </row>
    <row r="443" spans="1:17" x14ac:dyDescent="0.25">
      <c r="A443" s="2">
        <v>42686</v>
      </c>
      <c r="B443" s="2">
        <v>42689</v>
      </c>
      <c r="C443" s="1" t="s">
        <v>17</v>
      </c>
      <c r="D443" s="1" t="s">
        <v>997</v>
      </c>
      <c r="E443" s="1" t="s">
        <v>28</v>
      </c>
      <c r="F443" s="1" t="s">
        <v>20</v>
      </c>
      <c r="G443" s="1" t="s">
        <v>998</v>
      </c>
      <c r="H443" s="1" t="s">
        <v>123</v>
      </c>
      <c r="I443" s="1" t="s">
        <v>58</v>
      </c>
      <c r="J443" s="1" t="s">
        <v>32</v>
      </c>
      <c r="K443" s="1" t="s">
        <v>94</v>
      </c>
      <c r="L443" s="1" t="s">
        <v>999</v>
      </c>
      <c r="M443">
        <v>8</v>
      </c>
      <c r="N443">
        <v>0</v>
      </c>
      <c r="O443">
        <v>129.38399999999999</v>
      </c>
      <c r="P443">
        <v>287.52</v>
      </c>
      <c r="Q443">
        <v>158.136</v>
      </c>
    </row>
    <row r="444" spans="1:17" x14ac:dyDescent="0.25">
      <c r="A444" s="2">
        <v>42098</v>
      </c>
      <c r="B444" s="2">
        <v>42098</v>
      </c>
      <c r="C444" s="1" t="s">
        <v>434</v>
      </c>
      <c r="D444" s="1" t="s">
        <v>1000</v>
      </c>
      <c r="E444" s="1" t="s">
        <v>19</v>
      </c>
      <c r="F444" s="1" t="s">
        <v>20</v>
      </c>
      <c r="G444" s="1" t="s">
        <v>1001</v>
      </c>
      <c r="H444" s="1" t="s">
        <v>115</v>
      </c>
      <c r="I444" s="1" t="s">
        <v>58</v>
      </c>
      <c r="J444" s="1" t="s">
        <v>32</v>
      </c>
      <c r="K444" s="1" t="s">
        <v>59</v>
      </c>
      <c r="L444" s="1" t="s">
        <v>1002</v>
      </c>
      <c r="M444">
        <v>2</v>
      </c>
      <c r="N444">
        <v>0.1</v>
      </c>
      <c r="O444">
        <v>107.346</v>
      </c>
      <c r="P444">
        <v>644.07600000000002</v>
      </c>
      <c r="Q444">
        <v>536.73</v>
      </c>
    </row>
    <row r="445" spans="1:17" x14ac:dyDescent="0.25">
      <c r="A445" s="2">
        <v>42132</v>
      </c>
      <c r="B445" s="2">
        <v>42138</v>
      </c>
      <c r="C445" s="1" t="s">
        <v>35</v>
      </c>
      <c r="D445" s="1" t="s">
        <v>1003</v>
      </c>
      <c r="E445" s="1" t="s">
        <v>28</v>
      </c>
      <c r="F445" s="1" t="s">
        <v>20</v>
      </c>
      <c r="G445" s="1" t="s">
        <v>1004</v>
      </c>
      <c r="H445" s="1" t="s">
        <v>214</v>
      </c>
      <c r="I445" s="1" t="s">
        <v>81</v>
      </c>
      <c r="J445" s="1" t="s">
        <v>24</v>
      </c>
      <c r="K445" s="1" t="s">
        <v>42</v>
      </c>
      <c r="L445" s="1" t="s">
        <v>1005</v>
      </c>
      <c r="M445">
        <v>6</v>
      </c>
      <c r="N445">
        <v>0.2</v>
      </c>
      <c r="O445">
        <v>1.2527999999999999</v>
      </c>
      <c r="P445">
        <v>8.3520000000000003</v>
      </c>
      <c r="Q445">
        <v>7.0992000000000006</v>
      </c>
    </row>
    <row r="446" spans="1:17" x14ac:dyDescent="0.25">
      <c r="A446" s="2">
        <v>41993</v>
      </c>
      <c r="B446" s="2">
        <v>41994</v>
      </c>
      <c r="C446" s="1" t="s">
        <v>107</v>
      </c>
      <c r="D446" s="1" t="s">
        <v>978</v>
      </c>
      <c r="E446" s="1" t="s">
        <v>55</v>
      </c>
      <c r="F446" s="1" t="s">
        <v>20</v>
      </c>
      <c r="G446" s="1" t="s">
        <v>1006</v>
      </c>
      <c r="H446" s="1" t="s">
        <v>144</v>
      </c>
      <c r="I446" s="1" t="s">
        <v>23</v>
      </c>
      <c r="J446" s="1" t="s">
        <v>32</v>
      </c>
      <c r="K446" s="1" t="s">
        <v>64</v>
      </c>
      <c r="L446" s="1" t="s">
        <v>1007</v>
      </c>
      <c r="M446">
        <v>2</v>
      </c>
      <c r="N446">
        <v>0</v>
      </c>
      <c r="O446">
        <v>0</v>
      </c>
      <c r="P446">
        <v>122.48</v>
      </c>
      <c r="Q446">
        <v>122.48</v>
      </c>
    </row>
    <row r="447" spans="1:17" x14ac:dyDescent="0.25">
      <c r="A447" s="2">
        <v>42553</v>
      </c>
      <c r="B447" s="2">
        <v>42558</v>
      </c>
      <c r="C447" s="1" t="s">
        <v>17</v>
      </c>
      <c r="D447" s="1" t="s">
        <v>859</v>
      </c>
      <c r="E447" s="1" t="s">
        <v>28</v>
      </c>
      <c r="F447" s="1" t="s">
        <v>20</v>
      </c>
      <c r="G447" s="1" t="s">
        <v>29</v>
      </c>
      <c r="H447" s="1" t="s">
        <v>30</v>
      </c>
      <c r="I447" s="1" t="s">
        <v>31</v>
      </c>
      <c r="J447" s="1" t="s">
        <v>24</v>
      </c>
      <c r="K447" s="1" t="s">
        <v>82</v>
      </c>
      <c r="L447" s="1" t="s">
        <v>1008</v>
      </c>
      <c r="M447">
        <v>1</v>
      </c>
      <c r="N447">
        <v>0.2</v>
      </c>
      <c r="O447">
        <v>19.5184</v>
      </c>
      <c r="P447">
        <v>195.184</v>
      </c>
      <c r="Q447">
        <v>175.66559999999998</v>
      </c>
    </row>
    <row r="448" spans="1:17" x14ac:dyDescent="0.25">
      <c r="A448" s="2">
        <v>42915</v>
      </c>
      <c r="B448" s="2">
        <v>42920</v>
      </c>
      <c r="C448" s="1" t="s">
        <v>35</v>
      </c>
      <c r="D448" s="1" t="s">
        <v>1009</v>
      </c>
      <c r="E448" s="1" t="s">
        <v>19</v>
      </c>
      <c r="F448" s="1" t="s">
        <v>20</v>
      </c>
      <c r="G448" s="1" t="s">
        <v>179</v>
      </c>
      <c r="H448" s="1" t="s">
        <v>110</v>
      </c>
      <c r="I448" s="1" t="s">
        <v>58</v>
      </c>
      <c r="J448" s="1" t="s">
        <v>32</v>
      </c>
      <c r="K448" s="1" t="s">
        <v>59</v>
      </c>
      <c r="L448" s="1" t="s">
        <v>1010</v>
      </c>
      <c r="M448">
        <v>3</v>
      </c>
      <c r="N448">
        <v>0</v>
      </c>
      <c r="O448">
        <v>90.734999999999999</v>
      </c>
      <c r="P448">
        <v>362.94</v>
      </c>
      <c r="Q448">
        <v>272.20499999999998</v>
      </c>
    </row>
    <row r="449" spans="1:17" x14ac:dyDescent="0.25">
      <c r="A449" s="2">
        <v>41883</v>
      </c>
      <c r="B449" s="2">
        <v>41887</v>
      </c>
      <c r="C449" s="1" t="s">
        <v>17</v>
      </c>
      <c r="D449" s="1" t="s">
        <v>1011</v>
      </c>
      <c r="E449" s="1" t="s">
        <v>19</v>
      </c>
      <c r="F449" s="1" t="s">
        <v>20</v>
      </c>
      <c r="G449" s="1" t="s">
        <v>1012</v>
      </c>
      <c r="H449" s="1" t="s">
        <v>30</v>
      </c>
      <c r="I449" s="1" t="s">
        <v>31</v>
      </c>
      <c r="J449" s="1" t="s">
        <v>32</v>
      </c>
      <c r="K449" s="1" t="s">
        <v>72</v>
      </c>
      <c r="L449" s="1" t="s">
        <v>1013</v>
      </c>
      <c r="M449">
        <v>3</v>
      </c>
      <c r="N449">
        <v>0</v>
      </c>
      <c r="O449">
        <v>15.6426</v>
      </c>
      <c r="P449">
        <v>53.94</v>
      </c>
      <c r="Q449">
        <v>38.297399999999996</v>
      </c>
    </row>
    <row r="450" spans="1:17" x14ac:dyDescent="0.25">
      <c r="A450" s="2">
        <v>41701</v>
      </c>
      <c r="B450" s="2">
        <v>41706</v>
      </c>
      <c r="C450" s="1" t="s">
        <v>35</v>
      </c>
      <c r="D450" s="1" t="s">
        <v>1014</v>
      </c>
      <c r="E450" s="1" t="s">
        <v>55</v>
      </c>
      <c r="F450" s="1" t="s">
        <v>20</v>
      </c>
      <c r="G450" s="1" t="s">
        <v>126</v>
      </c>
      <c r="H450" s="1" t="s">
        <v>127</v>
      </c>
      <c r="I450" s="1" t="s">
        <v>81</v>
      </c>
      <c r="J450" s="1" t="s">
        <v>99</v>
      </c>
      <c r="K450" s="1" t="s">
        <v>100</v>
      </c>
      <c r="L450" s="1" t="s">
        <v>1015</v>
      </c>
      <c r="M450">
        <v>1</v>
      </c>
      <c r="N450">
        <v>0</v>
      </c>
      <c r="O450">
        <v>4.5953999999999997</v>
      </c>
      <c r="P450">
        <v>9.99</v>
      </c>
      <c r="Q450">
        <v>5.3946000000000005</v>
      </c>
    </row>
    <row r="451" spans="1:17" x14ac:dyDescent="0.25">
      <c r="A451" s="2">
        <v>41763</v>
      </c>
      <c r="B451" s="2">
        <v>41767</v>
      </c>
      <c r="C451" s="1" t="s">
        <v>35</v>
      </c>
      <c r="D451" s="1" t="s">
        <v>1016</v>
      </c>
      <c r="E451" s="1" t="s">
        <v>19</v>
      </c>
      <c r="F451" s="1" t="s">
        <v>20</v>
      </c>
      <c r="G451" s="1" t="s">
        <v>148</v>
      </c>
      <c r="H451" s="1" t="s">
        <v>115</v>
      </c>
      <c r="I451" s="1" t="s">
        <v>58</v>
      </c>
      <c r="J451" s="1" t="s">
        <v>32</v>
      </c>
      <c r="K451" s="1" t="s">
        <v>52</v>
      </c>
      <c r="L451" s="1" t="s">
        <v>817</v>
      </c>
      <c r="M451">
        <v>4</v>
      </c>
      <c r="N451">
        <v>0</v>
      </c>
      <c r="O451">
        <v>21.06</v>
      </c>
      <c r="P451">
        <v>46.8</v>
      </c>
      <c r="Q451">
        <v>25.74</v>
      </c>
    </row>
    <row r="452" spans="1:17" x14ac:dyDescent="0.25">
      <c r="A452" s="2">
        <v>42310</v>
      </c>
      <c r="B452" s="2">
        <v>42310</v>
      </c>
      <c r="C452" s="1" t="s">
        <v>434</v>
      </c>
      <c r="D452" s="1" t="s">
        <v>344</v>
      </c>
      <c r="E452" s="1" t="s">
        <v>19</v>
      </c>
      <c r="F452" s="1" t="s">
        <v>20</v>
      </c>
      <c r="G452" s="1" t="s">
        <v>50</v>
      </c>
      <c r="H452" s="1" t="s">
        <v>51</v>
      </c>
      <c r="I452" s="1" t="s">
        <v>31</v>
      </c>
      <c r="J452" s="1" t="s">
        <v>99</v>
      </c>
      <c r="K452" s="1" t="s">
        <v>111</v>
      </c>
      <c r="L452" s="1" t="s">
        <v>199</v>
      </c>
      <c r="M452">
        <v>9</v>
      </c>
      <c r="N452">
        <v>0</v>
      </c>
      <c r="O452">
        <v>49.272300000000001</v>
      </c>
      <c r="P452">
        <v>447.93</v>
      </c>
      <c r="Q452">
        <v>398.65769999999998</v>
      </c>
    </row>
    <row r="453" spans="1:17" x14ac:dyDescent="0.25">
      <c r="A453" s="2">
        <v>41708</v>
      </c>
      <c r="B453" s="2">
        <v>41712</v>
      </c>
      <c r="C453" s="1" t="s">
        <v>35</v>
      </c>
      <c r="D453" s="1" t="s">
        <v>892</v>
      </c>
      <c r="E453" s="1" t="s">
        <v>19</v>
      </c>
      <c r="F453" s="1" t="s">
        <v>20</v>
      </c>
      <c r="G453" s="1" t="s">
        <v>1017</v>
      </c>
      <c r="H453" s="1" t="s">
        <v>115</v>
      </c>
      <c r="I453" s="1" t="s">
        <v>58</v>
      </c>
      <c r="J453" s="1" t="s">
        <v>32</v>
      </c>
      <c r="K453" s="1" t="s">
        <v>47</v>
      </c>
      <c r="L453" s="1" t="s">
        <v>1018</v>
      </c>
      <c r="M453">
        <v>2</v>
      </c>
      <c r="N453">
        <v>0</v>
      </c>
      <c r="O453">
        <v>10.7424</v>
      </c>
      <c r="P453">
        <v>22.38</v>
      </c>
      <c r="Q453">
        <v>11.637599999999999</v>
      </c>
    </row>
    <row r="454" spans="1:17" x14ac:dyDescent="0.25">
      <c r="A454" s="2">
        <v>41750</v>
      </c>
      <c r="B454" s="2">
        <v>41754</v>
      </c>
      <c r="C454" s="1" t="s">
        <v>35</v>
      </c>
      <c r="D454" s="1" t="s">
        <v>593</v>
      </c>
      <c r="E454" s="1" t="s">
        <v>19</v>
      </c>
      <c r="F454" s="1" t="s">
        <v>20</v>
      </c>
      <c r="G454" s="1" t="s">
        <v>29</v>
      </c>
      <c r="H454" s="1" t="s">
        <v>30</v>
      </c>
      <c r="I454" s="1" t="s">
        <v>31</v>
      </c>
      <c r="J454" s="1" t="s">
        <v>32</v>
      </c>
      <c r="K454" s="1" t="s">
        <v>52</v>
      </c>
      <c r="L454" s="1" t="s">
        <v>1019</v>
      </c>
      <c r="M454">
        <v>5</v>
      </c>
      <c r="N454">
        <v>0.2</v>
      </c>
      <c r="O454">
        <v>5.5754999999999999</v>
      </c>
      <c r="P454">
        <v>16.52</v>
      </c>
      <c r="Q454">
        <v>10.9445</v>
      </c>
    </row>
    <row r="455" spans="1:17" x14ac:dyDescent="0.25">
      <c r="A455" s="2">
        <v>42299</v>
      </c>
      <c r="B455" s="2">
        <v>42303</v>
      </c>
      <c r="C455" s="1" t="s">
        <v>35</v>
      </c>
      <c r="D455" s="1" t="s">
        <v>779</v>
      </c>
      <c r="E455" s="1" t="s">
        <v>19</v>
      </c>
      <c r="F455" s="1" t="s">
        <v>20</v>
      </c>
      <c r="G455" s="1" t="s">
        <v>224</v>
      </c>
      <c r="H455" s="1" t="s">
        <v>98</v>
      </c>
      <c r="I455" s="1" t="s">
        <v>58</v>
      </c>
      <c r="J455" s="1" t="s">
        <v>32</v>
      </c>
      <c r="K455" s="1" t="s">
        <v>52</v>
      </c>
      <c r="L455" s="1" t="s">
        <v>1020</v>
      </c>
      <c r="M455">
        <v>4</v>
      </c>
      <c r="N455">
        <v>0.8</v>
      </c>
      <c r="O455">
        <v>-7.7640000000000002</v>
      </c>
      <c r="P455">
        <v>5.1760000000000002</v>
      </c>
      <c r="Q455">
        <v>12.940000000000001</v>
      </c>
    </row>
    <row r="456" spans="1:17" x14ac:dyDescent="0.25">
      <c r="A456" s="2">
        <v>42238</v>
      </c>
      <c r="B456" s="2">
        <v>42241</v>
      </c>
      <c r="C456" s="1" t="s">
        <v>107</v>
      </c>
      <c r="D456" s="1" t="s">
        <v>1021</v>
      </c>
      <c r="E456" s="1" t="s">
        <v>28</v>
      </c>
      <c r="F456" s="1" t="s">
        <v>20</v>
      </c>
      <c r="G456" s="1" t="s">
        <v>126</v>
      </c>
      <c r="H456" s="1" t="s">
        <v>127</v>
      </c>
      <c r="I456" s="1" t="s">
        <v>81</v>
      </c>
      <c r="J456" s="1" t="s">
        <v>32</v>
      </c>
      <c r="K456" s="1" t="s">
        <v>52</v>
      </c>
      <c r="L456" s="1" t="s">
        <v>1022</v>
      </c>
      <c r="M456">
        <v>6</v>
      </c>
      <c r="N456">
        <v>0.2</v>
      </c>
      <c r="O456">
        <v>16.2864</v>
      </c>
      <c r="P456">
        <v>50.112000000000002</v>
      </c>
      <c r="Q456">
        <v>33.825600000000001</v>
      </c>
    </row>
    <row r="457" spans="1:17" x14ac:dyDescent="0.25">
      <c r="A457" s="2">
        <v>42705</v>
      </c>
      <c r="B457" s="2">
        <v>42709</v>
      </c>
      <c r="C457" s="1" t="s">
        <v>35</v>
      </c>
      <c r="D457" s="1" t="s">
        <v>150</v>
      </c>
      <c r="E457" s="1" t="s">
        <v>19</v>
      </c>
      <c r="F457" s="1" t="s">
        <v>20</v>
      </c>
      <c r="G457" s="1" t="s">
        <v>1023</v>
      </c>
      <c r="H457" s="1" t="s">
        <v>1024</v>
      </c>
      <c r="I457" s="1" t="s">
        <v>81</v>
      </c>
      <c r="J457" s="1" t="s">
        <v>24</v>
      </c>
      <c r="K457" s="1" t="s">
        <v>82</v>
      </c>
      <c r="L457" s="1" t="s">
        <v>1025</v>
      </c>
      <c r="M457">
        <v>2</v>
      </c>
      <c r="N457">
        <v>0</v>
      </c>
      <c r="O457">
        <v>51.75</v>
      </c>
      <c r="P457">
        <v>172.5</v>
      </c>
      <c r="Q457">
        <v>120.75</v>
      </c>
    </row>
    <row r="458" spans="1:17" x14ac:dyDescent="0.25">
      <c r="A458" s="2">
        <v>42749</v>
      </c>
      <c r="B458" s="2">
        <v>42750</v>
      </c>
      <c r="C458" s="1" t="s">
        <v>107</v>
      </c>
      <c r="D458" s="1" t="s">
        <v>700</v>
      </c>
      <c r="E458" s="1" t="s">
        <v>19</v>
      </c>
      <c r="F458" s="1" t="s">
        <v>20</v>
      </c>
      <c r="G458" s="1" t="s">
        <v>516</v>
      </c>
      <c r="H458" s="1" t="s">
        <v>46</v>
      </c>
      <c r="I458" s="1" t="s">
        <v>23</v>
      </c>
      <c r="J458" s="1" t="s">
        <v>32</v>
      </c>
      <c r="K458" s="1" t="s">
        <v>94</v>
      </c>
      <c r="L458" s="1" t="s">
        <v>1026</v>
      </c>
      <c r="M458">
        <v>1</v>
      </c>
      <c r="N458">
        <v>0.2</v>
      </c>
      <c r="O458">
        <v>7.3385999999999996</v>
      </c>
      <c r="P458">
        <v>21.744</v>
      </c>
      <c r="Q458">
        <v>14.4054</v>
      </c>
    </row>
    <row r="459" spans="1:17" x14ac:dyDescent="0.25">
      <c r="A459" s="2">
        <v>41967</v>
      </c>
      <c r="B459" s="2">
        <v>41973</v>
      </c>
      <c r="C459" s="1" t="s">
        <v>35</v>
      </c>
      <c r="D459" s="1" t="s">
        <v>1027</v>
      </c>
      <c r="E459" s="1" t="s">
        <v>28</v>
      </c>
      <c r="F459" s="1" t="s">
        <v>20</v>
      </c>
      <c r="G459" s="1" t="s">
        <v>50</v>
      </c>
      <c r="H459" s="1" t="s">
        <v>51</v>
      </c>
      <c r="I459" s="1" t="s">
        <v>31</v>
      </c>
      <c r="J459" s="1" t="s">
        <v>32</v>
      </c>
      <c r="K459" s="1" t="s">
        <v>52</v>
      </c>
      <c r="L459" s="1" t="s">
        <v>1028</v>
      </c>
      <c r="M459">
        <v>7</v>
      </c>
      <c r="N459">
        <v>0.2</v>
      </c>
      <c r="O459">
        <v>4.2336</v>
      </c>
      <c r="P459">
        <v>12.096</v>
      </c>
      <c r="Q459">
        <v>7.8624000000000001</v>
      </c>
    </row>
    <row r="460" spans="1:17" x14ac:dyDescent="0.25">
      <c r="A460" s="2">
        <v>42792</v>
      </c>
      <c r="B460" s="2">
        <v>42794</v>
      </c>
      <c r="C460" s="1" t="s">
        <v>17</v>
      </c>
      <c r="D460" s="1" t="s">
        <v>1029</v>
      </c>
      <c r="E460" s="1" t="s">
        <v>55</v>
      </c>
      <c r="F460" s="1" t="s">
        <v>20</v>
      </c>
      <c r="G460" s="1" t="s">
        <v>29</v>
      </c>
      <c r="H460" s="1" t="s">
        <v>30</v>
      </c>
      <c r="I460" s="1" t="s">
        <v>31</v>
      </c>
      <c r="J460" s="1" t="s">
        <v>32</v>
      </c>
      <c r="K460" s="1" t="s">
        <v>59</v>
      </c>
      <c r="L460" s="1" t="s">
        <v>701</v>
      </c>
      <c r="M460">
        <v>4</v>
      </c>
      <c r="N460">
        <v>0</v>
      </c>
      <c r="O460">
        <v>22.118400000000001</v>
      </c>
      <c r="P460">
        <v>81.92</v>
      </c>
      <c r="Q460">
        <v>59.801600000000001</v>
      </c>
    </row>
    <row r="461" spans="1:17" x14ac:dyDescent="0.25">
      <c r="A461" s="2">
        <v>42262</v>
      </c>
      <c r="B461" s="2">
        <v>42262</v>
      </c>
      <c r="C461" s="1" t="s">
        <v>434</v>
      </c>
      <c r="D461" s="1" t="s">
        <v>1030</v>
      </c>
      <c r="E461" s="1" t="s">
        <v>28</v>
      </c>
      <c r="F461" s="1" t="s">
        <v>20</v>
      </c>
      <c r="G461" s="1" t="s">
        <v>1031</v>
      </c>
      <c r="H461" s="1" t="s">
        <v>38</v>
      </c>
      <c r="I461" s="1" t="s">
        <v>23</v>
      </c>
      <c r="J461" s="1" t="s">
        <v>32</v>
      </c>
      <c r="K461" s="1" t="s">
        <v>47</v>
      </c>
      <c r="L461" s="1" t="s">
        <v>1032</v>
      </c>
      <c r="M461">
        <v>3</v>
      </c>
      <c r="N461">
        <v>0.2</v>
      </c>
      <c r="O461">
        <v>5.4432</v>
      </c>
      <c r="P461">
        <v>15.552</v>
      </c>
      <c r="Q461">
        <v>10.108799999999999</v>
      </c>
    </row>
    <row r="462" spans="1:17" x14ac:dyDescent="0.25">
      <c r="A462" s="2">
        <v>42948</v>
      </c>
      <c r="B462" s="2">
        <v>42951</v>
      </c>
      <c r="C462" s="1" t="s">
        <v>107</v>
      </c>
      <c r="D462" s="1" t="s">
        <v>1033</v>
      </c>
      <c r="E462" s="1" t="s">
        <v>19</v>
      </c>
      <c r="F462" s="1" t="s">
        <v>20</v>
      </c>
      <c r="G462" s="1" t="s">
        <v>201</v>
      </c>
      <c r="H462" s="1" t="s">
        <v>46</v>
      </c>
      <c r="I462" s="1" t="s">
        <v>23</v>
      </c>
      <c r="J462" s="1" t="s">
        <v>99</v>
      </c>
      <c r="K462" s="1" t="s">
        <v>100</v>
      </c>
      <c r="L462" s="1" t="s">
        <v>1034</v>
      </c>
      <c r="M462">
        <v>5</v>
      </c>
      <c r="N462">
        <v>0.2</v>
      </c>
      <c r="O462">
        <v>16.997499999999999</v>
      </c>
      <c r="P462">
        <v>271.95999999999998</v>
      </c>
      <c r="Q462">
        <v>254.96249999999998</v>
      </c>
    </row>
    <row r="463" spans="1:17" x14ac:dyDescent="0.25">
      <c r="A463" s="2">
        <v>42565</v>
      </c>
      <c r="B463" s="2">
        <v>42569</v>
      </c>
      <c r="C463" s="1" t="s">
        <v>17</v>
      </c>
      <c r="D463" s="1" t="s">
        <v>1035</v>
      </c>
      <c r="E463" s="1" t="s">
        <v>28</v>
      </c>
      <c r="F463" s="1" t="s">
        <v>20</v>
      </c>
      <c r="G463" s="1" t="s">
        <v>126</v>
      </c>
      <c r="H463" s="1" t="s">
        <v>127</v>
      </c>
      <c r="I463" s="1" t="s">
        <v>81</v>
      </c>
      <c r="J463" s="1" t="s">
        <v>32</v>
      </c>
      <c r="K463" s="1" t="s">
        <v>64</v>
      </c>
      <c r="L463" s="1" t="s">
        <v>1036</v>
      </c>
      <c r="M463">
        <v>1</v>
      </c>
      <c r="N463">
        <v>0</v>
      </c>
      <c r="O463">
        <v>3.363</v>
      </c>
      <c r="P463">
        <v>11.21</v>
      </c>
      <c r="Q463">
        <v>7.8470000000000013</v>
      </c>
    </row>
    <row r="464" spans="1:17" x14ac:dyDescent="0.25">
      <c r="A464" s="2">
        <v>42987</v>
      </c>
      <c r="B464" s="2">
        <v>42991</v>
      </c>
      <c r="C464" s="1" t="s">
        <v>35</v>
      </c>
      <c r="D464" s="1" t="s">
        <v>1037</v>
      </c>
      <c r="E464" s="1" t="s">
        <v>28</v>
      </c>
      <c r="F464" s="1" t="s">
        <v>20</v>
      </c>
      <c r="G464" s="1" t="s">
        <v>79</v>
      </c>
      <c r="H464" s="1" t="s">
        <v>80</v>
      </c>
      <c r="I464" s="1" t="s">
        <v>81</v>
      </c>
      <c r="J464" s="1" t="s">
        <v>24</v>
      </c>
      <c r="K464" s="1" t="s">
        <v>82</v>
      </c>
      <c r="L464" s="1" t="s">
        <v>333</v>
      </c>
      <c r="M464">
        <v>2</v>
      </c>
      <c r="N464">
        <v>0.3</v>
      </c>
      <c r="O464">
        <v>-48.470399999999998</v>
      </c>
      <c r="P464">
        <v>141.37200000000001</v>
      </c>
      <c r="Q464">
        <v>189.8424</v>
      </c>
    </row>
    <row r="465" spans="1:17" x14ac:dyDescent="0.25">
      <c r="A465" s="2">
        <v>41832</v>
      </c>
      <c r="B465" s="2">
        <v>41836</v>
      </c>
      <c r="C465" s="1" t="s">
        <v>35</v>
      </c>
      <c r="D465" s="1" t="s">
        <v>1038</v>
      </c>
      <c r="E465" s="1" t="s">
        <v>55</v>
      </c>
      <c r="F465" s="1" t="s">
        <v>20</v>
      </c>
      <c r="G465" s="1" t="s">
        <v>29</v>
      </c>
      <c r="H465" s="1" t="s">
        <v>30</v>
      </c>
      <c r="I465" s="1" t="s">
        <v>31</v>
      </c>
      <c r="J465" s="1" t="s">
        <v>32</v>
      </c>
      <c r="K465" s="1" t="s">
        <v>64</v>
      </c>
      <c r="L465" s="1" t="s">
        <v>69</v>
      </c>
      <c r="M465">
        <v>9</v>
      </c>
      <c r="N465">
        <v>0</v>
      </c>
      <c r="O465">
        <v>44.954999999999998</v>
      </c>
      <c r="P465">
        <v>249.75</v>
      </c>
      <c r="Q465">
        <v>204.79500000000002</v>
      </c>
    </row>
    <row r="466" spans="1:17" x14ac:dyDescent="0.25">
      <c r="A466" s="2">
        <v>42671</v>
      </c>
      <c r="B466" s="2">
        <v>42671</v>
      </c>
      <c r="C466" s="1" t="s">
        <v>434</v>
      </c>
      <c r="D466" s="1" t="s">
        <v>1039</v>
      </c>
      <c r="E466" s="1" t="s">
        <v>19</v>
      </c>
      <c r="F466" s="1" t="s">
        <v>20</v>
      </c>
      <c r="G466" s="1" t="s">
        <v>1040</v>
      </c>
      <c r="H466" s="1" t="s">
        <v>38</v>
      </c>
      <c r="I466" s="1" t="s">
        <v>23</v>
      </c>
      <c r="J466" s="1" t="s">
        <v>24</v>
      </c>
      <c r="K466" s="1" t="s">
        <v>42</v>
      </c>
      <c r="L466" s="1" t="s">
        <v>1041</v>
      </c>
      <c r="M466">
        <v>3</v>
      </c>
      <c r="N466">
        <v>0.2</v>
      </c>
      <c r="O466">
        <v>13.786199999999999</v>
      </c>
      <c r="P466">
        <v>47.951999999999998</v>
      </c>
      <c r="Q466">
        <v>34.165799999999997</v>
      </c>
    </row>
    <row r="467" spans="1:17" x14ac:dyDescent="0.25">
      <c r="A467" s="2">
        <v>42415</v>
      </c>
      <c r="B467" s="2">
        <v>42422</v>
      </c>
      <c r="C467" s="1" t="s">
        <v>35</v>
      </c>
      <c r="D467" s="1" t="s">
        <v>1039</v>
      </c>
      <c r="E467" s="1" t="s">
        <v>19</v>
      </c>
      <c r="F467" s="1" t="s">
        <v>20</v>
      </c>
      <c r="G467" s="1" t="s">
        <v>126</v>
      </c>
      <c r="H467" s="1" t="s">
        <v>127</v>
      </c>
      <c r="I467" s="1" t="s">
        <v>81</v>
      </c>
      <c r="J467" s="1" t="s">
        <v>32</v>
      </c>
      <c r="K467" s="1" t="s">
        <v>52</v>
      </c>
      <c r="L467" s="1" t="s">
        <v>1042</v>
      </c>
      <c r="M467">
        <v>3</v>
      </c>
      <c r="N467">
        <v>0.2</v>
      </c>
      <c r="O467">
        <v>124.485</v>
      </c>
      <c r="P467">
        <v>398.35199999999998</v>
      </c>
      <c r="Q467">
        <v>273.86699999999996</v>
      </c>
    </row>
    <row r="468" spans="1:17" x14ac:dyDescent="0.25">
      <c r="A468" s="2">
        <v>42869</v>
      </c>
      <c r="B468" s="2">
        <v>42876</v>
      </c>
      <c r="C468" s="1" t="s">
        <v>35</v>
      </c>
      <c r="D468" s="1" t="s">
        <v>1043</v>
      </c>
      <c r="E468" s="1" t="s">
        <v>19</v>
      </c>
      <c r="F468" s="1" t="s">
        <v>20</v>
      </c>
      <c r="G468" s="1" t="s">
        <v>1044</v>
      </c>
      <c r="H468" s="1" t="s">
        <v>502</v>
      </c>
      <c r="I468" s="1" t="s">
        <v>23</v>
      </c>
      <c r="J468" s="1" t="s">
        <v>32</v>
      </c>
      <c r="K468" s="1" t="s">
        <v>94</v>
      </c>
      <c r="L468" s="1" t="s">
        <v>1045</v>
      </c>
      <c r="M468">
        <v>9</v>
      </c>
      <c r="N468">
        <v>0</v>
      </c>
      <c r="O468">
        <v>23.8581</v>
      </c>
      <c r="P468">
        <v>48.69</v>
      </c>
      <c r="Q468">
        <v>24.831899999999997</v>
      </c>
    </row>
    <row r="469" spans="1:17" x14ac:dyDescent="0.25">
      <c r="A469" s="2">
        <v>41985</v>
      </c>
      <c r="B469" s="2">
        <v>41987</v>
      </c>
      <c r="C469" s="1" t="s">
        <v>17</v>
      </c>
      <c r="D469" s="1" t="s">
        <v>1046</v>
      </c>
      <c r="E469" s="1" t="s">
        <v>19</v>
      </c>
      <c r="F469" s="1" t="s">
        <v>20</v>
      </c>
      <c r="G469" s="1" t="s">
        <v>1047</v>
      </c>
      <c r="H469" s="1" t="s">
        <v>30</v>
      </c>
      <c r="I469" s="1" t="s">
        <v>31</v>
      </c>
      <c r="J469" s="1" t="s">
        <v>24</v>
      </c>
      <c r="K469" s="1" t="s">
        <v>39</v>
      </c>
      <c r="L469" s="1" t="s">
        <v>1048</v>
      </c>
      <c r="M469">
        <v>6</v>
      </c>
      <c r="N469">
        <v>0.2</v>
      </c>
      <c r="O469">
        <v>95.585999999999999</v>
      </c>
      <c r="P469">
        <v>764.68799999999999</v>
      </c>
      <c r="Q469">
        <v>669.10199999999998</v>
      </c>
    </row>
    <row r="470" spans="1:17" x14ac:dyDescent="0.25">
      <c r="A470" s="2">
        <v>43087</v>
      </c>
      <c r="B470" s="2">
        <v>43093</v>
      </c>
      <c r="C470" s="1" t="s">
        <v>35</v>
      </c>
      <c r="D470" s="1" t="s">
        <v>1049</v>
      </c>
      <c r="E470" s="1" t="s">
        <v>19</v>
      </c>
      <c r="F470" s="1" t="s">
        <v>20</v>
      </c>
      <c r="G470" s="1" t="s">
        <v>126</v>
      </c>
      <c r="H470" s="1" t="s">
        <v>127</v>
      </c>
      <c r="I470" s="1" t="s">
        <v>81</v>
      </c>
      <c r="J470" s="1" t="s">
        <v>32</v>
      </c>
      <c r="K470" s="1" t="s">
        <v>72</v>
      </c>
      <c r="L470" s="1" t="s">
        <v>930</v>
      </c>
      <c r="M470">
        <v>6</v>
      </c>
      <c r="N470">
        <v>0</v>
      </c>
      <c r="O470">
        <v>17.469000000000001</v>
      </c>
      <c r="P470">
        <v>38.82</v>
      </c>
      <c r="Q470">
        <v>21.350999999999999</v>
      </c>
    </row>
    <row r="471" spans="1:17" x14ac:dyDescent="0.25">
      <c r="A471" s="2">
        <v>42804</v>
      </c>
      <c r="B471" s="2">
        <v>42808</v>
      </c>
      <c r="C471" s="1" t="s">
        <v>35</v>
      </c>
      <c r="D471" s="1" t="s">
        <v>1050</v>
      </c>
      <c r="E471" s="1" t="s">
        <v>55</v>
      </c>
      <c r="F471" s="1" t="s">
        <v>20</v>
      </c>
      <c r="G471" s="1" t="s">
        <v>716</v>
      </c>
      <c r="H471" s="1" t="s">
        <v>80</v>
      </c>
      <c r="I471" s="1" t="s">
        <v>81</v>
      </c>
      <c r="J471" s="1" t="s">
        <v>32</v>
      </c>
      <c r="K471" s="1" t="s">
        <v>72</v>
      </c>
      <c r="L471" s="1" t="s">
        <v>1051</v>
      </c>
      <c r="M471">
        <v>2</v>
      </c>
      <c r="N471">
        <v>0.2</v>
      </c>
      <c r="O471">
        <v>0.59040000000000004</v>
      </c>
      <c r="P471">
        <v>5.2480000000000002</v>
      </c>
      <c r="Q471">
        <v>4.6576000000000004</v>
      </c>
    </row>
    <row r="472" spans="1:17" x14ac:dyDescent="0.25">
      <c r="A472" s="2">
        <v>42728</v>
      </c>
      <c r="B472" s="2">
        <v>42732</v>
      </c>
      <c r="C472" s="1" t="s">
        <v>17</v>
      </c>
      <c r="D472" s="1" t="s">
        <v>511</v>
      </c>
      <c r="E472" s="1" t="s">
        <v>55</v>
      </c>
      <c r="F472" s="1" t="s">
        <v>20</v>
      </c>
      <c r="G472" s="1" t="s">
        <v>201</v>
      </c>
      <c r="H472" s="1" t="s">
        <v>46</v>
      </c>
      <c r="I472" s="1" t="s">
        <v>23</v>
      </c>
      <c r="J472" s="1" t="s">
        <v>32</v>
      </c>
      <c r="K472" s="1" t="s">
        <v>52</v>
      </c>
      <c r="L472" s="1" t="s">
        <v>1052</v>
      </c>
      <c r="M472">
        <v>3</v>
      </c>
      <c r="N472">
        <v>0.7</v>
      </c>
      <c r="O472">
        <v>-20.4468</v>
      </c>
      <c r="P472">
        <v>27.882000000000001</v>
      </c>
      <c r="Q472">
        <v>48.328800000000001</v>
      </c>
    </row>
    <row r="473" spans="1:17" x14ac:dyDescent="0.25">
      <c r="A473" s="2">
        <v>43031</v>
      </c>
      <c r="B473" s="2">
        <v>43035</v>
      </c>
      <c r="C473" s="1" t="s">
        <v>35</v>
      </c>
      <c r="D473" s="1" t="s">
        <v>1053</v>
      </c>
      <c r="E473" s="1" t="s">
        <v>19</v>
      </c>
      <c r="F473" s="1" t="s">
        <v>20</v>
      </c>
      <c r="G473" s="1" t="s">
        <v>516</v>
      </c>
      <c r="H473" s="1" t="s">
        <v>38</v>
      </c>
      <c r="I473" s="1" t="s">
        <v>23</v>
      </c>
      <c r="J473" s="1" t="s">
        <v>99</v>
      </c>
      <c r="K473" s="1" t="s">
        <v>100</v>
      </c>
      <c r="L473" s="1" t="s">
        <v>1054</v>
      </c>
      <c r="M473">
        <v>3</v>
      </c>
      <c r="N473">
        <v>0.2</v>
      </c>
      <c r="O473">
        <v>107.985</v>
      </c>
      <c r="P473">
        <v>863.88</v>
      </c>
      <c r="Q473">
        <v>755.89499999999998</v>
      </c>
    </row>
    <row r="474" spans="1:17" x14ac:dyDescent="0.25">
      <c r="A474" s="2">
        <v>42923</v>
      </c>
      <c r="B474" s="2">
        <v>42925</v>
      </c>
      <c r="C474" s="1" t="s">
        <v>17</v>
      </c>
      <c r="D474" s="1" t="s">
        <v>1055</v>
      </c>
      <c r="E474" s="1" t="s">
        <v>19</v>
      </c>
      <c r="F474" s="1" t="s">
        <v>20</v>
      </c>
      <c r="G474" s="1" t="s">
        <v>400</v>
      </c>
      <c r="H474" s="1" t="s">
        <v>127</v>
      </c>
      <c r="I474" s="1" t="s">
        <v>81</v>
      </c>
      <c r="J474" s="1" t="s">
        <v>32</v>
      </c>
      <c r="K474" s="1" t="s">
        <v>52</v>
      </c>
      <c r="L474" s="1" t="s">
        <v>87</v>
      </c>
      <c r="M474">
        <v>3</v>
      </c>
      <c r="N474">
        <v>0.2</v>
      </c>
      <c r="O474">
        <v>6.3335999999999997</v>
      </c>
      <c r="P474">
        <v>17.472000000000001</v>
      </c>
      <c r="Q474">
        <v>11.138400000000001</v>
      </c>
    </row>
    <row r="475" spans="1:17" x14ac:dyDescent="0.25">
      <c r="A475" s="2">
        <v>41997</v>
      </c>
      <c r="B475" s="2">
        <v>42002</v>
      </c>
      <c r="C475" s="1" t="s">
        <v>35</v>
      </c>
      <c r="D475" s="1" t="s">
        <v>163</v>
      </c>
      <c r="E475" s="1" t="s">
        <v>28</v>
      </c>
      <c r="F475" s="1" t="s">
        <v>20</v>
      </c>
      <c r="G475" s="1" t="s">
        <v>29</v>
      </c>
      <c r="H475" s="1" t="s">
        <v>30</v>
      </c>
      <c r="I475" s="1" t="s">
        <v>31</v>
      </c>
      <c r="J475" s="1" t="s">
        <v>32</v>
      </c>
      <c r="K475" s="1" t="s">
        <v>64</v>
      </c>
      <c r="L475" s="1" t="s">
        <v>514</v>
      </c>
      <c r="M475">
        <v>1</v>
      </c>
      <c r="N475">
        <v>0</v>
      </c>
      <c r="O475">
        <v>41.429400000000001</v>
      </c>
      <c r="P475">
        <v>142.86000000000001</v>
      </c>
      <c r="Q475">
        <v>101.43060000000001</v>
      </c>
    </row>
    <row r="476" spans="1:17" x14ac:dyDescent="0.25">
      <c r="A476" s="2">
        <v>43001</v>
      </c>
      <c r="B476" s="2">
        <v>43005</v>
      </c>
      <c r="C476" s="1" t="s">
        <v>35</v>
      </c>
      <c r="D476" s="1" t="s">
        <v>1056</v>
      </c>
      <c r="E476" s="1" t="s">
        <v>28</v>
      </c>
      <c r="F476" s="1" t="s">
        <v>20</v>
      </c>
      <c r="G476" s="1" t="s">
        <v>499</v>
      </c>
      <c r="H476" s="1" t="s">
        <v>198</v>
      </c>
      <c r="I476" s="1" t="s">
        <v>31</v>
      </c>
      <c r="J476" s="1" t="s">
        <v>24</v>
      </c>
      <c r="K476" s="1" t="s">
        <v>42</v>
      </c>
      <c r="L476" s="1" t="s">
        <v>1057</v>
      </c>
      <c r="M476">
        <v>3</v>
      </c>
      <c r="N476">
        <v>0.2</v>
      </c>
      <c r="O476">
        <v>3.6659999999999999</v>
      </c>
      <c r="P476">
        <v>29.327999999999999</v>
      </c>
      <c r="Q476">
        <v>25.661999999999999</v>
      </c>
    </row>
    <row r="477" spans="1:17" x14ac:dyDescent="0.25">
      <c r="A477" s="2">
        <v>42890</v>
      </c>
      <c r="B477" s="2">
        <v>42894</v>
      </c>
      <c r="C477" s="1" t="s">
        <v>35</v>
      </c>
      <c r="D477" s="1" t="s">
        <v>1058</v>
      </c>
      <c r="E477" s="1" t="s">
        <v>19</v>
      </c>
      <c r="F477" s="1" t="s">
        <v>20</v>
      </c>
      <c r="G477" s="1" t="s">
        <v>810</v>
      </c>
      <c r="H477" s="1" t="s">
        <v>159</v>
      </c>
      <c r="I477" s="1" t="s">
        <v>23</v>
      </c>
      <c r="J477" s="1" t="s">
        <v>32</v>
      </c>
      <c r="K477" s="1" t="s">
        <v>47</v>
      </c>
      <c r="L477" s="1" t="s">
        <v>1059</v>
      </c>
      <c r="M477">
        <v>2</v>
      </c>
      <c r="N477">
        <v>0</v>
      </c>
      <c r="O477">
        <v>5.6159999999999997</v>
      </c>
      <c r="P477">
        <v>12.48</v>
      </c>
      <c r="Q477">
        <v>6.8640000000000008</v>
      </c>
    </row>
    <row r="478" spans="1:17" x14ac:dyDescent="0.25">
      <c r="A478" s="2">
        <v>42516</v>
      </c>
      <c r="B478" s="2">
        <v>42516</v>
      </c>
      <c r="C478" s="1" t="s">
        <v>434</v>
      </c>
      <c r="D478" s="1" t="s">
        <v>965</v>
      </c>
      <c r="E478" s="1" t="s">
        <v>19</v>
      </c>
      <c r="F478" s="1" t="s">
        <v>20</v>
      </c>
      <c r="G478" s="1" t="s">
        <v>56</v>
      </c>
      <c r="H478" s="1" t="s">
        <v>57</v>
      </c>
      <c r="I478" s="1" t="s">
        <v>58</v>
      </c>
      <c r="J478" s="1" t="s">
        <v>32</v>
      </c>
      <c r="K478" s="1" t="s">
        <v>47</v>
      </c>
      <c r="L478" s="1" t="s">
        <v>1060</v>
      </c>
      <c r="M478">
        <v>2</v>
      </c>
      <c r="N478">
        <v>0.2</v>
      </c>
      <c r="O478">
        <v>3.6288</v>
      </c>
      <c r="P478">
        <v>10.368</v>
      </c>
      <c r="Q478">
        <v>6.7392000000000003</v>
      </c>
    </row>
    <row r="479" spans="1:17" x14ac:dyDescent="0.25">
      <c r="A479" s="2">
        <v>42492</v>
      </c>
      <c r="B479" s="2">
        <v>42497</v>
      </c>
      <c r="C479" s="1" t="s">
        <v>35</v>
      </c>
      <c r="D479" s="1" t="s">
        <v>1061</v>
      </c>
      <c r="E479" s="1" t="s">
        <v>19</v>
      </c>
      <c r="F479" s="1" t="s">
        <v>20</v>
      </c>
      <c r="G479" s="1" t="s">
        <v>91</v>
      </c>
      <c r="H479" s="1" t="s">
        <v>57</v>
      </c>
      <c r="I479" s="1" t="s">
        <v>58</v>
      </c>
      <c r="J479" s="1" t="s">
        <v>32</v>
      </c>
      <c r="K479" s="1" t="s">
        <v>72</v>
      </c>
      <c r="L479" s="1" t="s">
        <v>1062</v>
      </c>
      <c r="M479">
        <v>3</v>
      </c>
      <c r="N479">
        <v>0.2</v>
      </c>
      <c r="O479">
        <v>5.3970000000000002</v>
      </c>
      <c r="P479">
        <v>86.352000000000004</v>
      </c>
      <c r="Q479">
        <v>80.954999999999998</v>
      </c>
    </row>
    <row r="480" spans="1:17" x14ac:dyDescent="0.25">
      <c r="A480" s="2">
        <v>41890</v>
      </c>
      <c r="B480" s="2">
        <v>41893</v>
      </c>
      <c r="C480" s="1" t="s">
        <v>107</v>
      </c>
      <c r="D480" s="1" t="s">
        <v>884</v>
      </c>
      <c r="E480" s="1" t="s">
        <v>28</v>
      </c>
      <c r="F480" s="1" t="s">
        <v>20</v>
      </c>
      <c r="G480" s="1" t="s">
        <v>1063</v>
      </c>
      <c r="H480" s="1" t="s">
        <v>429</v>
      </c>
      <c r="I480" s="1" t="s">
        <v>23</v>
      </c>
      <c r="J480" s="1" t="s">
        <v>99</v>
      </c>
      <c r="K480" s="1" t="s">
        <v>111</v>
      </c>
      <c r="L480" s="1" t="s">
        <v>1064</v>
      </c>
      <c r="M480">
        <v>3</v>
      </c>
      <c r="N480">
        <v>0</v>
      </c>
      <c r="O480">
        <v>12.8583</v>
      </c>
      <c r="P480">
        <v>32.97</v>
      </c>
      <c r="Q480">
        <v>20.111699999999999</v>
      </c>
    </row>
    <row r="481" spans="1:17" x14ac:dyDescent="0.25">
      <c r="A481" s="2">
        <v>42618</v>
      </c>
      <c r="B481" s="2">
        <v>42619</v>
      </c>
      <c r="C481" s="1" t="s">
        <v>107</v>
      </c>
      <c r="D481" s="1" t="s">
        <v>806</v>
      </c>
      <c r="E481" s="1" t="s">
        <v>19</v>
      </c>
      <c r="F481" s="1" t="s">
        <v>20</v>
      </c>
      <c r="G481" s="1" t="s">
        <v>1065</v>
      </c>
      <c r="H481" s="1" t="s">
        <v>210</v>
      </c>
      <c r="I481" s="1" t="s">
        <v>58</v>
      </c>
      <c r="J481" s="1" t="s">
        <v>99</v>
      </c>
      <c r="K481" s="1" t="s">
        <v>100</v>
      </c>
      <c r="L481" s="1" t="s">
        <v>1066</v>
      </c>
      <c r="M481">
        <v>3</v>
      </c>
      <c r="N481">
        <v>0</v>
      </c>
      <c r="O481">
        <v>80.736000000000004</v>
      </c>
      <c r="P481">
        <v>278.39999999999998</v>
      </c>
      <c r="Q481">
        <v>197.66399999999999</v>
      </c>
    </row>
    <row r="482" spans="1:17" x14ac:dyDescent="0.25">
      <c r="A482" s="2">
        <v>42547</v>
      </c>
      <c r="B482" s="2">
        <v>42554</v>
      </c>
      <c r="C482" s="1" t="s">
        <v>35</v>
      </c>
      <c r="D482" s="1" t="s">
        <v>1067</v>
      </c>
      <c r="E482" s="1" t="s">
        <v>19</v>
      </c>
      <c r="F482" s="1" t="s">
        <v>20</v>
      </c>
      <c r="G482" s="1" t="s">
        <v>1068</v>
      </c>
      <c r="H482" s="1" t="s">
        <v>474</v>
      </c>
      <c r="I482" s="1" t="s">
        <v>81</v>
      </c>
      <c r="J482" s="1" t="s">
        <v>32</v>
      </c>
      <c r="K482" s="1" t="s">
        <v>64</v>
      </c>
      <c r="L482" s="1" t="s">
        <v>1069</v>
      </c>
      <c r="M482">
        <v>5</v>
      </c>
      <c r="N482">
        <v>0</v>
      </c>
      <c r="O482">
        <v>1.0429999999999999</v>
      </c>
      <c r="P482">
        <v>14.9</v>
      </c>
      <c r="Q482">
        <v>13.857000000000001</v>
      </c>
    </row>
    <row r="483" spans="1:17" x14ac:dyDescent="0.25">
      <c r="A483" s="2">
        <v>42189</v>
      </c>
      <c r="B483" s="2">
        <v>42193</v>
      </c>
      <c r="C483" s="1" t="s">
        <v>35</v>
      </c>
      <c r="D483" s="1" t="s">
        <v>221</v>
      </c>
      <c r="E483" s="1" t="s">
        <v>55</v>
      </c>
      <c r="F483" s="1" t="s">
        <v>20</v>
      </c>
      <c r="G483" s="1" t="s">
        <v>126</v>
      </c>
      <c r="H483" s="1" t="s">
        <v>127</v>
      </c>
      <c r="I483" s="1" t="s">
        <v>81</v>
      </c>
      <c r="J483" s="1" t="s">
        <v>32</v>
      </c>
      <c r="K483" s="1" t="s">
        <v>72</v>
      </c>
      <c r="L483" s="1" t="s">
        <v>1070</v>
      </c>
      <c r="M483">
        <v>3</v>
      </c>
      <c r="N483">
        <v>0</v>
      </c>
      <c r="O483">
        <v>4.4892000000000003</v>
      </c>
      <c r="P483">
        <v>15.48</v>
      </c>
      <c r="Q483">
        <v>10.9908</v>
      </c>
    </row>
    <row r="484" spans="1:17" x14ac:dyDescent="0.25">
      <c r="A484" s="2">
        <v>42696</v>
      </c>
      <c r="B484" s="2">
        <v>42700</v>
      </c>
      <c r="C484" s="1" t="s">
        <v>35</v>
      </c>
      <c r="D484" s="1" t="s">
        <v>1071</v>
      </c>
      <c r="E484" s="1" t="s">
        <v>28</v>
      </c>
      <c r="F484" s="1" t="s">
        <v>20</v>
      </c>
      <c r="G484" s="1" t="s">
        <v>126</v>
      </c>
      <c r="H484" s="1" t="s">
        <v>127</v>
      </c>
      <c r="I484" s="1" t="s">
        <v>81</v>
      </c>
      <c r="J484" s="1" t="s">
        <v>24</v>
      </c>
      <c r="K484" s="1" t="s">
        <v>42</v>
      </c>
      <c r="L484" s="1" t="s">
        <v>1072</v>
      </c>
      <c r="M484">
        <v>2</v>
      </c>
      <c r="N484">
        <v>0</v>
      </c>
      <c r="O484">
        <v>11.166399999999999</v>
      </c>
      <c r="P484">
        <v>39.880000000000003</v>
      </c>
      <c r="Q484">
        <v>28.713600000000003</v>
      </c>
    </row>
    <row r="485" spans="1:17" x14ac:dyDescent="0.25">
      <c r="A485" s="2">
        <v>42243</v>
      </c>
      <c r="B485" s="2">
        <v>42248</v>
      </c>
      <c r="C485" s="1" t="s">
        <v>35</v>
      </c>
      <c r="D485" s="1" t="s">
        <v>223</v>
      </c>
      <c r="E485" s="1" t="s">
        <v>19</v>
      </c>
      <c r="F485" s="1" t="s">
        <v>20</v>
      </c>
      <c r="G485" s="1" t="s">
        <v>345</v>
      </c>
      <c r="H485" s="1" t="s">
        <v>30</v>
      </c>
      <c r="I485" s="1" t="s">
        <v>31</v>
      </c>
      <c r="J485" s="1" t="s">
        <v>32</v>
      </c>
      <c r="K485" s="1" t="s">
        <v>476</v>
      </c>
      <c r="L485" s="1" t="s">
        <v>1073</v>
      </c>
      <c r="M485">
        <v>3</v>
      </c>
      <c r="N485">
        <v>0</v>
      </c>
      <c r="O485">
        <v>9.2232000000000003</v>
      </c>
      <c r="P485">
        <v>32.94</v>
      </c>
      <c r="Q485">
        <v>23.716799999999999</v>
      </c>
    </row>
    <row r="486" spans="1:17" x14ac:dyDescent="0.25">
      <c r="A486" s="2">
        <v>42149</v>
      </c>
      <c r="B486" s="2">
        <v>42153</v>
      </c>
      <c r="C486" s="1" t="s">
        <v>35</v>
      </c>
      <c r="D486" s="1" t="s">
        <v>1074</v>
      </c>
      <c r="E486" s="1" t="s">
        <v>19</v>
      </c>
      <c r="F486" s="1" t="s">
        <v>20</v>
      </c>
      <c r="G486" s="1" t="s">
        <v>1075</v>
      </c>
      <c r="H486" s="1" t="s">
        <v>198</v>
      </c>
      <c r="I486" s="1" t="s">
        <v>31</v>
      </c>
      <c r="J486" s="1" t="s">
        <v>32</v>
      </c>
      <c r="K486" s="1" t="s">
        <v>59</v>
      </c>
      <c r="L486" s="1" t="s">
        <v>1076</v>
      </c>
      <c r="M486">
        <v>13</v>
      </c>
      <c r="N486">
        <v>0.2</v>
      </c>
      <c r="O486">
        <v>84.572800000000001</v>
      </c>
      <c r="P486">
        <v>845.72799999999995</v>
      </c>
      <c r="Q486">
        <v>761.15519999999992</v>
      </c>
    </row>
    <row r="487" spans="1:17" x14ac:dyDescent="0.25">
      <c r="A487" s="2">
        <v>42712</v>
      </c>
      <c r="B487" s="2">
        <v>42716</v>
      </c>
      <c r="C487" s="1" t="s">
        <v>17</v>
      </c>
      <c r="D487" s="1" t="s">
        <v>1077</v>
      </c>
      <c r="E487" s="1" t="s">
        <v>28</v>
      </c>
      <c r="F487" s="1" t="s">
        <v>20</v>
      </c>
      <c r="G487" s="1" t="s">
        <v>190</v>
      </c>
      <c r="H487" s="1" t="s">
        <v>110</v>
      </c>
      <c r="I487" s="1" t="s">
        <v>58</v>
      </c>
      <c r="J487" s="1" t="s">
        <v>99</v>
      </c>
      <c r="K487" s="1" t="s">
        <v>100</v>
      </c>
      <c r="L487" s="1" t="s">
        <v>577</v>
      </c>
      <c r="M487">
        <v>5</v>
      </c>
      <c r="N487">
        <v>0</v>
      </c>
      <c r="O487">
        <v>2.2989999999999999</v>
      </c>
      <c r="P487">
        <v>114.95</v>
      </c>
      <c r="Q487">
        <v>112.651</v>
      </c>
    </row>
    <row r="488" spans="1:17" x14ac:dyDescent="0.25">
      <c r="A488" s="2">
        <v>42281</v>
      </c>
      <c r="B488" s="2">
        <v>42284</v>
      </c>
      <c r="C488" s="1" t="s">
        <v>107</v>
      </c>
      <c r="D488" s="1" t="s">
        <v>1009</v>
      </c>
      <c r="E488" s="1" t="s">
        <v>19</v>
      </c>
      <c r="F488" s="1" t="s">
        <v>20</v>
      </c>
      <c r="G488" s="1" t="s">
        <v>71</v>
      </c>
      <c r="H488" s="1" t="s">
        <v>30</v>
      </c>
      <c r="I488" s="1" t="s">
        <v>31</v>
      </c>
      <c r="J488" s="1" t="s">
        <v>32</v>
      </c>
      <c r="K488" s="1" t="s">
        <v>64</v>
      </c>
      <c r="L488" s="1" t="s">
        <v>1078</v>
      </c>
      <c r="M488">
        <v>2</v>
      </c>
      <c r="N488">
        <v>0</v>
      </c>
      <c r="O488">
        <v>7.0095999999999998</v>
      </c>
      <c r="P488">
        <v>26.96</v>
      </c>
      <c r="Q488">
        <v>19.950400000000002</v>
      </c>
    </row>
    <row r="489" spans="1:17" x14ac:dyDescent="0.25">
      <c r="A489" s="2">
        <v>42727</v>
      </c>
      <c r="B489" s="2">
        <v>42729</v>
      </c>
      <c r="C489" s="1" t="s">
        <v>17</v>
      </c>
      <c r="D489" s="1" t="s">
        <v>308</v>
      </c>
      <c r="E489" s="1" t="s">
        <v>19</v>
      </c>
      <c r="F489" s="1" t="s">
        <v>20</v>
      </c>
      <c r="G489" s="1" t="s">
        <v>143</v>
      </c>
      <c r="H489" s="1" t="s">
        <v>144</v>
      </c>
      <c r="I489" s="1" t="s">
        <v>23</v>
      </c>
      <c r="J489" s="1" t="s">
        <v>24</v>
      </c>
      <c r="K489" s="1" t="s">
        <v>42</v>
      </c>
      <c r="L489" s="1" t="s">
        <v>1079</v>
      </c>
      <c r="M489">
        <v>6</v>
      </c>
      <c r="N489">
        <v>0</v>
      </c>
      <c r="O489">
        <v>166.10040000000001</v>
      </c>
      <c r="P489">
        <v>572.76</v>
      </c>
      <c r="Q489">
        <v>406.65959999999995</v>
      </c>
    </row>
    <row r="490" spans="1:17" x14ac:dyDescent="0.25">
      <c r="A490" s="2">
        <v>42266</v>
      </c>
      <c r="B490" s="2">
        <v>42271</v>
      </c>
      <c r="C490" s="1" t="s">
        <v>17</v>
      </c>
      <c r="D490" s="1" t="s">
        <v>1080</v>
      </c>
      <c r="E490" s="1" t="s">
        <v>55</v>
      </c>
      <c r="F490" s="1" t="s">
        <v>20</v>
      </c>
      <c r="G490" s="1" t="s">
        <v>384</v>
      </c>
      <c r="H490" s="1" t="s">
        <v>144</v>
      </c>
      <c r="I490" s="1" t="s">
        <v>23</v>
      </c>
      <c r="J490" s="1" t="s">
        <v>24</v>
      </c>
      <c r="K490" s="1" t="s">
        <v>25</v>
      </c>
      <c r="L490" s="1" t="s">
        <v>1081</v>
      </c>
      <c r="M490">
        <v>2</v>
      </c>
      <c r="N490">
        <v>0</v>
      </c>
      <c r="O490">
        <v>4.3372000000000002</v>
      </c>
      <c r="P490">
        <v>61.96</v>
      </c>
      <c r="Q490">
        <v>57.622799999999998</v>
      </c>
    </row>
    <row r="491" spans="1:17" x14ac:dyDescent="0.25">
      <c r="A491" s="2">
        <v>42919</v>
      </c>
      <c r="B491" s="2">
        <v>42923</v>
      </c>
      <c r="C491" s="1" t="s">
        <v>35</v>
      </c>
      <c r="D491" s="1" t="s">
        <v>1082</v>
      </c>
      <c r="E491" s="1" t="s">
        <v>19</v>
      </c>
      <c r="F491" s="1" t="s">
        <v>20</v>
      </c>
      <c r="G491" s="1" t="s">
        <v>213</v>
      </c>
      <c r="H491" s="1" t="s">
        <v>429</v>
      </c>
      <c r="I491" s="1" t="s">
        <v>23</v>
      </c>
      <c r="J491" s="1" t="s">
        <v>24</v>
      </c>
      <c r="K491" s="1" t="s">
        <v>42</v>
      </c>
      <c r="L491" s="1" t="s">
        <v>1083</v>
      </c>
      <c r="M491">
        <v>1</v>
      </c>
      <c r="N491">
        <v>0</v>
      </c>
      <c r="O491">
        <v>5.5176999999999996</v>
      </c>
      <c r="P491">
        <v>23.99</v>
      </c>
      <c r="Q491">
        <v>18.472299999999997</v>
      </c>
    </row>
    <row r="492" spans="1:17" x14ac:dyDescent="0.25">
      <c r="A492" s="2">
        <v>42541</v>
      </c>
      <c r="B492" s="2">
        <v>42542</v>
      </c>
      <c r="C492" s="1" t="s">
        <v>107</v>
      </c>
      <c r="D492" s="1" t="s">
        <v>356</v>
      </c>
      <c r="E492" s="1" t="s">
        <v>19</v>
      </c>
      <c r="F492" s="1" t="s">
        <v>20</v>
      </c>
      <c r="G492" s="1" t="s">
        <v>238</v>
      </c>
      <c r="H492" s="1" t="s">
        <v>30</v>
      </c>
      <c r="I492" s="1" t="s">
        <v>31</v>
      </c>
      <c r="J492" s="1" t="s">
        <v>32</v>
      </c>
      <c r="K492" s="1" t="s">
        <v>47</v>
      </c>
      <c r="L492" s="1" t="s">
        <v>1084</v>
      </c>
      <c r="M492">
        <v>7</v>
      </c>
      <c r="N492">
        <v>0</v>
      </c>
      <c r="O492">
        <v>22.444800000000001</v>
      </c>
      <c r="P492">
        <v>46.76</v>
      </c>
      <c r="Q492">
        <v>24.315199999999997</v>
      </c>
    </row>
    <row r="493" spans="1:17" x14ac:dyDescent="0.25">
      <c r="A493" s="2">
        <v>42722</v>
      </c>
      <c r="B493" s="2">
        <v>42727</v>
      </c>
      <c r="C493" s="1" t="s">
        <v>35</v>
      </c>
      <c r="D493" s="1" t="s">
        <v>1085</v>
      </c>
      <c r="E493" s="1" t="s">
        <v>28</v>
      </c>
      <c r="F493" s="1" t="s">
        <v>20</v>
      </c>
      <c r="G493" s="1" t="s">
        <v>29</v>
      </c>
      <c r="H493" s="1" t="s">
        <v>30</v>
      </c>
      <c r="I493" s="1" t="s">
        <v>31</v>
      </c>
      <c r="J493" s="1" t="s">
        <v>32</v>
      </c>
      <c r="K493" s="1" t="s">
        <v>47</v>
      </c>
      <c r="L493" s="1" t="s">
        <v>1086</v>
      </c>
      <c r="M493">
        <v>6</v>
      </c>
      <c r="N493">
        <v>0</v>
      </c>
      <c r="O493">
        <v>18.662400000000002</v>
      </c>
      <c r="P493">
        <v>38.880000000000003</v>
      </c>
      <c r="Q493">
        <v>20.217600000000001</v>
      </c>
    </row>
    <row r="494" spans="1:17" x14ac:dyDescent="0.25">
      <c r="A494" s="2">
        <v>41821</v>
      </c>
      <c r="B494" s="2">
        <v>41825</v>
      </c>
      <c r="C494" s="1" t="s">
        <v>35</v>
      </c>
      <c r="D494" s="1" t="s">
        <v>1087</v>
      </c>
      <c r="E494" s="1" t="s">
        <v>28</v>
      </c>
      <c r="F494" s="1" t="s">
        <v>20</v>
      </c>
      <c r="G494" s="1" t="s">
        <v>1088</v>
      </c>
      <c r="H494" s="1" t="s">
        <v>38</v>
      </c>
      <c r="I494" s="1" t="s">
        <v>23</v>
      </c>
      <c r="J494" s="1" t="s">
        <v>99</v>
      </c>
      <c r="K494" s="1" t="s">
        <v>100</v>
      </c>
      <c r="L494" s="1" t="s">
        <v>1054</v>
      </c>
      <c r="M494">
        <v>2</v>
      </c>
      <c r="N494">
        <v>0.2</v>
      </c>
      <c r="O494">
        <v>71.989999999999995</v>
      </c>
      <c r="P494">
        <v>575.91999999999996</v>
      </c>
      <c r="Q494">
        <v>503.92999999999995</v>
      </c>
    </row>
    <row r="495" spans="1:17" x14ac:dyDescent="0.25">
      <c r="A495" s="2">
        <v>42769</v>
      </c>
      <c r="B495" s="2">
        <v>42774</v>
      </c>
      <c r="C495" s="1" t="s">
        <v>35</v>
      </c>
      <c r="D495" s="1" t="s">
        <v>1089</v>
      </c>
      <c r="E495" s="1" t="s">
        <v>19</v>
      </c>
      <c r="F495" s="1" t="s">
        <v>20</v>
      </c>
      <c r="G495" s="1" t="s">
        <v>364</v>
      </c>
      <c r="H495" s="1" t="s">
        <v>214</v>
      </c>
      <c r="I495" s="1" t="s">
        <v>81</v>
      </c>
      <c r="J495" s="1" t="s">
        <v>32</v>
      </c>
      <c r="K495" s="1" t="s">
        <v>52</v>
      </c>
      <c r="L495" s="1" t="s">
        <v>851</v>
      </c>
      <c r="M495">
        <v>3</v>
      </c>
      <c r="N495">
        <v>0.7</v>
      </c>
      <c r="O495">
        <v>-4.1832000000000003</v>
      </c>
      <c r="P495">
        <v>5.2290000000000001</v>
      </c>
      <c r="Q495">
        <v>9.4122000000000003</v>
      </c>
    </row>
    <row r="496" spans="1:17" x14ac:dyDescent="0.25">
      <c r="A496" s="2">
        <v>42797</v>
      </c>
      <c r="B496" s="2">
        <v>42802</v>
      </c>
      <c r="C496" s="1" t="s">
        <v>35</v>
      </c>
      <c r="D496" s="1" t="s">
        <v>1090</v>
      </c>
      <c r="E496" s="1" t="s">
        <v>19</v>
      </c>
      <c r="F496" s="1" t="s">
        <v>20</v>
      </c>
      <c r="G496" s="1" t="s">
        <v>1091</v>
      </c>
      <c r="H496" s="1" t="s">
        <v>22</v>
      </c>
      <c r="I496" s="1" t="s">
        <v>23</v>
      </c>
      <c r="J496" s="1" t="s">
        <v>32</v>
      </c>
      <c r="K496" s="1" t="s">
        <v>59</v>
      </c>
      <c r="L496" s="1" t="s">
        <v>1092</v>
      </c>
      <c r="M496">
        <v>5</v>
      </c>
      <c r="N496">
        <v>0</v>
      </c>
      <c r="O496">
        <v>19.655999999999999</v>
      </c>
      <c r="P496">
        <v>72.8</v>
      </c>
      <c r="Q496">
        <v>53.143999999999998</v>
      </c>
    </row>
    <row r="497" spans="1:17" x14ac:dyDescent="0.25">
      <c r="A497" s="2">
        <v>43017</v>
      </c>
      <c r="B497" s="2">
        <v>43018</v>
      </c>
      <c r="C497" s="1" t="s">
        <v>107</v>
      </c>
      <c r="D497" s="1" t="s">
        <v>1093</v>
      </c>
      <c r="E497" s="1" t="s">
        <v>19</v>
      </c>
      <c r="F497" s="1" t="s">
        <v>20</v>
      </c>
      <c r="G497" s="1" t="s">
        <v>483</v>
      </c>
      <c r="H497" s="1" t="s">
        <v>46</v>
      </c>
      <c r="I497" s="1" t="s">
        <v>23</v>
      </c>
      <c r="J497" s="1" t="s">
        <v>32</v>
      </c>
      <c r="K497" s="1" t="s">
        <v>47</v>
      </c>
      <c r="L497" s="1" t="s">
        <v>1094</v>
      </c>
      <c r="M497">
        <v>4</v>
      </c>
      <c r="N497">
        <v>0.2</v>
      </c>
      <c r="O497">
        <v>3.5152000000000001</v>
      </c>
      <c r="P497">
        <v>10.816000000000001</v>
      </c>
      <c r="Q497">
        <v>7.3008000000000006</v>
      </c>
    </row>
    <row r="498" spans="1:17" x14ac:dyDescent="0.25">
      <c r="A498" s="2">
        <v>41786</v>
      </c>
      <c r="B498" s="2">
        <v>41789</v>
      </c>
      <c r="C498" s="1" t="s">
        <v>107</v>
      </c>
      <c r="D498" s="1" t="s">
        <v>313</v>
      </c>
      <c r="E498" s="1" t="s">
        <v>19</v>
      </c>
      <c r="F498" s="1" t="s">
        <v>20</v>
      </c>
      <c r="G498" s="1" t="s">
        <v>136</v>
      </c>
      <c r="H498" s="1" t="s">
        <v>98</v>
      </c>
      <c r="I498" s="1" t="s">
        <v>58</v>
      </c>
      <c r="J498" s="1" t="s">
        <v>32</v>
      </c>
      <c r="K498" s="1" t="s">
        <v>52</v>
      </c>
      <c r="L498" s="1" t="s">
        <v>1095</v>
      </c>
      <c r="M498">
        <v>6</v>
      </c>
      <c r="N498">
        <v>0.8</v>
      </c>
      <c r="O498">
        <v>-30.555</v>
      </c>
      <c r="P498">
        <v>17.46</v>
      </c>
      <c r="Q498">
        <v>48.015000000000001</v>
      </c>
    </row>
    <row r="499" spans="1:17" x14ac:dyDescent="0.25">
      <c r="A499" s="2">
        <v>42169</v>
      </c>
      <c r="B499" s="2">
        <v>42173</v>
      </c>
      <c r="C499" s="1" t="s">
        <v>35</v>
      </c>
      <c r="D499" s="1" t="s">
        <v>221</v>
      </c>
      <c r="E499" s="1" t="s">
        <v>55</v>
      </c>
      <c r="F499" s="1" t="s">
        <v>20</v>
      </c>
      <c r="G499" s="1" t="s">
        <v>79</v>
      </c>
      <c r="H499" s="1" t="s">
        <v>80</v>
      </c>
      <c r="I499" s="1" t="s">
        <v>81</v>
      </c>
      <c r="J499" s="1" t="s">
        <v>24</v>
      </c>
      <c r="K499" s="1" t="s">
        <v>42</v>
      </c>
      <c r="L499" s="1" t="s">
        <v>1096</v>
      </c>
      <c r="M499">
        <v>6</v>
      </c>
      <c r="N499">
        <v>0.2</v>
      </c>
      <c r="O499">
        <v>5.1071999999999997</v>
      </c>
      <c r="P499">
        <v>51.072000000000003</v>
      </c>
      <c r="Q499">
        <v>45.964800000000004</v>
      </c>
    </row>
    <row r="500" spans="1:17" x14ac:dyDescent="0.25">
      <c r="A500" s="2">
        <v>42459</v>
      </c>
      <c r="B500" s="2">
        <v>42461</v>
      </c>
      <c r="C500" s="1" t="s">
        <v>107</v>
      </c>
      <c r="D500" s="1" t="s">
        <v>1097</v>
      </c>
      <c r="E500" s="1" t="s">
        <v>28</v>
      </c>
      <c r="F500" s="1" t="s">
        <v>20</v>
      </c>
      <c r="G500" s="1" t="s">
        <v>865</v>
      </c>
      <c r="H500" s="1" t="s">
        <v>284</v>
      </c>
      <c r="I500" s="1" t="s">
        <v>81</v>
      </c>
      <c r="J500" s="1" t="s">
        <v>32</v>
      </c>
      <c r="K500" s="1" t="s">
        <v>47</v>
      </c>
      <c r="L500" s="1" t="s">
        <v>1098</v>
      </c>
      <c r="M500">
        <v>1</v>
      </c>
      <c r="N500">
        <v>0</v>
      </c>
      <c r="O500">
        <v>5.5566000000000004</v>
      </c>
      <c r="P500">
        <v>11.34</v>
      </c>
      <c r="Q500">
        <v>5.7833999999999994</v>
      </c>
    </row>
    <row r="501" spans="1:17" x14ac:dyDescent="0.25">
      <c r="A501" s="2">
        <v>43023</v>
      </c>
      <c r="B501" s="2">
        <v>43026</v>
      </c>
      <c r="C501" s="1" t="s">
        <v>17</v>
      </c>
      <c r="D501" s="1" t="s">
        <v>1099</v>
      </c>
      <c r="E501" s="1" t="s">
        <v>55</v>
      </c>
      <c r="F501" s="1" t="s">
        <v>20</v>
      </c>
      <c r="G501" s="1" t="s">
        <v>71</v>
      </c>
      <c r="H501" s="1" t="s">
        <v>30</v>
      </c>
      <c r="I501" s="1" t="s">
        <v>31</v>
      </c>
      <c r="J501" s="1" t="s">
        <v>32</v>
      </c>
      <c r="K501" s="1" t="s">
        <v>72</v>
      </c>
      <c r="L501" s="1" t="s">
        <v>1100</v>
      </c>
      <c r="M501">
        <v>4</v>
      </c>
      <c r="N501">
        <v>0</v>
      </c>
      <c r="O501">
        <v>26.376000000000001</v>
      </c>
      <c r="P501">
        <v>87.92</v>
      </c>
      <c r="Q501">
        <v>61.543999999999997</v>
      </c>
    </row>
    <row r="502" spans="1:17" x14ac:dyDescent="0.25">
      <c r="A502" s="2">
        <v>42513</v>
      </c>
      <c r="B502" s="2">
        <v>42517</v>
      </c>
      <c r="C502" s="1" t="s">
        <v>35</v>
      </c>
      <c r="D502" s="1" t="s">
        <v>1101</v>
      </c>
      <c r="E502" s="1" t="s">
        <v>19</v>
      </c>
      <c r="F502" s="1" t="s">
        <v>20</v>
      </c>
      <c r="G502" s="1" t="s">
        <v>71</v>
      </c>
      <c r="H502" s="1" t="s">
        <v>30</v>
      </c>
      <c r="I502" s="1" t="s">
        <v>31</v>
      </c>
      <c r="J502" s="1" t="s">
        <v>24</v>
      </c>
      <c r="K502" s="1" t="s">
        <v>42</v>
      </c>
      <c r="L502" s="1" t="s">
        <v>1102</v>
      </c>
      <c r="M502">
        <v>3</v>
      </c>
      <c r="N502">
        <v>0</v>
      </c>
      <c r="O502">
        <v>16.302</v>
      </c>
      <c r="P502">
        <v>37.049999999999997</v>
      </c>
      <c r="Q502">
        <v>20.747999999999998</v>
      </c>
    </row>
    <row r="503" spans="1:17" x14ac:dyDescent="0.25">
      <c r="A503" s="2">
        <v>42888</v>
      </c>
      <c r="B503" s="2">
        <v>42892</v>
      </c>
      <c r="C503" s="1" t="s">
        <v>35</v>
      </c>
      <c r="D503" s="1" t="s">
        <v>1103</v>
      </c>
      <c r="E503" s="1" t="s">
        <v>55</v>
      </c>
      <c r="F503" s="1" t="s">
        <v>20</v>
      </c>
      <c r="G503" s="1" t="s">
        <v>821</v>
      </c>
      <c r="H503" s="1" t="s">
        <v>214</v>
      </c>
      <c r="I503" s="1" t="s">
        <v>81</v>
      </c>
      <c r="J503" s="1" t="s">
        <v>99</v>
      </c>
      <c r="K503" s="1" t="s">
        <v>100</v>
      </c>
      <c r="L503" s="1" t="s">
        <v>1104</v>
      </c>
      <c r="M503">
        <v>1</v>
      </c>
      <c r="N503">
        <v>0.4</v>
      </c>
      <c r="O503">
        <v>-0.64349999999999996</v>
      </c>
      <c r="P503">
        <v>2.97</v>
      </c>
      <c r="Q503">
        <v>3.6135000000000002</v>
      </c>
    </row>
    <row r="504" spans="1:17" x14ac:dyDescent="0.25">
      <c r="A504" s="2">
        <v>41686</v>
      </c>
      <c r="B504" s="2">
        <v>41691</v>
      </c>
      <c r="C504" s="1" t="s">
        <v>35</v>
      </c>
      <c r="D504" s="1" t="s">
        <v>1105</v>
      </c>
      <c r="E504" s="1" t="s">
        <v>19</v>
      </c>
      <c r="F504" s="1" t="s">
        <v>20</v>
      </c>
      <c r="G504" s="1" t="s">
        <v>309</v>
      </c>
      <c r="H504" s="1" t="s">
        <v>57</v>
      </c>
      <c r="I504" s="1" t="s">
        <v>58</v>
      </c>
      <c r="J504" s="1" t="s">
        <v>32</v>
      </c>
      <c r="K504" s="1" t="s">
        <v>52</v>
      </c>
      <c r="L504" s="1" t="s">
        <v>906</v>
      </c>
      <c r="M504">
        <v>3</v>
      </c>
      <c r="N504">
        <v>0.8</v>
      </c>
      <c r="O504">
        <v>-1.728</v>
      </c>
      <c r="P504">
        <v>1.08</v>
      </c>
      <c r="Q504">
        <v>2.8079999999999998</v>
      </c>
    </row>
    <row r="505" spans="1:17" x14ac:dyDescent="0.25">
      <c r="A505" s="2">
        <v>41765</v>
      </c>
      <c r="B505" s="2">
        <v>41769</v>
      </c>
      <c r="C505" s="1" t="s">
        <v>35</v>
      </c>
      <c r="D505" s="1" t="s">
        <v>54</v>
      </c>
      <c r="E505" s="1" t="s">
        <v>55</v>
      </c>
      <c r="F505" s="1" t="s">
        <v>20</v>
      </c>
      <c r="G505" s="1" t="s">
        <v>29</v>
      </c>
      <c r="H505" s="1" t="s">
        <v>30</v>
      </c>
      <c r="I505" s="1" t="s">
        <v>31</v>
      </c>
      <c r="J505" s="1" t="s">
        <v>32</v>
      </c>
      <c r="K505" s="1" t="s">
        <v>52</v>
      </c>
      <c r="L505" s="1" t="s">
        <v>1106</v>
      </c>
      <c r="M505">
        <v>8</v>
      </c>
      <c r="N505">
        <v>0.2</v>
      </c>
      <c r="O505">
        <v>52.776000000000003</v>
      </c>
      <c r="P505">
        <v>140.73599999999999</v>
      </c>
      <c r="Q505">
        <v>87.95999999999998</v>
      </c>
    </row>
    <row r="506" spans="1:17" x14ac:dyDescent="0.25">
      <c r="A506" s="2">
        <v>42825</v>
      </c>
      <c r="B506" s="2">
        <v>42827</v>
      </c>
      <c r="C506" s="1" t="s">
        <v>17</v>
      </c>
      <c r="D506" s="1" t="s">
        <v>1107</v>
      </c>
      <c r="E506" s="1" t="s">
        <v>19</v>
      </c>
      <c r="F506" s="1" t="s">
        <v>20</v>
      </c>
      <c r="G506" s="1" t="s">
        <v>126</v>
      </c>
      <c r="H506" s="1" t="s">
        <v>127</v>
      </c>
      <c r="I506" s="1" t="s">
        <v>81</v>
      </c>
      <c r="J506" s="1" t="s">
        <v>24</v>
      </c>
      <c r="K506" s="1" t="s">
        <v>42</v>
      </c>
      <c r="L506" s="1" t="s">
        <v>1108</v>
      </c>
      <c r="M506">
        <v>2</v>
      </c>
      <c r="N506">
        <v>0</v>
      </c>
      <c r="O506">
        <v>8.0405999999999995</v>
      </c>
      <c r="P506">
        <v>29.78</v>
      </c>
      <c r="Q506">
        <v>21.739400000000003</v>
      </c>
    </row>
    <row r="507" spans="1:17" x14ac:dyDescent="0.25">
      <c r="A507" s="2">
        <v>42737</v>
      </c>
      <c r="B507" s="2">
        <v>42739</v>
      </c>
      <c r="C507" s="1" t="s">
        <v>107</v>
      </c>
      <c r="D507" s="1" t="s">
        <v>1109</v>
      </c>
      <c r="E507" s="1" t="s">
        <v>28</v>
      </c>
      <c r="F507" s="1" t="s">
        <v>20</v>
      </c>
      <c r="G507" s="1" t="s">
        <v>516</v>
      </c>
      <c r="H507" s="1" t="s">
        <v>46</v>
      </c>
      <c r="I507" s="1" t="s">
        <v>23</v>
      </c>
      <c r="J507" s="1" t="s">
        <v>99</v>
      </c>
      <c r="K507" s="1" t="s">
        <v>354</v>
      </c>
      <c r="L507" s="1" t="s">
        <v>1110</v>
      </c>
      <c r="M507">
        <v>2</v>
      </c>
      <c r="N507">
        <v>0.5</v>
      </c>
      <c r="O507">
        <v>-27.827999999999999</v>
      </c>
      <c r="P507">
        <v>695.7</v>
      </c>
      <c r="Q507">
        <v>723.52800000000002</v>
      </c>
    </row>
    <row r="508" spans="1:17" x14ac:dyDescent="0.25">
      <c r="A508" s="2">
        <v>42152</v>
      </c>
      <c r="B508" s="2">
        <v>42156</v>
      </c>
      <c r="C508" s="1" t="s">
        <v>35</v>
      </c>
      <c r="D508" s="1" t="s">
        <v>178</v>
      </c>
      <c r="E508" s="1" t="s">
        <v>19</v>
      </c>
      <c r="F508" s="1" t="s">
        <v>20</v>
      </c>
      <c r="G508" s="1" t="s">
        <v>1111</v>
      </c>
      <c r="H508" s="1" t="s">
        <v>127</v>
      </c>
      <c r="I508" s="1" t="s">
        <v>81</v>
      </c>
      <c r="J508" s="1" t="s">
        <v>32</v>
      </c>
      <c r="K508" s="1" t="s">
        <v>72</v>
      </c>
      <c r="L508" s="1" t="s">
        <v>1112</v>
      </c>
      <c r="M508">
        <v>3</v>
      </c>
      <c r="N508">
        <v>0</v>
      </c>
      <c r="O508">
        <v>14.346</v>
      </c>
      <c r="P508">
        <v>47.82</v>
      </c>
      <c r="Q508">
        <v>33.474000000000004</v>
      </c>
    </row>
    <row r="509" spans="1:17" x14ac:dyDescent="0.25">
      <c r="A509" s="2">
        <v>41715</v>
      </c>
      <c r="B509" s="2">
        <v>41722</v>
      </c>
      <c r="C509" s="1" t="s">
        <v>35</v>
      </c>
      <c r="D509" s="1" t="s">
        <v>569</v>
      </c>
      <c r="E509" s="1" t="s">
        <v>19</v>
      </c>
      <c r="F509" s="1" t="s">
        <v>20</v>
      </c>
      <c r="G509" s="1" t="s">
        <v>341</v>
      </c>
      <c r="H509" s="1" t="s">
        <v>110</v>
      </c>
      <c r="I509" s="1" t="s">
        <v>58</v>
      </c>
      <c r="J509" s="1" t="s">
        <v>32</v>
      </c>
      <c r="K509" s="1" t="s">
        <v>59</v>
      </c>
      <c r="L509" s="1" t="s">
        <v>728</v>
      </c>
      <c r="M509">
        <v>2</v>
      </c>
      <c r="N509">
        <v>0</v>
      </c>
      <c r="O509">
        <v>36.574199999999998</v>
      </c>
      <c r="P509">
        <v>93.78</v>
      </c>
      <c r="Q509">
        <v>57.205800000000004</v>
      </c>
    </row>
    <row r="510" spans="1:17" x14ac:dyDescent="0.25">
      <c r="A510" s="2">
        <v>41915</v>
      </c>
      <c r="B510" s="2">
        <v>41920</v>
      </c>
      <c r="C510" s="1" t="s">
        <v>17</v>
      </c>
      <c r="D510" s="1" t="s">
        <v>1113</v>
      </c>
      <c r="E510" s="1" t="s">
        <v>19</v>
      </c>
      <c r="F510" s="1" t="s">
        <v>20</v>
      </c>
      <c r="G510" s="1" t="s">
        <v>752</v>
      </c>
      <c r="H510" s="1" t="s">
        <v>98</v>
      </c>
      <c r="I510" s="1" t="s">
        <v>58</v>
      </c>
      <c r="J510" s="1" t="s">
        <v>24</v>
      </c>
      <c r="K510" s="1" t="s">
        <v>82</v>
      </c>
      <c r="L510" s="1" t="s">
        <v>1114</v>
      </c>
      <c r="M510">
        <v>3</v>
      </c>
      <c r="N510">
        <v>0.3</v>
      </c>
      <c r="O510">
        <v>-70.104299999999995</v>
      </c>
      <c r="P510">
        <v>258.279</v>
      </c>
      <c r="Q510">
        <v>328.38329999999996</v>
      </c>
    </row>
    <row r="511" spans="1:17" x14ac:dyDescent="0.25">
      <c r="A511" s="2">
        <v>42457</v>
      </c>
      <c r="B511" s="2">
        <v>42460</v>
      </c>
      <c r="C511" s="1" t="s">
        <v>107</v>
      </c>
      <c r="D511" s="1" t="s">
        <v>1109</v>
      </c>
      <c r="E511" s="1" t="s">
        <v>28</v>
      </c>
      <c r="F511" s="1" t="s">
        <v>20</v>
      </c>
      <c r="G511" s="1" t="s">
        <v>384</v>
      </c>
      <c r="H511" s="1" t="s">
        <v>144</v>
      </c>
      <c r="I511" s="1" t="s">
        <v>23</v>
      </c>
      <c r="J511" s="1" t="s">
        <v>32</v>
      </c>
      <c r="K511" s="1" t="s">
        <v>64</v>
      </c>
      <c r="L511" s="1" t="s">
        <v>1115</v>
      </c>
      <c r="M511">
        <v>2</v>
      </c>
      <c r="N511">
        <v>0</v>
      </c>
      <c r="O511">
        <v>7.85</v>
      </c>
      <c r="P511">
        <v>31.4</v>
      </c>
      <c r="Q511">
        <v>23.549999999999997</v>
      </c>
    </row>
    <row r="512" spans="1:17" x14ac:dyDescent="0.25">
      <c r="A512" s="2">
        <v>42859</v>
      </c>
      <c r="B512" s="2">
        <v>42864</v>
      </c>
      <c r="C512" s="1" t="s">
        <v>35</v>
      </c>
      <c r="D512" s="1" t="s">
        <v>896</v>
      </c>
      <c r="E512" s="1" t="s">
        <v>28</v>
      </c>
      <c r="F512" s="1" t="s">
        <v>20</v>
      </c>
      <c r="G512" s="1" t="s">
        <v>71</v>
      </c>
      <c r="H512" s="1" t="s">
        <v>30</v>
      </c>
      <c r="I512" s="1" t="s">
        <v>31</v>
      </c>
      <c r="J512" s="1" t="s">
        <v>99</v>
      </c>
      <c r="K512" s="1" t="s">
        <v>100</v>
      </c>
      <c r="L512" s="1" t="s">
        <v>1116</v>
      </c>
      <c r="M512">
        <v>5</v>
      </c>
      <c r="N512">
        <v>0.2</v>
      </c>
      <c r="O512">
        <v>20.695499999999999</v>
      </c>
      <c r="P512">
        <v>183.96</v>
      </c>
      <c r="Q512">
        <v>163.2645</v>
      </c>
    </row>
    <row r="513" spans="1:17" x14ac:dyDescent="0.25">
      <c r="A513" s="2">
        <v>41908</v>
      </c>
      <c r="B513" s="2">
        <v>41913</v>
      </c>
      <c r="C513" s="1" t="s">
        <v>17</v>
      </c>
      <c r="D513" s="1" t="s">
        <v>1117</v>
      </c>
      <c r="E513" s="1" t="s">
        <v>19</v>
      </c>
      <c r="F513" s="1" t="s">
        <v>20</v>
      </c>
      <c r="G513" s="1" t="s">
        <v>29</v>
      </c>
      <c r="H513" s="1" t="s">
        <v>30</v>
      </c>
      <c r="I513" s="1" t="s">
        <v>31</v>
      </c>
      <c r="J513" s="1" t="s">
        <v>24</v>
      </c>
      <c r="K513" s="1" t="s">
        <v>82</v>
      </c>
      <c r="L513" s="1" t="s">
        <v>1118</v>
      </c>
      <c r="M513">
        <v>2</v>
      </c>
      <c r="N513">
        <v>0.2</v>
      </c>
      <c r="O513">
        <v>0</v>
      </c>
      <c r="P513">
        <v>145.56800000000001</v>
      </c>
      <c r="Q513">
        <v>145.56800000000001</v>
      </c>
    </row>
    <row r="514" spans="1:17" x14ac:dyDescent="0.25">
      <c r="A514" s="2">
        <v>43027</v>
      </c>
      <c r="B514" s="2">
        <v>43033</v>
      </c>
      <c r="C514" s="1" t="s">
        <v>35</v>
      </c>
      <c r="D514" s="1" t="s">
        <v>1119</v>
      </c>
      <c r="E514" s="1" t="s">
        <v>28</v>
      </c>
      <c r="F514" s="1" t="s">
        <v>20</v>
      </c>
      <c r="G514" s="1" t="s">
        <v>79</v>
      </c>
      <c r="H514" s="1" t="s">
        <v>80</v>
      </c>
      <c r="I514" s="1" t="s">
        <v>81</v>
      </c>
      <c r="J514" s="1" t="s">
        <v>32</v>
      </c>
      <c r="K514" s="1" t="s">
        <v>72</v>
      </c>
      <c r="L514" s="1" t="s">
        <v>812</v>
      </c>
      <c r="M514">
        <v>7</v>
      </c>
      <c r="N514">
        <v>0.2</v>
      </c>
      <c r="O514">
        <v>9.2441999999999993</v>
      </c>
      <c r="P514">
        <v>123.256</v>
      </c>
      <c r="Q514">
        <v>114.01179999999999</v>
      </c>
    </row>
    <row r="515" spans="1:17" x14ac:dyDescent="0.25">
      <c r="A515" s="2">
        <v>42924</v>
      </c>
      <c r="B515" s="2">
        <v>42927</v>
      </c>
      <c r="C515" s="1" t="s">
        <v>107</v>
      </c>
      <c r="D515" s="1" t="s">
        <v>1120</v>
      </c>
      <c r="E515" s="1" t="s">
        <v>55</v>
      </c>
      <c r="F515" s="1" t="s">
        <v>20</v>
      </c>
      <c r="G515" s="1" t="s">
        <v>1121</v>
      </c>
      <c r="H515" s="1" t="s">
        <v>30</v>
      </c>
      <c r="I515" s="1" t="s">
        <v>31</v>
      </c>
      <c r="J515" s="1" t="s">
        <v>24</v>
      </c>
      <c r="K515" s="1" t="s">
        <v>42</v>
      </c>
      <c r="L515" s="1" t="s">
        <v>391</v>
      </c>
      <c r="M515">
        <v>5</v>
      </c>
      <c r="N515">
        <v>0</v>
      </c>
      <c r="O515">
        <v>62.737000000000002</v>
      </c>
      <c r="P515">
        <v>145.9</v>
      </c>
      <c r="Q515">
        <v>83.163000000000011</v>
      </c>
    </row>
    <row r="516" spans="1:17" x14ac:dyDescent="0.25">
      <c r="A516" s="2">
        <v>42362</v>
      </c>
      <c r="B516" s="2">
        <v>42366</v>
      </c>
      <c r="C516" s="1" t="s">
        <v>35</v>
      </c>
      <c r="D516" s="1" t="s">
        <v>1122</v>
      </c>
      <c r="E516" s="1" t="s">
        <v>19</v>
      </c>
      <c r="F516" s="1" t="s">
        <v>20</v>
      </c>
      <c r="G516" s="1" t="s">
        <v>1123</v>
      </c>
      <c r="H516" s="1" t="s">
        <v>198</v>
      </c>
      <c r="I516" s="1" t="s">
        <v>31</v>
      </c>
      <c r="J516" s="1" t="s">
        <v>24</v>
      </c>
      <c r="K516" s="1" t="s">
        <v>25</v>
      </c>
      <c r="L516" s="1" t="s">
        <v>289</v>
      </c>
      <c r="M516">
        <v>7</v>
      </c>
      <c r="N516">
        <v>0.7</v>
      </c>
      <c r="O516">
        <v>-786.74400000000003</v>
      </c>
      <c r="P516">
        <v>590.05799999999999</v>
      </c>
      <c r="Q516">
        <v>1376.8020000000001</v>
      </c>
    </row>
    <row r="517" spans="1:17" x14ac:dyDescent="0.25">
      <c r="A517" s="2">
        <v>42801</v>
      </c>
      <c r="B517" s="2">
        <v>42806</v>
      </c>
      <c r="C517" s="1" t="s">
        <v>35</v>
      </c>
      <c r="D517" s="1" t="s">
        <v>1124</v>
      </c>
      <c r="E517" s="1" t="s">
        <v>55</v>
      </c>
      <c r="F517" s="1" t="s">
        <v>20</v>
      </c>
      <c r="G517" s="1" t="s">
        <v>1125</v>
      </c>
      <c r="H517" s="1" t="s">
        <v>1024</v>
      </c>
      <c r="I517" s="1" t="s">
        <v>81</v>
      </c>
      <c r="J517" s="1" t="s">
        <v>99</v>
      </c>
      <c r="K517" s="1" t="s">
        <v>111</v>
      </c>
      <c r="L517" s="1" t="s">
        <v>1126</v>
      </c>
      <c r="M517">
        <v>3</v>
      </c>
      <c r="N517">
        <v>0</v>
      </c>
      <c r="O517">
        <v>4.9080000000000004</v>
      </c>
      <c r="P517">
        <v>49.08</v>
      </c>
      <c r="Q517">
        <v>44.171999999999997</v>
      </c>
    </row>
    <row r="518" spans="1:17" x14ac:dyDescent="0.25">
      <c r="A518" s="2">
        <v>41730</v>
      </c>
      <c r="B518" s="2">
        <v>41735</v>
      </c>
      <c r="C518" s="1" t="s">
        <v>17</v>
      </c>
      <c r="D518" s="1" t="s">
        <v>133</v>
      </c>
      <c r="E518" s="1" t="s">
        <v>19</v>
      </c>
      <c r="F518" s="1" t="s">
        <v>20</v>
      </c>
      <c r="G518" s="1" t="s">
        <v>671</v>
      </c>
      <c r="H518" s="1" t="s">
        <v>30</v>
      </c>
      <c r="I518" s="1" t="s">
        <v>31</v>
      </c>
      <c r="J518" s="1" t="s">
        <v>32</v>
      </c>
      <c r="K518" s="1" t="s">
        <v>33</v>
      </c>
      <c r="L518" s="1" t="s">
        <v>1127</v>
      </c>
      <c r="M518">
        <v>2</v>
      </c>
      <c r="N518">
        <v>0</v>
      </c>
      <c r="O518">
        <v>14.8</v>
      </c>
      <c r="P518">
        <v>29.6</v>
      </c>
      <c r="Q518">
        <v>14.8</v>
      </c>
    </row>
    <row r="519" spans="1:17" x14ac:dyDescent="0.25">
      <c r="A519" s="2">
        <v>42405</v>
      </c>
      <c r="B519" s="2">
        <v>42405</v>
      </c>
      <c r="C519" s="1" t="s">
        <v>434</v>
      </c>
      <c r="D519" s="1" t="s">
        <v>1128</v>
      </c>
      <c r="E519" s="1" t="s">
        <v>55</v>
      </c>
      <c r="F519" s="1" t="s">
        <v>20</v>
      </c>
      <c r="G519" s="1" t="s">
        <v>1129</v>
      </c>
      <c r="H519" s="1" t="s">
        <v>429</v>
      </c>
      <c r="I519" s="1" t="s">
        <v>23</v>
      </c>
      <c r="J519" s="1" t="s">
        <v>32</v>
      </c>
      <c r="K519" s="1" t="s">
        <v>64</v>
      </c>
      <c r="L519" s="1" t="s">
        <v>1130</v>
      </c>
      <c r="M519">
        <v>1</v>
      </c>
      <c r="N519">
        <v>0</v>
      </c>
      <c r="O519">
        <v>1.6195999999999999</v>
      </c>
      <c r="P519">
        <v>80.98</v>
      </c>
      <c r="Q519">
        <v>79.360399999999998</v>
      </c>
    </row>
    <row r="520" spans="1:17" x14ac:dyDescent="0.25">
      <c r="A520" s="2">
        <v>43017</v>
      </c>
      <c r="B520" s="2">
        <v>43022</v>
      </c>
      <c r="C520" s="1" t="s">
        <v>35</v>
      </c>
      <c r="D520" s="1" t="s">
        <v>823</v>
      </c>
      <c r="E520" s="1" t="s">
        <v>28</v>
      </c>
      <c r="F520" s="1" t="s">
        <v>20</v>
      </c>
      <c r="G520" s="1" t="s">
        <v>197</v>
      </c>
      <c r="H520" s="1" t="s">
        <v>98</v>
      </c>
      <c r="I520" s="1" t="s">
        <v>58</v>
      </c>
      <c r="J520" s="1" t="s">
        <v>24</v>
      </c>
      <c r="K520" s="1" t="s">
        <v>39</v>
      </c>
      <c r="L520" s="1" t="s">
        <v>1131</v>
      </c>
      <c r="M520">
        <v>5</v>
      </c>
      <c r="N520">
        <v>0.5</v>
      </c>
      <c r="O520">
        <v>-430.61700000000002</v>
      </c>
      <c r="P520">
        <v>652.45000000000005</v>
      </c>
      <c r="Q520">
        <v>1083.067</v>
      </c>
    </row>
    <row r="521" spans="1:17" x14ac:dyDescent="0.25">
      <c r="A521" s="2">
        <v>42675</v>
      </c>
      <c r="B521" s="2">
        <v>42679</v>
      </c>
      <c r="C521" s="1" t="s">
        <v>35</v>
      </c>
      <c r="D521" s="1" t="s">
        <v>1132</v>
      </c>
      <c r="E521" s="1" t="s">
        <v>55</v>
      </c>
      <c r="F521" s="1" t="s">
        <v>20</v>
      </c>
      <c r="G521" s="1" t="s">
        <v>639</v>
      </c>
      <c r="H521" s="1" t="s">
        <v>144</v>
      </c>
      <c r="I521" s="1" t="s">
        <v>23</v>
      </c>
      <c r="J521" s="1" t="s">
        <v>99</v>
      </c>
      <c r="K521" s="1" t="s">
        <v>100</v>
      </c>
      <c r="L521" s="1" t="s">
        <v>1133</v>
      </c>
      <c r="M521">
        <v>2</v>
      </c>
      <c r="N521">
        <v>0</v>
      </c>
      <c r="O521">
        <v>6.1040000000000001</v>
      </c>
      <c r="P521">
        <v>21.8</v>
      </c>
      <c r="Q521">
        <v>15.696000000000002</v>
      </c>
    </row>
    <row r="522" spans="1:17" x14ac:dyDescent="0.25">
      <c r="A522" s="2">
        <v>42479</v>
      </c>
      <c r="B522" s="2">
        <v>42485</v>
      </c>
      <c r="C522" s="1" t="s">
        <v>35</v>
      </c>
      <c r="D522" s="1" t="s">
        <v>174</v>
      </c>
      <c r="E522" s="1" t="s">
        <v>55</v>
      </c>
      <c r="F522" s="1" t="s">
        <v>20</v>
      </c>
      <c r="G522" s="1" t="s">
        <v>213</v>
      </c>
      <c r="H522" s="1" t="s">
        <v>214</v>
      </c>
      <c r="I522" s="1" t="s">
        <v>81</v>
      </c>
      <c r="J522" s="1" t="s">
        <v>24</v>
      </c>
      <c r="K522" s="1" t="s">
        <v>39</v>
      </c>
      <c r="L522" s="1" t="s">
        <v>1134</v>
      </c>
      <c r="M522">
        <v>2</v>
      </c>
      <c r="N522">
        <v>0.4</v>
      </c>
      <c r="O522">
        <v>-58.133200000000002</v>
      </c>
      <c r="P522">
        <v>205.17599999999999</v>
      </c>
      <c r="Q522">
        <v>263.30919999999998</v>
      </c>
    </row>
    <row r="523" spans="1:17" x14ac:dyDescent="0.25">
      <c r="A523" s="2">
        <v>41735</v>
      </c>
      <c r="B523" s="2">
        <v>41737</v>
      </c>
      <c r="C523" s="1" t="s">
        <v>107</v>
      </c>
      <c r="D523" s="1" t="s">
        <v>506</v>
      </c>
      <c r="E523" s="1" t="s">
        <v>55</v>
      </c>
      <c r="F523" s="1" t="s">
        <v>20</v>
      </c>
      <c r="G523" s="1" t="s">
        <v>79</v>
      </c>
      <c r="H523" s="1" t="s">
        <v>80</v>
      </c>
      <c r="I523" s="1" t="s">
        <v>81</v>
      </c>
      <c r="J523" s="1" t="s">
        <v>32</v>
      </c>
      <c r="K523" s="1" t="s">
        <v>476</v>
      </c>
      <c r="L523" s="1" t="s">
        <v>633</v>
      </c>
      <c r="M523">
        <v>1</v>
      </c>
      <c r="N523">
        <v>0.2</v>
      </c>
      <c r="O523">
        <v>-2.1896</v>
      </c>
      <c r="P523">
        <v>10.304</v>
      </c>
      <c r="Q523">
        <v>12.493600000000001</v>
      </c>
    </row>
    <row r="524" spans="1:17" x14ac:dyDescent="0.25">
      <c r="A524" s="2">
        <v>42560</v>
      </c>
      <c r="B524" s="2">
        <v>42564</v>
      </c>
      <c r="C524" s="1" t="s">
        <v>35</v>
      </c>
      <c r="D524" s="1" t="s">
        <v>231</v>
      </c>
      <c r="E524" s="1" t="s">
        <v>28</v>
      </c>
      <c r="F524" s="1" t="s">
        <v>20</v>
      </c>
      <c r="G524" s="1" t="s">
        <v>126</v>
      </c>
      <c r="H524" s="1" t="s">
        <v>127</v>
      </c>
      <c r="I524" s="1" t="s">
        <v>81</v>
      </c>
      <c r="J524" s="1" t="s">
        <v>24</v>
      </c>
      <c r="K524" s="1" t="s">
        <v>82</v>
      </c>
      <c r="L524" s="1" t="s">
        <v>773</v>
      </c>
      <c r="M524">
        <v>2</v>
      </c>
      <c r="N524">
        <v>0.1</v>
      </c>
      <c r="O524">
        <v>72.534400000000005</v>
      </c>
      <c r="P524">
        <v>408.00599999999997</v>
      </c>
      <c r="Q524">
        <v>335.47159999999997</v>
      </c>
    </row>
    <row r="525" spans="1:17" x14ac:dyDescent="0.25">
      <c r="A525" s="2">
        <v>42763</v>
      </c>
      <c r="B525" s="2">
        <v>42766</v>
      </c>
      <c r="C525" s="1" t="s">
        <v>17</v>
      </c>
      <c r="D525" s="1" t="s">
        <v>1135</v>
      </c>
      <c r="E525" s="1" t="s">
        <v>55</v>
      </c>
      <c r="F525" s="1" t="s">
        <v>20</v>
      </c>
      <c r="G525" s="1" t="s">
        <v>557</v>
      </c>
      <c r="H525" s="1" t="s">
        <v>30</v>
      </c>
      <c r="I525" s="1" t="s">
        <v>31</v>
      </c>
      <c r="J525" s="1" t="s">
        <v>99</v>
      </c>
      <c r="K525" s="1" t="s">
        <v>111</v>
      </c>
      <c r="L525" s="1" t="s">
        <v>1136</v>
      </c>
      <c r="M525">
        <v>3</v>
      </c>
      <c r="N525">
        <v>0</v>
      </c>
      <c r="O525">
        <v>26.396699999999999</v>
      </c>
      <c r="P525">
        <v>239.97</v>
      </c>
      <c r="Q525">
        <v>213.57329999999999</v>
      </c>
    </row>
    <row r="526" spans="1:17" x14ac:dyDescent="0.25">
      <c r="A526" s="2">
        <v>43065</v>
      </c>
      <c r="B526" s="2">
        <v>43069</v>
      </c>
      <c r="C526" s="1" t="s">
        <v>35</v>
      </c>
      <c r="D526" s="1" t="s">
        <v>779</v>
      </c>
      <c r="E526" s="1" t="s">
        <v>19</v>
      </c>
      <c r="F526" s="1" t="s">
        <v>20</v>
      </c>
      <c r="G526" s="1" t="s">
        <v>213</v>
      </c>
      <c r="H526" s="1" t="s">
        <v>214</v>
      </c>
      <c r="I526" s="1" t="s">
        <v>81</v>
      </c>
      <c r="J526" s="1" t="s">
        <v>99</v>
      </c>
      <c r="K526" s="1" t="s">
        <v>100</v>
      </c>
      <c r="L526" s="1" t="s">
        <v>1116</v>
      </c>
      <c r="M526">
        <v>8</v>
      </c>
      <c r="N526">
        <v>0.4</v>
      </c>
      <c r="O526">
        <v>-40.471200000000003</v>
      </c>
      <c r="P526">
        <v>220.75200000000001</v>
      </c>
      <c r="Q526">
        <v>261.22320000000002</v>
      </c>
    </row>
    <row r="527" spans="1:17" x14ac:dyDescent="0.25">
      <c r="A527" s="2">
        <v>42730</v>
      </c>
      <c r="B527" s="2">
        <v>42734</v>
      </c>
      <c r="C527" s="1" t="s">
        <v>35</v>
      </c>
      <c r="D527" s="1" t="s">
        <v>621</v>
      </c>
      <c r="E527" s="1" t="s">
        <v>19</v>
      </c>
      <c r="F527" s="1" t="s">
        <v>20</v>
      </c>
      <c r="G527" s="1" t="s">
        <v>50</v>
      </c>
      <c r="H527" s="1" t="s">
        <v>51</v>
      </c>
      <c r="I527" s="1" t="s">
        <v>31</v>
      </c>
      <c r="J527" s="1" t="s">
        <v>32</v>
      </c>
      <c r="K527" s="1" t="s">
        <v>47</v>
      </c>
      <c r="L527" s="1" t="s">
        <v>1137</v>
      </c>
      <c r="M527">
        <v>5</v>
      </c>
      <c r="N527">
        <v>0</v>
      </c>
      <c r="O527">
        <v>15.593999999999999</v>
      </c>
      <c r="P527">
        <v>33.9</v>
      </c>
      <c r="Q527">
        <v>18.305999999999997</v>
      </c>
    </row>
    <row r="528" spans="1:17" x14ac:dyDescent="0.25">
      <c r="A528" s="2">
        <v>42292</v>
      </c>
      <c r="B528" s="2">
        <v>42292</v>
      </c>
      <c r="C528" s="1" t="s">
        <v>434</v>
      </c>
      <c r="D528" s="1" t="s">
        <v>150</v>
      </c>
      <c r="E528" s="1" t="s">
        <v>19</v>
      </c>
      <c r="F528" s="1" t="s">
        <v>20</v>
      </c>
      <c r="G528" s="1" t="s">
        <v>536</v>
      </c>
      <c r="H528" s="1" t="s">
        <v>57</v>
      </c>
      <c r="I528" s="1" t="s">
        <v>58</v>
      </c>
      <c r="J528" s="1" t="s">
        <v>99</v>
      </c>
      <c r="K528" s="1" t="s">
        <v>111</v>
      </c>
      <c r="L528" s="1" t="s">
        <v>1138</v>
      </c>
      <c r="M528">
        <v>3</v>
      </c>
      <c r="N528">
        <v>0.2</v>
      </c>
      <c r="O528">
        <v>42.880499999999998</v>
      </c>
      <c r="P528">
        <v>263.88</v>
      </c>
      <c r="Q528">
        <v>220.99950000000001</v>
      </c>
    </row>
    <row r="529" spans="1:17" x14ac:dyDescent="0.25">
      <c r="A529" s="2">
        <v>42952</v>
      </c>
      <c r="B529" s="2">
        <v>42955</v>
      </c>
      <c r="C529" s="1" t="s">
        <v>107</v>
      </c>
      <c r="D529" s="1" t="s">
        <v>1139</v>
      </c>
      <c r="E529" s="1" t="s">
        <v>28</v>
      </c>
      <c r="F529" s="1" t="s">
        <v>20</v>
      </c>
      <c r="G529" s="1" t="s">
        <v>496</v>
      </c>
      <c r="H529" s="1" t="s">
        <v>22</v>
      </c>
      <c r="I529" s="1" t="s">
        <v>23</v>
      </c>
      <c r="J529" s="1" t="s">
        <v>32</v>
      </c>
      <c r="K529" s="1" t="s">
        <v>47</v>
      </c>
      <c r="L529" s="1" t="s">
        <v>1140</v>
      </c>
      <c r="M529">
        <v>2</v>
      </c>
      <c r="N529">
        <v>0</v>
      </c>
      <c r="O529">
        <v>6.3296000000000001</v>
      </c>
      <c r="P529">
        <v>13.76</v>
      </c>
      <c r="Q529">
        <v>7.4303999999999997</v>
      </c>
    </row>
    <row r="530" spans="1:17" x14ac:dyDescent="0.25">
      <c r="A530" s="2">
        <v>42513</v>
      </c>
      <c r="B530" s="2">
        <v>42518</v>
      </c>
      <c r="C530" s="1" t="s">
        <v>35</v>
      </c>
      <c r="D530" s="1" t="s">
        <v>338</v>
      </c>
      <c r="E530" s="1" t="s">
        <v>19</v>
      </c>
      <c r="F530" s="1" t="s">
        <v>20</v>
      </c>
      <c r="G530" s="1" t="s">
        <v>136</v>
      </c>
      <c r="H530" s="1" t="s">
        <v>98</v>
      </c>
      <c r="I530" s="1" t="s">
        <v>58</v>
      </c>
      <c r="J530" s="1" t="s">
        <v>99</v>
      </c>
      <c r="K530" s="1" t="s">
        <v>100</v>
      </c>
      <c r="L530" s="1" t="s">
        <v>1141</v>
      </c>
      <c r="M530">
        <v>9</v>
      </c>
      <c r="N530">
        <v>0.2</v>
      </c>
      <c r="O530">
        <v>148.49459999999999</v>
      </c>
      <c r="P530">
        <v>1979.9280000000001</v>
      </c>
      <c r="Q530">
        <v>1831.4334000000001</v>
      </c>
    </row>
    <row r="531" spans="1:17" x14ac:dyDescent="0.25">
      <c r="A531" s="2">
        <v>42899</v>
      </c>
      <c r="B531" s="2">
        <v>42902</v>
      </c>
      <c r="C531" s="1" t="s">
        <v>107</v>
      </c>
      <c r="D531" s="1" t="s">
        <v>506</v>
      </c>
      <c r="E531" s="1" t="s">
        <v>55</v>
      </c>
      <c r="F531" s="1" t="s">
        <v>20</v>
      </c>
      <c r="G531" s="1" t="s">
        <v>136</v>
      </c>
      <c r="H531" s="1" t="s">
        <v>98</v>
      </c>
      <c r="I531" s="1" t="s">
        <v>58</v>
      </c>
      <c r="J531" s="1" t="s">
        <v>32</v>
      </c>
      <c r="K531" s="1" t="s">
        <v>64</v>
      </c>
      <c r="L531" s="1" t="s">
        <v>1142</v>
      </c>
      <c r="M531">
        <v>4</v>
      </c>
      <c r="N531">
        <v>0.2</v>
      </c>
      <c r="O531">
        <v>-39.1248</v>
      </c>
      <c r="P531">
        <v>164.73599999999999</v>
      </c>
      <c r="Q531">
        <v>203.86079999999998</v>
      </c>
    </row>
    <row r="532" spans="1:17" x14ac:dyDescent="0.25">
      <c r="A532" s="2">
        <v>41752</v>
      </c>
      <c r="B532" s="2">
        <v>41753</v>
      </c>
      <c r="C532" s="1" t="s">
        <v>107</v>
      </c>
      <c r="D532" s="1" t="s">
        <v>957</v>
      </c>
      <c r="E532" s="1" t="s">
        <v>28</v>
      </c>
      <c r="F532" s="1" t="s">
        <v>20</v>
      </c>
      <c r="G532" s="1" t="s">
        <v>79</v>
      </c>
      <c r="H532" s="1" t="s">
        <v>80</v>
      </c>
      <c r="I532" s="1" t="s">
        <v>81</v>
      </c>
      <c r="J532" s="1" t="s">
        <v>32</v>
      </c>
      <c r="K532" s="1" t="s">
        <v>52</v>
      </c>
      <c r="L532" s="1" t="s">
        <v>1143</v>
      </c>
      <c r="M532">
        <v>3</v>
      </c>
      <c r="N532">
        <v>0.7</v>
      </c>
      <c r="O532">
        <v>-1.7514000000000001</v>
      </c>
      <c r="P532">
        <v>2.5019999999999998</v>
      </c>
      <c r="Q532">
        <v>4.2534000000000001</v>
      </c>
    </row>
    <row r="533" spans="1:17" x14ac:dyDescent="0.25">
      <c r="A533" s="2">
        <v>42125</v>
      </c>
      <c r="B533" s="2">
        <v>42131</v>
      </c>
      <c r="C533" s="1" t="s">
        <v>35</v>
      </c>
      <c r="D533" s="1" t="s">
        <v>269</v>
      </c>
      <c r="E533" s="1" t="s">
        <v>28</v>
      </c>
      <c r="F533" s="1" t="s">
        <v>20</v>
      </c>
      <c r="G533" s="1" t="s">
        <v>29</v>
      </c>
      <c r="H533" s="1" t="s">
        <v>30</v>
      </c>
      <c r="I533" s="1" t="s">
        <v>31</v>
      </c>
      <c r="J533" s="1" t="s">
        <v>99</v>
      </c>
      <c r="K533" s="1" t="s">
        <v>100</v>
      </c>
      <c r="L533" s="1" t="s">
        <v>1144</v>
      </c>
      <c r="M533">
        <v>3</v>
      </c>
      <c r="N533">
        <v>0.2</v>
      </c>
      <c r="O533">
        <v>11.093999999999999</v>
      </c>
      <c r="P533">
        <v>88.751999999999995</v>
      </c>
      <c r="Q533">
        <v>77.658000000000001</v>
      </c>
    </row>
    <row r="534" spans="1:17" x14ac:dyDescent="0.25">
      <c r="A534" s="2">
        <v>42204</v>
      </c>
      <c r="B534" s="2">
        <v>42205</v>
      </c>
      <c r="C534" s="1" t="s">
        <v>107</v>
      </c>
      <c r="D534" s="1" t="s">
        <v>1145</v>
      </c>
      <c r="E534" s="1" t="s">
        <v>19</v>
      </c>
      <c r="F534" s="1" t="s">
        <v>20</v>
      </c>
      <c r="G534" s="1" t="s">
        <v>894</v>
      </c>
      <c r="H534" s="1" t="s">
        <v>140</v>
      </c>
      <c r="I534" s="1" t="s">
        <v>31</v>
      </c>
      <c r="J534" s="1" t="s">
        <v>32</v>
      </c>
      <c r="K534" s="1" t="s">
        <v>52</v>
      </c>
      <c r="L534" s="1" t="s">
        <v>1146</v>
      </c>
      <c r="M534">
        <v>1</v>
      </c>
      <c r="N534">
        <v>0.7</v>
      </c>
      <c r="O534">
        <v>-1.35</v>
      </c>
      <c r="P534">
        <v>2.0249999999999999</v>
      </c>
      <c r="Q534">
        <v>3.375</v>
      </c>
    </row>
    <row r="535" spans="1:17" x14ac:dyDescent="0.25">
      <c r="A535" s="2">
        <v>42700</v>
      </c>
      <c r="B535" s="2">
        <v>42703</v>
      </c>
      <c r="C535" s="1" t="s">
        <v>107</v>
      </c>
      <c r="D535" s="1" t="s">
        <v>1147</v>
      </c>
      <c r="E535" s="1" t="s">
        <v>28</v>
      </c>
      <c r="F535" s="1" t="s">
        <v>20</v>
      </c>
      <c r="G535" s="1" t="s">
        <v>1148</v>
      </c>
      <c r="H535" s="1" t="s">
        <v>159</v>
      </c>
      <c r="I535" s="1" t="s">
        <v>23</v>
      </c>
      <c r="J535" s="1" t="s">
        <v>32</v>
      </c>
      <c r="K535" s="1" t="s">
        <v>47</v>
      </c>
      <c r="L535" s="1" t="s">
        <v>92</v>
      </c>
      <c r="M535">
        <v>7</v>
      </c>
      <c r="N535">
        <v>0</v>
      </c>
      <c r="O535">
        <v>34.780200000000001</v>
      </c>
      <c r="P535">
        <v>70.98</v>
      </c>
      <c r="Q535">
        <v>36.199800000000003</v>
      </c>
    </row>
    <row r="536" spans="1:17" x14ac:dyDescent="0.25">
      <c r="A536" s="2">
        <v>42233</v>
      </c>
      <c r="B536" s="2">
        <v>42237</v>
      </c>
      <c r="C536" s="1" t="s">
        <v>35</v>
      </c>
      <c r="D536" s="1" t="s">
        <v>1149</v>
      </c>
      <c r="E536" s="1" t="s">
        <v>28</v>
      </c>
      <c r="F536" s="1" t="s">
        <v>20</v>
      </c>
      <c r="G536" s="1" t="s">
        <v>1150</v>
      </c>
      <c r="H536" s="1" t="s">
        <v>423</v>
      </c>
      <c r="I536" s="1" t="s">
        <v>81</v>
      </c>
      <c r="J536" s="1" t="s">
        <v>32</v>
      </c>
      <c r="K536" s="1" t="s">
        <v>52</v>
      </c>
      <c r="L536" s="1" t="s">
        <v>437</v>
      </c>
      <c r="M536">
        <v>9</v>
      </c>
      <c r="N536">
        <v>0</v>
      </c>
      <c r="O536">
        <v>23.49</v>
      </c>
      <c r="P536">
        <v>52.2</v>
      </c>
      <c r="Q536">
        <v>28.710000000000004</v>
      </c>
    </row>
    <row r="537" spans="1:17" x14ac:dyDescent="0.25">
      <c r="A537" s="2">
        <v>42440</v>
      </c>
      <c r="B537" s="2">
        <v>42444</v>
      </c>
      <c r="C537" s="1" t="s">
        <v>35</v>
      </c>
      <c r="D537" s="1" t="s">
        <v>1151</v>
      </c>
      <c r="E537" s="1" t="s">
        <v>19</v>
      </c>
      <c r="F537" s="1" t="s">
        <v>20</v>
      </c>
      <c r="G537" s="1" t="s">
        <v>1152</v>
      </c>
      <c r="H537" s="1" t="s">
        <v>298</v>
      </c>
      <c r="I537" s="1" t="s">
        <v>81</v>
      </c>
      <c r="J537" s="1" t="s">
        <v>24</v>
      </c>
      <c r="K537" s="1" t="s">
        <v>39</v>
      </c>
      <c r="L537" s="1" t="s">
        <v>972</v>
      </c>
      <c r="M537">
        <v>2</v>
      </c>
      <c r="N537">
        <v>0.3</v>
      </c>
      <c r="O537">
        <v>-31.372199999999999</v>
      </c>
      <c r="P537">
        <v>244.006</v>
      </c>
      <c r="Q537">
        <v>275.37819999999999</v>
      </c>
    </row>
    <row r="538" spans="1:17" x14ac:dyDescent="0.25">
      <c r="A538" s="2">
        <v>41859</v>
      </c>
      <c r="B538" s="2">
        <v>41865</v>
      </c>
      <c r="C538" s="1" t="s">
        <v>35</v>
      </c>
      <c r="D538" s="1" t="s">
        <v>302</v>
      </c>
      <c r="E538" s="1" t="s">
        <v>19</v>
      </c>
      <c r="F538" s="1" t="s">
        <v>20</v>
      </c>
      <c r="G538" s="1" t="s">
        <v>1153</v>
      </c>
      <c r="H538" s="1" t="s">
        <v>140</v>
      </c>
      <c r="I538" s="1" t="s">
        <v>31</v>
      </c>
      <c r="J538" s="1" t="s">
        <v>24</v>
      </c>
      <c r="K538" s="1" t="s">
        <v>42</v>
      </c>
      <c r="L538" s="1" t="s">
        <v>1154</v>
      </c>
      <c r="M538">
        <v>4</v>
      </c>
      <c r="N538">
        <v>0.2</v>
      </c>
      <c r="O538">
        <v>-3.0344000000000002</v>
      </c>
      <c r="P538">
        <v>121.376</v>
      </c>
      <c r="Q538">
        <v>124.41040000000001</v>
      </c>
    </row>
    <row r="539" spans="1:17" x14ac:dyDescent="0.25">
      <c r="A539" s="2">
        <v>42140</v>
      </c>
      <c r="B539" s="2">
        <v>42140</v>
      </c>
      <c r="C539" s="1" t="s">
        <v>434</v>
      </c>
      <c r="D539" s="1" t="s">
        <v>721</v>
      </c>
      <c r="E539" s="1" t="s">
        <v>55</v>
      </c>
      <c r="F539" s="1" t="s">
        <v>20</v>
      </c>
      <c r="G539" s="1" t="s">
        <v>516</v>
      </c>
      <c r="H539" s="1" t="s">
        <v>38</v>
      </c>
      <c r="I539" s="1" t="s">
        <v>23</v>
      </c>
      <c r="J539" s="1" t="s">
        <v>99</v>
      </c>
      <c r="K539" s="1" t="s">
        <v>111</v>
      </c>
      <c r="L539" s="1" t="s">
        <v>807</v>
      </c>
      <c r="M539">
        <v>4</v>
      </c>
      <c r="N539">
        <v>0.2</v>
      </c>
      <c r="O539">
        <v>31.995999999999999</v>
      </c>
      <c r="P539">
        <v>255.96799999999999</v>
      </c>
      <c r="Q539">
        <v>223.97199999999998</v>
      </c>
    </row>
    <row r="540" spans="1:17" x14ac:dyDescent="0.25">
      <c r="A540" s="2">
        <v>42271</v>
      </c>
      <c r="B540" s="2">
        <v>42274</v>
      </c>
      <c r="C540" s="1" t="s">
        <v>17</v>
      </c>
      <c r="D540" s="1" t="s">
        <v>108</v>
      </c>
      <c r="E540" s="1" t="s">
        <v>28</v>
      </c>
      <c r="F540" s="1" t="s">
        <v>20</v>
      </c>
      <c r="G540" s="1" t="s">
        <v>79</v>
      </c>
      <c r="H540" s="1" t="s">
        <v>80</v>
      </c>
      <c r="I540" s="1" t="s">
        <v>81</v>
      </c>
      <c r="J540" s="1" t="s">
        <v>32</v>
      </c>
      <c r="K540" s="1" t="s">
        <v>72</v>
      </c>
      <c r="L540" s="1" t="s">
        <v>1155</v>
      </c>
      <c r="M540">
        <v>2</v>
      </c>
      <c r="N540">
        <v>0.2</v>
      </c>
      <c r="O540">
        <v>0.59919999999999995</v>
      </c>
      <c r="P540">
        <v>6.8479999999999999</v>
      </c>
      <c r="Q540">
        <v>6.2488000000000001</v>
      </c>
    </row>
    <row r="541" spans="1:17" x14ac:dyDescent="0.25">
      <c r="A541" s="2">
        <v>42693</v>
      </c>
      <c r="B541" s="2">
        <v>42699</v>
      </c>
      <c r="C541" s="1" t="s">
        <v>35</v>
      </c>
      <c r="D541" s="1" t="s">
        <v>1156</v>
      </c>
      <c r="E541" s="1" t="s">
        <v>55</v>
      </c>
      <c r="F541" s="1" t="s">
        <v>20</v>
      </c>
      <c r="G541" s="1" t="s">
        <v>1157</v>
      </c>
      <c r="H541" s="1" t="s">
        <v>127</v>
      </c>
      <c r="I541" s="1" t="s">
        <v>81</v>
      </c>
      <c r="J541" s="1" t="s">
        <v>32</v>
      </c>
      <c r="K541" s="1" t="s">
        <v>72</v>
      </c>
      <c r="L541" s="1" t="s">
        <v>1158</v>
      </c>
      <c r="M541">
        <v>6</v>
      </c>
      <c r="N541">
        <v>0</v>
      </c>
      <c r="O541">
        <v>5.0111999999999997</v>
      </c>
      <c r="P541">
        <v>17.28</v>
      </c>
      <c r="Q541">
        <v>12.268800000000002</v>
      </c>
    </row>
    <row r="542" spans="1:17" x14ac:dyDescent="0.25">
      <c r="A542" s="2">
        <v>42813</v>
      </c>
      <c r="B542" s="2">
        <v>42818</v>
      </c>
      <c r="C542" s="1" t="s">
        <v>35</v>
      </c>
      <c r="D542" s="1" t="s">
        <v>878</v>
      </c>
      <c r="E542" s="1" t="s">
        <v>55</v>
      </c>
      <c r="F542" s="1" t="s">
        <v>20</v>
      </c>
      <c r="G542" s="1" t="s">
        <v>126</v>
      </c>
      <c r="H542" s="1" t="s">
        <v>127</v>
      </c>
      <c r="I542" s="1" t="s">
        <v>81</v>
      </c>
      <c r="J542" s="1" t="s">
        <v>32</v>
      </c>
      <c r="K542" s="1" t="s">
        <v>33</v>
      </c>
      <c r="L542" s="1" t="s">
        <v>1159</v>
      </c>
      <c r="M542">
        <v>7</v>
      </c>
      <c r="N542">
        <v>0</v>
      </c>
      <c r="O542">
        <v>13.2986</v>
      </c>
      <c r="P542">
        <v>28.91</v>
      </c>
      <c r="Q542">
        <v>15.6114</v>
      </c>
    </row>
    <row r="543" spans="1:17" x14ac:dyDescent="0.25">
      <c r="A543" s="2">
        <v>43058</v>
      </c>
      <c r="B543" s="2">
        <v>43059</v>
      </c>
      <c r="C543" s="1" t="s">
        <v>107</v>
      </c>
      <c r="D543" s="1" t="s">
        <v>187</v>
      </c>
      <c r="E543" s="1" t="s">
        <v>19</v>
      </c>
      <c r="F543" s="1" t="s">
        <v>20</v>
      </c>
      <c r="G543" s="1" t="s">
        <v>1160</v>
      </c>
      <c r="H543" s="1" t="s">
        <v>30</v>
      </c>
      <c r="I543" s="1" t="s">
        <v>31</v>
      </c>
      <c r="J543" s="1" t="s">
        <v>99</v>
      </c>
      <c r="K543" s="1" t="s">
        <v>100</v>
      </c>
      <c r="L543" s="1" t="s">
        <v>552</v>
      </c>
      <c r="M543">
        <v>4</v>
      </c>
      <c r="N543">
        <v>0.2</v>
      </c>
      <c r="O543">
        <v>2.3976000000000002</v>
      </c>
      <c r="P543">
        <v>31.968</v>
      </c>
      <c r="Q543">
        <v>29.570399999999999</v>
      </c>
    </row>
    <row r="544" spans="1:17" x14ac:dyDescent="0.25">
      <c r="A544" s="2">
        <v>42706</v>
      </c>
      <c r="B544" s="2">
        <v>42712</v>
      </c>
      <c r="C544" s="1" t="s">
        <v>35</v>
      </c>
      <c r="D544" s="1" t="s">
        <v>515</v>
      </c>
      <c r="E544" s="1" t="s">
        <v>19</v>
      </c>
      <c r="F544" s="1" t="s">
        <v>20</v>
      </c>
      <c r="G544" s="1" t="s">
        <v>71</v>
      </c>
      <c r="H544" s="1" t="s">
        <v>30</v>
      </c>
      <c r="I544" s="1" t="s">
        <v>31</v>
      </c>
      <c r="J544" s="1" t="s">
        <v>32</v>
      </c>
      <c r="K544" s="1" t="s">
        <v>47</v>
      </c>
      <c r="L544" s="1" t="s">
        <v>1161</v>
      </c>
      <c r="M544">
        <v>4</v>
      </c>
      <c r="N544">
        <v>0</v>
      </c>
      <c r="O544">
        <v>12.441599999999999</v>
      </c>
      <c r="P544">
        <v>25.92</v>
      </c>
      <c r="Q544">
        <v>13.478400000000002</v>
      </c>
    </row>
    <row r="545" spans="1:17" x14ac:dyDescent="0.25">
      <c r="A545" s="2">
        <v>42657</v>
      </c>
      <c r="B545" s="2">
        <v>42661</v>
      </c>
      <c r="C545" s="1" t="s">
        <v>35</v>
      </c>
      <c r="D545" s="1" t="s">
        <v>763</v>
      </c>
      <c r="E545" s="1" t="s">
        <v>28</v>
      </c>
      <c r="F545" s="1" t="s">
        <v>20</v>
      </c>
      <c r="G545" s="1" t="s">
        <v>50</v>
      </c>
      <c r="H545" s="1" t="s">
        <v>51</v>
      </c>
      <c r="I545" s="1" t="s">
        <v>31</v>
      </c>
      <c r="J545" s="1" t="s">
        <v>99</v>
      </c>
      <c r="K545" s="1" t="s">
        <v>111</v>
      </c>
      <c r="L545" s="1" t="s">
        <v>1162</v>
      </c>
      <c r="M545">
        <v>3</v>
      </c>
      <c r="N545">
        <v>0</v>
      </c>
      <c r="O545">
        <v>30.09</v>
      </c>
      <c r="P545">
        <v>177</v>
      </c>
      <c r="Q545">
        <v>146.91</v>
      </c>
    </row>
    <row r="546" spans="1:17" x14ac:dyDescent="0.25">
      <c r="A546" s="2">
        <v>41970</v>
      </c>
      <c r="B546" s="2">
        <v>41976</v>
      </c>
      <c r="C546" s="1" t="s">
        <v>35</v>
      </c>
      <c r="D546" s="1" t="s">
        <v>1163</v>
      </c>
      <c r="E546" s="1" t="s">
        <v>19</v>
      </c>
      <c r="F546" s="1" t="s">
        <v>20</v>
      </c>
      <c r="G546" s="1" t="s">
        <v>126</v>
      </c>
      <c r="H546" s="1" t="s">
        <v>127</v>
      </c>
      <c r="I546" s="1" t="s">
        <v>81</v>
      </c>
      <c r="J546" s="1" t="s">
        <v>32</v>
      </c>
      <c r="K546" s="1" t="s">
        <v>128</v>
      </c>
      <c r="L546" s="1" t="s">
        <v>580</v>
      </c>
      <c r="M546">
        <v>2</v>
      </c>
      <c r="N546">
        <v>0</v>
      </c>
      <c r="O546">
        <v>1.3160000000000001</v>
      </c>
      <c r="P546">
        <v>3.76</v>
      </c>
      <c r="Q546">
        <v>2.444</v>
      </c>
    </row>
    <row r="547" spans="1:17" x14ac:dyDescent="0.25">
      <c r="A547" s="2">
        <v>42311</v>
      </c>
      <c r="B547" s="2">
        <v>42315</v>
      </c>
      <c r="C547" s="1" t="s">
        <v>35</v>
      </c>
      <c r="D547" s="1" t="s">
        <v>1164</v>
      </c>
      <c r="E547" s="1" t="s">
        <v>55</v>
      </c>
      <c r="F547" s="1" t="s">
        <v>20</v>
      </c>
      <c r="G547" s="1" t="s">
        <v>29</v>
      </c>
      <c r="H547" s="1" t="s">
        <v>30</v>
      </c>
      <c r="I547" s="1" t="s">
        <v>31</v>
      </c>
      <c r="J547" s="1" t="s">
        <v>99</v>
      </c>
      <c r="K547" s="1" t="s">
        <v>100</v>
      </c>
      <c r="L547" s="1" t="s">
        <v>1165</v>
      </c>
      <c r="M547">
        <v>7</v>
      </c>
      <c r="N547">
        <v>0.2</v>
      </c>
      <c r="O547">
        <v>106.1242</v>
      </c>
      <c r="P547">
        <v>1212.848</v>
      </c>
      <c r="Q547">
        <v>1106.7238</v>
      </c>
    </row>
    <row r="548" spans="1:17" x14ac:dyDescent="0.25">
      <c r="A548" s="2">
        <v>41972</v>
      </c>
      <c r="B548" s="2">
        <v>41979</v>
      </c>
      <c r="C548" s="1" t="s">
        <v>35</v>
      </c>
      <c r="D548" s="1" t="s">
        <v>1166</v>
      </c>
      <c r="E548" s="1" t="s">
        <v>19</v>
      </c>
      <c r="F548" s="1" t="s">
        <v>20</v>
      </c>
      <c r="G548" s="1" t="s">
        <v>79</v>
      </c>
      <c r="H548" s="1" t="s">
        <v>80</v>
      </c>
      <c r="I548" s="1" t="s">
        <v>81</v>
      </c>
      <c r="J548" s="1" t="s">
        <v>32</v>
      </c>
      <c r="K548" s="1" t="s">
        <v>33</v>
      </c>
      <c r="L548" s="1" t="s">
        <v>1167</v>
      </c>
      <c r="M548">
        <v>2</v>
      </c>
      <c r="N548">
        <v>0.2</v>
      </c>
      <c r="O548">
        <v>1.764</v>
      </c>
      <c r="P548">
        <v>5.04</v>
      </c>
      <c r="Q548">
        <v>3.2759999999999998</v>
      </c>
    </row>
    <row r="549" spans="1:17" x14ac:dyDescent="0.25">
      <c r="A549" s="2">
        <v>42855</v>
      </c>
      <c r="B549" s="2">
        <v>42860</v>
      </c>
      <c r="C549" s="1" t="s">
        <v>17</v>
      </c>
      <c r="D549" s="1" t="s">
        <v>988</v>
      </c>
      <c r="E549" s="1" t="s">
        <v>28</v>
      </c>
      <c r="F549" s="1" t="s">
        <v>20</v>
      </c>
      <c r="G549" s="1" t="s">
        <v>126</v>
      </c>
      <c r="H549" s="1" t="s">
        <v>127</v>
      </c>
      <c r="I549" s="1" t="s">
        <v>81</v>
      </c>
      <c r="J549" s="1" t="s">
        <v>32</v>
      </c>
      <c r="K549" s="1" t="s">
        <v>94</v>
      </c>
      <c r="L549" s="1" t="s">
        <v>95</v>
      </c>
      <c r="M549">
        <v>4</v>
      </c>
      <c r="N549">
        <v>0</v>
      </c>
      <c r="O549">
        <v>28.332000000000001</v>
      </c>
      <c r="P549">
        <v>62.96</v>
      </c>
      <c r="Q549">
        <v>34.628</v>
      </c>
    </row>
    <row r="550" spans="1:17" x14ac:dyDescent="0.25">
      <c r="A550" s="2">
        <v>43038</v>
      </c>
      <c r="B550" s="2">
        <v>43042</v>
      </c>
      <c r="C550" s="1" t="s">
        <v>35</v>
      </c>
      <c r="D550" s="1" t="s">
        <v>1168</v>
      </c>
      <c r="E550" s="1" t="s">
        <v>28</v>
      </c>
      <c r="F550" s="1" t="s">
        <v>20</v>
      </c>
      <c r="G550" s="1" t="s">
        <v>688</v>
      </c>
      <c r="H550" s="1" t="s">
        <v>51</v>
      </c>
      <c r="I550" s="1" t="s">
        <v>31</v>
      </c>
      <c r="J550" s="1" t="s">
        <v>24</v>
      </c>
      <c r="K550" s="1" t="s">
        <v>42</v>
      </c>
      <c r="L550" s="1" t="s">
        <v>1169</v>
      </c>
      <c r="M550">
        <v>2</v>
      </c>
      <c r="N550">
        <v>0</v>
      </c>
      <c r="O550">
        <v>3.6631999999999998</v>
      </c>
      <c r="P550">
        <v>9.64</v>
      </c>
      <c r="Q550">
        <v>5.9768000000000008</v>
      </c>
    </row>
    <row r="551" spans="1:17" x14ac:dyDescent="0.25">
      <c r="A551" s="2">
        <v>41990</v>
      </c>
      <c r="B551" s="2">
        <v>41992</v>
      </c>
      <c r="C551" s="1" t="s">
        <v>17</v>
      </c>
      <c r="D551" s="1" t="s">
        <v>485</v>
      </c>
      <c r="E551" s="1" t="s">
        <v>19</v>
      </c>
      <c r="F551" s="1" t="s">
        <v>20</v>
      </c>
      <c r="G551" s="1" t="s">
        <v>213</v>
      </c>
      <c r="H551" s="1" t="s">
        <v>429</v>
      </c>
      <c r="I551" s="1" t="s">
        <v>23</v>
      </c>
      <c r="J551" s="1" t="s">
        <v>32</v>
      </c>
      <c r="K551" s="1" t="s">
        <v>72</v>
      </c>
      <c r="L551" s="1" t="s">
        <v>977</v>
      </c>
      <c r="M551">
        <v>3</v>
      </c>
      <c r="N551">
        <v>0</v>
      </c>
      <c r="O551">
        <v>11.214</v>
      </c>
      <c r="P551">
        <v>40.049999999999997</v>
      </c>
      <c r="Q551">
        <v>28.835999999999999</v>
      </c>
    </row>
    <row r="552" spans="1:17" x14ac:dyDescent="0.25">
      <c r="A552" s="2">
        <v>42660</v>
      </c>
      <c r="B552" s="2">
        <v>42663</v>
      </c>
      <c r="C552" s="1" t="s">
        <v>107</v>
      </c>
      <c r="D552" s="1" t="s">
        <v>251</v>
      </c>
      <c r="E552" s="1" t="s">
        <v>55</v>
      </c>
      <c r="F552" s="1" t="s">
        <v>20</v>
      </c>
      <c r="G552" s="1" t="s">
        <v>71</v>
      </c>
      <c r="H552" s="1" t="s">
        <v>30</v>
      </c>
      <c r="I552" s="1" t="s">
        <v>31</v>
      </c>
      <c r="J552" s="1" t="s">
        <v>32</v>
      </c>
      <c r="K552" s="1" t="s">
        <v>52</v>
      </c>
      <c r="L552" s="1" t="s">
        <v>1170</v>
      </c>
      <c r="M552">
        <v>5</v>
      </c>
      <c r="N552">
        <v>0.2</v>
      </c>
      <c r="O552">
        <v>6.5830000000000002</v>
      </c>
      <c r="P552">
        <v>18.16</v>
      </c>
      <c r="Q552">
        <v>11.577</v>
      </c>
    </row>
    <row r="553" spans="1:17" x14ac:dyDescent="0.25">
      <c r="A553" s="2">
        <v>43051</v>
      </c>
      <c r="B553" s="2">
        <v>43057</v>
      </c>
      <c r="C553" s="1" t="s">
        <v>35</v>
      </c>
      <c r="D553" s="1" t="s">
        <v>458</v>
      </c>
      <c r="E553" s="1" t="s">
        <v>19</v>
      </c>
      <c r="F553" s="1" t="s">
        <v>20</v>
      </c>
      <c r="G553" s="1" t="s">
        <v>419</v>
      </c>
      <c r="H553" s="1" t="s">
        <v>57</v>
      </c>
      <c r="I553" s="1" t="s">
        <v>58</v>
      </c>
      <c r="J553" s="1" t="s">
        <v>32</v>
      </c>
      <c r="K553" s="1" t="s">
        <v>47</v>
      </c>
      <c r="L553" s="1" t="s">
        <v>1171</v>
      </c>
      <c r="M553">
        <v>3</v>
      </c>
      <c r="N553">
        <v>0.2</v>
      </c>
      <c r="O553">
        <v>5.8202999999999996</v>
      </c>
      <c r="P553">
        <v>16.056000000000001</v>
      </c>
      <c r="Q553">
        <v>10.235700000000001</v>
      </c>
    </row>
    <row r="554" spans="1:17" x14ac:dyDescent="0.25">
      <c r="A554" s="2">
        <v>42217</v>
      </c>
      <c r="B554" s="2">
        <v>42223</v>
      </c>
      <c r="C554" s="1" t="s">
        <v>35</v>
      </c>
      <c r="D554" s="1" t="s">
        <v>1172</v>
      </c>
      <c r="E554" s="1" t="s">
        <v>55</v>
      </c>
      <c r="F554" s="1" t="s">
        <v>20</v>
      </c>
      <c r="G554" s="1" t="s">
        <v>29</v>
      </c>
      <c r="H554" s="1" t="s">
        <v>30</v>
      </c>
      <c r="I554" s="1" t="s">
        <v>31</v>
      </c>
      <c r="J554" s="1" t="s">
        <v>32</v>
      </c>
      <c r="K554" s="1" t="s">
        <v>72</v>
      </c>
      <c r="L554" s="1" t="s">
        <v>1173</v>
      </c>
      <c r="M554">
        <v>4</v>
      </c>
      <c r="N554">
        <v>0</v>
      </c>
      <c r="O554">
        <v>3.36</v>
      </c>
      <c r="P554">
        <v>6.72</v>
      </c>
      <c r="Q554">
        <v>3.36</v>
      </c>
    </row>
    <row r="555" spans="1:17" x14ac:dyDescent="0.25">
      <c r="A555" s="2">
        <v>42910</v>
      </c>
      <c r="B555" s="2">
        <v>42917</v>
      </c>
      <c r="C555" s="1" t="s">
        <v>35</v>
      </c>
      <c r="D555" s="1" t="s">
        <v>1174</v>
      </c>
      <c r="E555" s="1" t="s">
        <v>28</v>
      </c>
      <c r="F555" s="1" t="s">
        <v>20</v>
      </c>
      <c r="G555" s="1" t="s">
        <v>1175</v>
      </c>
      <c r="H555" s="1" t="s">
        <v>30</v>
      </c>
      <c r="I555" s="1" t="s">
        <v>31</v>
      </c>
      <c r="J555" s="1" t="s">
        <v>32</v>
      </c>
      <c r="K555" s="1" t="s">
        <v>72</v>
      </c>
      <c r="L555" s="1" t="s">
        <v>1176</v>
      </c>
      <c r="M555">
        <v>8</v>
      </c>
      <c r="N555">
        <v>0</v>
      </c>
      <c r="O555">
        <v>111.824</v>
      </c>
      <c r="P555">
        <v>385.6</v>
      </c>
      <c r="Q555">
        <v>273.77600000000001</v>
      </c>
    </row>
    <row r="556" spans="1:17" x14ac:dyDescent="0.25">
      <c r="A556" s="2">
        <v>42965</v>
      </c>
      <c r="B556" s="2">
        <v>42969</v>
      </c>
      <c r="C556" s="1" t="s">
        <v>35</v>
      </c>
      <c r="D556" s="1" t="s">
        <v>796</v>
      </c>
      <c r="E556" s="1" t="s">
        <v>19</v>
      </c>
      <c r="F556" s="1" t="s">
        <v>20</v>
      </c>
      <c r="G556" s="1" t="s">
        <v>309</v>
      </c>
      <c r="H556" s="1" t="s">
        <v>57</v>
      </c>
      <c r="I556" s="1" t="s">
        <v>58</v>
      </c>
      <c r="J556" s="1" t="s">
        <v>32</v>
      </c>
      <c r="K556" s="1" t="s">
        <v>64</v>
      </c>
      <c r="L556" s="1" t="s">
        <v>1177</v>
      </c>
      <c r="M556">
        <v>3</v>
      </c>
      <c r="N556">
        <v>0.2</v>
      </c>
      <c r="O556">
        <v>12.504</v>
      </c>
      <c r="P556">
        <v>200.06399999999999</v>
      </c>
      <c r="Q556">
        <v>187.56</v>
      </c>
    </row>
    <row r="557" spans="1:17" x14ac:dyDescent="0.25">
      <c r="A557" s="2">
        <v>41673</v>
      </c>
      <c r="B557" s="2">
        <v>41676</v>
      </c>
      <c r="C557" s="1" t="s">
        <v>17</v>
      </c>
      <c r="D557" s="1" t="s">
        <v>1178</v>
      </c>
      <c r="E557" s="1" t="s">
        <v>19</v>
      </c>
      <c r="F557" s="1" t="s">
        <v>20</v>
      </c>
      <c r="G557" s="1" t="s">
        <v>50</v>
      </c>
      <c r="H557" s="1" t="s">
        <v>51</v>
      </c>
      <c r="I557" s="1" t="s">
        <v>31</v>
      </c>
      <c r="J557" s="1" t="s">
        <v>32</v>
      </c>
      <c r="K557" s="1" t="s">
        <v>52</v>
      </c>
      <c r="L557" s="1" t="s">
        <v>404</v>
      </c>
      <c r="M557">
        <v>2</v>
      </c>
      <c r="N557">
        <v>0.2</v>
      </c>
      <c r="O557">
        <v>27.248000000000001</v>
      </c>
      <c r="P557">
        <v>83.84</v>
      </c>
      <c r="Q557">
        <v>56.591999999999999</v>
      </c>
    </row>
    <row r="558" spans="1:17" x14ac:dyDescent="0.25">
      <c r="A558" s="2">
        <v>42777</v>
      </c>
      <c r="B558" s="2">
        <v>42780</v>
      </c>
      <c r="C558" s="1" t="s">
        <v>17</v>
      </c>
      <c r="D558" s="1" t="s">
        <v>321</v>
      </c>
      <c r="E558" s="1" t="s">
        <v>28</v>
      </c>
      <c r="F558" s="1" t="s">
        <v>20</v>
      </c>
      <c r="G558" s="1" t="s">
        <v>71</v>
      </c>
      <c r="H558" s="1" t="s">
        <v>30</v>
      </c>
      <c r="I558" s="1" t="s">
        <v>31</v>
      </c>
      <c r="J558" s="1" t="s">
        <v>32</v>
      </c>
      <c r="K558" s="1" t="s">
        <v>52</v>
      </c>
      <c r="L558" s="1" t="s">
        <v>1179</v>
      </c>
      <c r="M558">
        <v>7</v>
      </c>
      <c r="N558">
        <v>0.2</v>
      </c>
      <c r="O558">
        <v>7.7343000000000002</v>
      </c>
      <c r="P558">
        <v>21.335999999999999</v>
      </c>
      <c r="Q558">
        <v>13.601699999999997</v>
      </c>
    </row>
    <row r="559" spans="1:17" x14ac:dyDescent="0.25">
      <c r="A559" s="2">
        <v>42841</v>
      </c>
      <c r="B559" s="2">
        <v>42846</v>
      </c>
      <c r="C559" s="1" t="s">
        <v>35</v>
      </c>
      <c r="D559" s="1" t="s">
        <v>1180</v>
      </c>
      <c r="E559" s="1" t="s">
        <v>55</v>
      </c>
      <c r="F559" s="1" t="s">
        <v>20</v>
      </c>
      <c r="G559" s="1" t="s">
        <v>136</v>
      </c>
      <c r="H559" s="1" t="s">
        <v>98</v>
      </c>
      <c r="I559" s="1" t="s">
        <v>58</v>
      </c>
      <c r="J559" s="1" t="s">
        <v>32</v>
      </c>
      <c r="K559" s="1" t="s">
        <v>72</v>
      </c>
      <c r="L559" s="1" t="s">
        <v>1181</v>
      </c>
      <c r="M559">
        <v>5</v>
      </c>
      <c r="N559">
        <v>0.2</v>
      </c>
      <c r="O559">
        <v>2.0649999999999999</v>
      </c>
      <c r="P559">
        <v>16.52</v>
      </c>
      <c r="Q559">
        <v>14.455</v>
      </c>
    </row>
    <row r="560" spans="1:17" x14ac:dyDescent="0.25">
      <c r="A560" s="2">
        <v>42315</v>
      </c>
      <c r="B560" s="2">
        <v>42318</v>
      </c>
      <c r="C560" s="1" t="s">
        <v>17</v>
      </c>
      <c r="D560" s="1" t="s">
        <v>792</v>
      </c>
      <c r="E560" s="1" t="s">
        <v>28</v>
      </c>
      <c r="F560" s="1" t="s">
        <v>20</v>
      </c>
      <c r="G560" s="1" t="s">
        <v>240</v>
      </c>
      <c r="H560" s="1" t="s">
        <v>119</v>
      </c>
      <c r="I560" s="1" t="s">
        <v>81</v>
      </c>
      <c r="J560" s="1" t="s">
        <v>32</v>
      </c>
      <c r="K560" s="1" t="s">
        <v>128</v>
      </c>
      <c r="L560" s="1" t="s">
        <v>1182</v>
      </c>
      <c r="M560">
        <v>7</v>
      </c>
      <c r="N560">
        <v>0</v>
      </c>
      <c r="O560">
        <v>0.52359999999999995</v>
      </c>
      <c r="P560">
        <v>26.18</v>
      </c>
      <c r="Q560">
        <v>25.656400000000001</v>
      </c>
    </row>
    <row r="561" spans="1:17" x14ac:dyDescent="0.25">
      <c r="A561" s="2">
        <v>42978</v>
      </c>
      <c r="B561" s="2">
        <v>42983</v>
      </c>
      <c r="C561" s="1" t="s">
        <v>35</v>
      </c>
      <c r="D561" s="1" t="s">
        <v>619</v>
      </c>
      <c r="E561" s="1" t="s">
        <v>19</v>
      </c>
      <c r="F561" s="1" t="s">
        <v>20</v>
      </c>
      <c r="G561" s="1" t="s">
        <v>1183</v>
      </c>
      <c r="H561" s="1" t="s">
        <v>140</v>
      </c>
      <c r="I561" s="1" t="s">
        <v>31</v>
      </c>
      <c r="J561" s="1" t="s">
        <v>32</v>
      </c>
      <c r="K561" s="1" t="s">
        <v>64</v>
      </c>
      <c r="L561" s="1" t="s">
        <v>1184</v>
      </c>
      <c r="M561">
        <v>1</v>
      </c>
      <c r="N561">
        <v>0.2</v>
      </c>
      <c r="O561">
        <v>0.80579999999999996</v>
      </c>
      <c r="P561">
        <v>10.744</v>
      </c>
      <c r="Q561">
        <v>9.9382000000000001</v>
      </c>
    </row>
    <row r="562" spans="1:17" x14ac:dyDescent="0.25">
      <c r="A562" s="2">
        <v>41709</v>
      </c>
      <c r="B562" s="2">
        <v>41714</v>
      </c>
      <c r="C562" s="1" t="s">
        <v>17</v>
      </c>
      <c r="D562" s="1" t="s">
        <v>646</v>
      </c>
      <c r="E562" s="1" t="s">
        <v>19</v>
      </c>
      <c r="F562" s="1" t="s">
        <v>20</v>
      </c>
      <c r="G562" s="1" t="s">
        <v>213</v>
      </c>
      <c r="H562" s="1" t="s">
        <v>214</v>
      </c>
      <c r="I562" s="1" t="s">
        <v>81</v>
      </c>
      <c r="J562" s="1" t="s">
        <v>24</v>
      </c>
      <c r="K562" s="1" t="s">
        <v>42</v>
      </c>
      <c r="L562" s="1" t="s">
        <v>1185</v>
      </c>
      <c r="M562">
        <v>5</v>
      </c>
      <c r="N562">
        <v>0.2</v>
      </c>
      <c r="O562">
        <v>2.2879999999999998</v>
      </c>
      <c r="P562">
        <v>8.32</v>
      </c>
      <c r="Q562">
        <v>6.032</v>
      </c>
    </row>
    <row r="563" spans="1:17" x14ac:dyDescent="0.25">
      <c r="A563" s="2">
        <v>41674</v>
      </c>
      <c r="B563" s="2">
        <v>41678</v>
      </c>
      <c r="C563" s="1" t="s">
        <v>35</v>
      </c>
      <c r="D563" s="1" t="s">
        <v>1186</v>
      </c>
      <c r="E563" s="1" t="s">
        <v>55</v>
      </c>
      <c r="F563" s="1" t="s">
        <v>20</v>
      </c>
      <c r="G563" s="1" t="s">
        <v>345</v>
      </c>
      <c r="H563" s="1" t="s">
        <v>30</v>
      </c>
      <c r="I563" s="1" t="s">
        <v>31</v>
      </c>
      <c r="J563" s="1" t="s">
        <v>32</v>
      </c>
      <c r="K563" s="1" t="s">
        <v>52</v>
      </c>
      <c r="L563" s="1" t="s">
        <v>1187</v>
      </c>
      <c r="M563">
        <v>3</v>
      </c>
      <c r="N563">
        <v>0.2</v>
      </c>
      <c r="O563">
        <v>29.0136</v>
      </c>
      <c r="P563">
        <v>82.896000000000001</v>
      </c>
      <c r="Q563">
        <v>53.882400000000004</v>
      </c>
    </row>
    <row r="564" spans="1:17" x14ac:dyDescent="0.25">
      <c r="A564" s="2">
        <v>42331</v>
      </c>
      <c r="B564" s="2">
        <v>42335</v>
      </c>
      <c r="C564" s="1" t="s">
        <v>35</v>
      </c>
      <c r="D564" s="1" t="s">
        <v>428</v>
      </c>
      <c r="E564" s="1" t="s">
        <v>28</v>
      </c>
      <c r="F564" s="1" t="s">
        <v>20</v>
      </c>
      <c r="G564" s="1" t="s">
        <v>265</v>
      </c>
      <c r="H564" s="1" t="s">
        <v>57</v>
      </c>
      <c r="I564" s="1" t="s">
        <v>58</v>
      </c>
      <c r="J564" s="1" t="s">
        <v>32</v>
      </c>
      <c r="K564" s="1" t="s">
        <v>47</v>
      </c>
      <c r="L564" s="1" t="s">
        <v>1188</v>
      </c>
      <c r="M564">
        <v>4</v>
      </c>
      <c r="N564">
        <v>0.2</v>
      </c>
      <c r="O564">
        <v>117.432</v>
      </c>
      <c r="P564">
        <v>335.52</v>
      </c>
      <c r="Q564">
        <v>218.08799999999997</v>
      </c>
    </row>
    <row r="565" spans="1:17" x14ac:dyDescent="0.25">
      <c r="A565" s="2">
        <v>42538</v>
      </c>
      <c r="B565" s="2">
        <v>42543</v>
      </c>
      <c r="C565" s="1" t="s">
        <v>35</v>
      </c>
      <c r="D565" s="1" t="s">
        <v>1189</v>
      </c>
      <c r="E565" s="1" t="s">
        <v>19</v>
      </c>
      <c r="F565" s="1" t="s">
        <v>20</v>
      </c>
      <c r="G565" s="1" t="s">
        <v>345</v>
      </c>
      <c r="H565" s="1" t="s">
        <v>30</v>
      </c>
      <c r="I565" s="1" t="s">
        <v>31</v>
      </c>
      <c r="J565" s="1" t="s">
        <v>32</v>
      </c>
      <c r="K565" s="1" t="s">
        <v>47</v>
      </c>
      <c r="L565" s="1" t="s">
        <v>1190</v>
      </c>
      <c r="M565">
        <v>2</v>
      </c>
      <c r="N565">
        <v>0</v>
      </c>
      <c r="O565">
        <v>54.860399999999998</v>
      </c>
      <c r="P565">
        <v>111.96</v>
      </c>
      <c r="Q565">
        <v>57.099599999999995</v>
      </c>
    </row>
    <row r="566" spans="1:17" x14ac:dyDescent="0.25">
      <c r="A566" s="2">
        <v>41762</v>
      </c>
      <c r="B566" s="2">
        <v>41764</v>
      </c>
      <c r="C566" s="1" t="s">
        <v>107</v>
      </c>
      <c r="D566" s="1" t="s">
        <v>533</v>
      </c>
      <c r="E566" s="1" t="s">
        <v>55</v>
      </c>
      <c r="F566" s="1" t="s">
        <v>20</v>
      </c>
      <c r="G566" s="1" t="s">
        <v>1191</v>
      </c>
      <c r="H566" s="1" t="s">
        <v>63</v>
      </c>
      <c r="I566" s="1" t="s">
        <v>58</v>
      </c>
      <c r="J566" s="1" t="s">
        <v>32</v>
      </c>
      <c r="K566" s="1" t="s">
        <v>33</v>
      </c>
      <c r="L566" s="1" t="s">
        <v>1192</v>
      </c>
      <c r="M566">
        <v>7</v>
      </c>
      <c r="N566">
        <v>0</v>
      </c>
      <c r="O566">
        <v>10.348800000000001</v>
      </c>
      <c r="P566">
        <v>21.56</v>
      </c>
      <c r="Q566">
        <v>11.211199999999998</v>
      </c>
    </row>
    <row r="567" spans="1:17" x14ac:dyDescent="0.25">
      <c r="A567" s="2">
        <v>43024</v>
      </c>
      <c r="B567" s="2">
        <v>43029</v>
      </c>
      <c r="C567" s="1" t="s">
        <v>35</v>
      </c>
      <c r="D567" s="1" t="s">
        <v>1193</v>
      </c>
      <c r="E567" s="1" t="s">
        <v>19</v>
      </c>
      <c r="F567" s="1" t="s">
        <v>20</v>
      </c>
      <c r="G567" s="1" t="s">
        <v>496</v>
      </c>
      <c r="H567" s="1" t="s">
        <v>22</v>
      </c>
      <c r="I567" s="1" t="s">
        <v>23</v>
      </c>
      <c r="J567" s="1" t="s">
        <v>32</v>
      </c>
      <c r="K567" s="1" t="s">
        <v>52</v>
      </c>
      <c r="L567" s="1" t="s">
        <v>836</v>
      </c>
      <c r="M567">
        <v>5</v>
      </c>
      <c r="N567">
        <v>0</v>
      </c>
      <c r="O567">
        <v>57.384999999999998</v>
      </c>
      <c r="P567">
        <v>124.75</v>
      </c>
      <c r="Q567">
        <v>67.365000000000009</v>
      </c>
    </row>
    <row r="568" spans="1:17" x14ac:dyDescent="0.25">
      <c r="A568" s="2">
        <v>42499</v>
      </c>
      <c r="B568" s="2">
        <v>42505</v>
      </c>
      <c r="C568" s="1" t="s">
        <v>35</v>
      </c>
      <c r="D568" s="1" t="s">
        <v>1194</v>
      </c>
      <c r="E568" s="1" t="s">
        <v>19</v>
      </c>
      <c r="F568" s="1" t="s">
        <v>20</v>
      </c>
      <c r="G568" s="1" t="s">
        <v>79</v>
      </c>
      <c r="H568" s="1" t="s">
        <v>80</v>
      </c>
      <c r="I568" s="1" t="s">
        <v>81</v>
      </c>
      <c r="J568" s="1" t="s">
        <v>32</v>
      </c>
      <c r="K568" s="1" t="s">
        <v>94</v>
      </c>
      <c r="L568" s="1" t="s">
        <v>263</v>
      </c>
      <c r="M568">
        <v>1</v>
      </c>
      <c r="N568">
        <v>0.2</v>
      </c>
      <c r="O568">
        <v>3.504</v>
      </c>
      <c r="P568">
        <v>9.3439999999999994</v>
      </c>
      <c r="Q568">
        <v>5.84</v>
      </c>
    </row>
    <row r="569" spans="1:17" x14ac:dyDescent="0.25">
      <c r="A569" s="2">
        <v>42079</v>
      </c>
      <c r="B569" s="2">
        <v>42081</v>
      </c>
      <c r="C569" s="1" t="s">
        <v>17</v>
      </c>
      <c r="D569" s="1" t="s">
        <v>541</v>
      </c>
      <c r="E569" s="1" t="s">
        <v>19</v>
      </c>
      <c r="F569" s="1" t="s">
        <v>20</v>
      </c>
      <c r="G569" s="1" t="s">
        <v>50</v>
      </c>
      <c r="H569" s="1" t="s">
        <v>51</v>
      </c>
      <c r="I569" s="1" t="s">
        <v>31</v>
      </c>
      <c r="J569" s="1" t="s">
        <v>24</v>
      </c>
      <c r="K569" s="1" t="s">
        <v>39</v>
      </c>
      <c r="L569" s="1" t="s">
        <v>993</v>
      </c>
      <c r="M569">
        <v>2</v>
      </c>
      <c r="N569">
        <v>0</v>
      </c>
      <c r="O569">
        <v>44.709600000000002</v>
      </c>
      <c r="P569">
        <v>171.96</v>
      </c>
      <c r="Q569">
        <v>127.25040000000001</v>
      </c>
    </row>
    <row r="570" spans="1:17" x14ac:dyDescent="0.25">
      <c r="A570" s="2">
        <v>41733</v>
      </c>
      <c r="B570" s="2">
        <v>41738</v>
      </c>
      <c r="C570" s="1" t="s">
        <v>35</v>
      </c>
      <c r="D570" s="1" t="s">
        <v>837</v>
      </c>
      <c r="E570" s="1" t="s">
        <v>55</v>
      </c>
      <c r="F570" s="1" t="s">
        <v>20</v>
      </c>
      <c r="G570" s="1" t="s">
        <v>71</v>
      </c>
      <c r="H570" s="1" t="s">
        <v>30</v>
      </c>
      <c r="I570" s="1" t="s">
        <v>31</v>
      </c>
      <c r="J570" s="1" t="s">
        <v>32</v>
      </c>
      <c r="K570" s="1" t="s">
        <v>33</v>
      </c>
      <c r="L570" s="1" t="s">
        <v>1195</v>
      </c>
      <c r="M570">
        <v>6</v>
      </c>
      <c r="N570">
        <v>0</v>
      </c>
      <c r="O570">
        <v>9.0719999999999992</v>
      </c>
      <c r="P570">
        <v>18.899999999999999</v>
      </c>
      <c r="Q570">
        <v>9.8279999999999994</v>
      </c>
    </row>
    <row r="571" spans="1:17" x14ac:dyDescent="0.25">
      <c r="A571" s="2">
        <v>42916</v>
      </c>
      <c r="B571" s="2">
        <v>42916</v>
      </c>
      <c r="C571" s="1" t="s">
        <v>434</v>
      </c>
      <c r="D571" s="1" t="s">
        <v>1196</v>
      </c>
      <c r="E571" s="1" t="s">
        <v>19</v>
      </c>
      <c r="F571" s="1" t="s">
        <v>20</v>
      </c>
      <c r="G571" s="1" t="s">
        <v>126</v>
      </c>
      <c r="H571" s="1" t="s">
        <v>127</v>
      </c>
      <c r="I571" s="1" t="s">
        <v>81</v>
      </c>
      <c r="J571" s="1" t="s">
        <v>24</v>
      </c>
      <c r="K571" s="1" t="s">
        <v>39</v>
      </c>
      <c r="L571" s="1" t="s">
        <v>40</v>
      </c>
      <c r="M571">
        <v>5</v>
      </c>
      <c r="N571">
        <v>0.4</v>
      </c>
      <c r="O571">
        <v>-295.9785</v>
      </c>
      <c r="P571">
        <v>1044.6300000000001</v>
      </c>
      <c r="Q571">
        <v>1340.6085</v>
      </c>
    </row>
    <row r="572" spans="1:17" x14ac:dyDescent="0.25">
      <c r="A572" s="2">
        <v>41702</v>
      </c>
      <c r="B572" s="2">
        <v>41702</v>
      </c>
      <c r="C572" s="1" t="s">
        <v>434</v>
      </c>
      <c r="D572" s="1" t="s">
        <v>208</v>
      </c>
      <c r="E572" s="1" t="s">
        <v>19</v>
      </c>
      <c r="F572" s="1" t="s">
        <v>20</v>
      </c>
      <c r="G572" s="1" t="s">
        <v>168</v>
      </c>
      <c r="H572" s="1" t="s">
        <v>169</v>
      </c>
      <c r="I572" s="1" t="s">
        <v>23</v>
      </c>
      <c r="J572" s="1" t="s">
        <v>32</v>
      </c>
      <c r="K572" s="1" t="s">
        <v>64</v>
      </c>
      <c r="L572" s="1" t="s">
        <v>1197</v>
      </c>
      <c r="M572">
        <v>5</v>
      </c>
      <c r="N572">
        <v>0</v>
      </c>
      <c r="O572">
        <v>17.745000000000001</v>
      </c>
      <c r="P572">
        <v>354.9</v>
      </c>
      <c r="Q572">
        <v>337.15499999999997</v>
      </c>
    </row>
    <row r="573" spans="1:17" x14ac:dyDescent="0.25">
      <c r="A573" s="2">
        <v>42082</v>
      </c>
      <c r="B573" s="2">
        <v>42088</v>
      </c>
      <c r="C573" s="1" t="s">
        <v>35</v>
      </c>
      <c r="D573" s="1" t="s">
        <v>715</v>
      </c>
      <c r="E573" s="1" t="s">
        <v>55</v>
      </c>
      <c r="F573" s="1" t="s">
        <v>20</v>
      </c>
      <c r="G573" s="1" t="s">
        <v>50</v>
      </c>
      <c r="H573" s="1" t="s">
        <v>51</v>
      </c>
      <c r="I573" s="1" t="s">
        <v>31</v>
      </c>
      <c r="J573" s="1" t="s">
        <v>99</v>
      </c>
      <c r="K573" s="1" t="s">
        <v>100</v>
      </c>
      <c r="L573" s="1" t="s">
        <v>1198</v>
      </c>
      <c r="M573">
        <v>3</v>
      </c>
      <c r="N573">
        <v>0.2</v>
      </c>
      <c r="O573">
        <v>39.687899999999999</v>
      </c>
      <c r="P573">
        <v>453.57600000000002</v>
      </c>
      <c r="Q573">
        <v>413.88810000000001</v>
      </c>
    </row>
    <row r="574" spans="1:17" x14ac:dyDescent="0.25">
      <c r="A574" s="2">
        <v>42897</v>
      </c>
      <c r="B574" s="2">
        <v>42897</v>
      </c>
      <c r="C574" s="1" t="s">
        <v>434</v>
      </c>
      <c r="D574" s="1" t="s">
        <v>634</v>
      </c>
      <c r="E574" s="1" t="s">
        <v>19</v>
      </c>
      <c r="F574" s="1" t="s">
        <v>20</v>
      </c>
      <c r="G574" s="1" t="s">
        <v>29</v>
      </c>
      <c r="H574" s="1" t="s">
        <v>30</v>
      </c>
      <c r="I574" s="1" t="s">
        <v>31</v>
      </c>
      <c r="J574" s="1" t="s">
        <v>32</v>
      </c>
      <c r="K574" s="1" t="s">
        <v>47</v>
      </c>
      <c r="L574" s="1" t="s">
        <v>1199</v>
      </c>
      <c r="M574">
        <v>3</v>
      </c>
      <c r="N574">
        <v>0</v>
      </c>
      <c r="O574">
        <v>60.255299999999998</v>
      </c>
      <c r="P574">
        <v>122.97</v>
      </c>
      <c r="Q574">
        <v>62.714700000000001</v>
      </c>
    </row>
    <row r="575" spans="1:17" x14ac:dyDescent="0.25">
      <c r="A575" s="2">
        <v>41966</v>
      </c>
      <c r="B575" s="2">
        <v>41968</v>
      </c>
      <c r="C575" s="1" t="s">
        <v>107</v>
      </c>
      <c r="D575" s="1" t="s">
        <v>530</v>
      </c>
      <c r="E575" s="1" t="s">
        <v>19</v>
      </c>
      <c r="F575" s="1" t="s">
        <v>20</v>
      </c>
      <c r="G575" s="1" t="s">
        <v>29</v>
      </c>
      <c r="H575" s="1" t="s">
        <v>30</v>
      </c>
      <c r="I575" s="1" t="s">
        <v>31</v>
      </c>
      <c r="J575" s="1" t="s">
        <v>24</v>
      </c>
      <c r="K575" s="1" t="s">
        <v>82</v>
      </c>
      <c r="L575" s="1" t="s">
        <v>170</v>
      </c>
      <c r="M575">
        <v>5</v>
      </c>
      <c r="N575">
        <v>0.2</v>
      </c>
      <c r="O575">
        <v>-67.941000000000003</v>
      </c>
      <c r="P575">
        <v>603.91999999999996</v>
      </c>
      <c r="Q575">
        <v>671.86099999999999</v>
      </c>
    </row>
    <row r="576" spans="1:17" x14ac:dyDescent="0.25">
      <c r="A576" s="2">
        <v>41988</v>
      </c>
      <c r="B576" s="2">
        <v>41991</v>
      </c>
      <c r="C576" s="1" t="s">
        <v>107</v>
      </c>
      <c r="D576" s="1" t="s">
        <v>1200</v>
      </c>
      <c r="E576" s="1" t="s">
        <v>19</v>
      </c>
      <c r="F576" s="1" t="s">
        <v>20</v>
      </c>
      <c r="G576" s="1" t="s">
        <v>1201</v>
      </c>
      <c r="H576" s="1" t="s">
        <v>57</v>
      </c>
      <c r="I576" s="1" t="s">
        <v>58</v>
      </c>
      <c r="J576" s="1" t="s">
        <v>99</v>
      </c>
      <c r="K576" s="1" t="s">
        <v>100</v>
      </c>
      <c r="L576" s="1" t="s">
        <v>1202</v>
      </c>
      <c r="M576">
        <v>3</v>
      </c>
      <c r="N576">
        <v>0.2</v>
      </c>
      <c r="O576">
        <v>-9.1530000000000005</v>
      </c>
      <c r="P576">
        <v>40.68</v>
      </c>
      <c r="Q576">
        <v>49.832999999999998</v>
      </c>
    </row>
    <row r="577" spans="1:17" x14ac:dyDescent="0.25">
      <c r="A577" s="2">
        <v>42427</v>
      </c>
      <c r="B577" s="2">
        <v>42430</v>
      </c>
      <c r="C577" s="1" t="s">
        <v>107</v>
      </c>
      <c r="D577" s="1" t="s">
        <v>1203</v>
      </c>
      <c r="E577" s="1" t="s">
        <v>19</v>
      </c>
      <c r="F577" s="1" t="s">
        <v>20</v>
      </c>
      <c r="G577" s="1" t="s">
        <v>126</v>
      </c>
      <c r="H577" s="1" t="s">
        <v>127</v>
      </c>
      <c r="I577" s="1" t="s">
        <v>81</v>
      </c>
      <c r="J577" s="1" t="s">
        <v>32</v>
      </c>
      <c r="K577" s="1" t="s">
        <v>59</v>
      </c>
      <c r="L577" s="1" t="s">
        <v>1204</v>
      </c>
      <c r="M577">
        <v>3</v>
      </c>
      <c r="N577">
        <v>0</v>
      </c>
      <c r="O577">
        <v>49.555199999999999</v>
      </c>
      <c r="P577">
        <v>170.88</v>
      </c>
      <c r="Q577">
        <v>121.3248</v>
      </c>
    </row>
    <row r="578" spans="1:17" x14ac:dyDescent="0.25">
      <c r="A578" s="2">
        <v>42225</v>
      </c>
      <c r="B578" s="2">
        <v>42228</v>
      </c>
      <c r="C578" s="1" t="s">
        <v>107</v>
      </c>
      <c r="D578" s="1" t="s">
        <v>710</v>
      </c>
      <c r="E578" s="1" t="s">
        <v>19</v>
      </c>
      <c r="F578" s="1" t="s">
        <v>20</v>
      </c>
      <c r="G578" s="1" t="s">
        <v>126</v>
      </c>
      <c r="H578" s="1" t="s">
        <v>127</v>
      </c>
      <c r="I578" s="1" t="s">
        <v>81</v>
      </c>
      <c r="J578" s="1" t="s">
        <v>99</v>
      </c>
      <c r="K578" s="1" t="s">
        <v>100</v>
      </c>
      <c r="L578" s="1" t="s">
        <v>464</v>
      </c>
      <c r="M578">
        <v>2</v>
      </c>
      <c r="N578">
        <v>0</v>
      </c>
      <c r="O578">
        <v>89.3142</v>
      </c>
      <c r="P578">
        <v>307.98</v>
      </c>
      <c r="Q578">
        <v>218.66580000000002</v>
      </c>
    </row>
    <row r="579" spans="1:17" x14ac:dyDescent="0.25">
      <c r="A579" s="2">
        <v>42502</v>
      </c>
      <c r="B579" s="2">
        <v>42506</v>
      </c>
      <c r="C579" s="1" t="s">
        <v>35</v>
      </c>
      <c r="D579" s="1" t="s">
        <v>1205</v>
      </c>
      <c r="E579" s="1" t="s">
        <v>28</v>
      </c>
      <c r="F579" s="1" t="s">
        <v>20</v>
      </c>
      <c r="G579" s="1" t="s">
        <v>918</v>
      </c>
      <c r="H579" s="1" t="s">
        <v>144</v>
      </c>
      <c r="I579" s="1" t="s">
        <v>23</v>
      </c>
      <c r="J579" s="1" t="s">
        <v>32</v>
      </c>
      <c r="K579" s="1" t="s">
        <v>72</v>
      </c>
      <c r="L579" s="1" t="s">
        <v>565</v>
      </c>
      <c r="M579">
        <v>4</v>
      </c>
      <c r="N579">
        <v>0</v>
      </c>
      <c r="O579">
        <v>2.9592000000000001</v>
      </c>
      <c r="P579">
        <v>10.96</v>
      </c>
      <c r="Q579">
        <v>8.0008000000000017</v>
      </c>
    </row>
    <row r="580" spans="1:17" x14ac:dyDescent="0.25">
      <c r="A580" s="2">
        <v>42475</v>
      </c>
      <c r="B580" s="2">
        <v>42479</v>
      </c>
      <c r="C580" s="1" t="s">
        <v>35</v>
      </c>
      <c r="D580" s="1" t="s">
        <v>1206</v>
      </c>
      <c r="E580" s="1" t="s">
        <v>28</v>
      </c>
      <c r="F580" s="1" t="s">
        <v>20</v>
      </c>
      <c r="G580" s="1" t="s">
        <v>1207</v>
      </c>
      <c r="H580" s="1" t="s">
        <v>57</v>
      </c>
      <c r="I580" s="1" t="s">
        <v>58</v>
      </c>
      <c r="J580" s="1" t="s">
        <v>32</v>
      </c>
      <c r="K580" s="1" t="s">
        <v>72</v>
      </c>
      <c r="L580" s="1" t="s">
        <v>1208</v>
      </c>
      <c r="M580">
        <v>7</v>
      </c>
      <c r="N580">
        <v>0.2</v>
      </c>
      <c r="O580">
        <v>5.8604000000000003</v>
      </c>
      <c r="P580">
        <v>33.488</v>
      </c>
      <c r="Q580">
        <v>27.627600000000001</v>
      </c>
    </row>
    <row r="581" spans="1:17" x14ac:dyDescent="0.25">
      <c r="A581" s="2">
        <v>42178</v>
      </c>
      <c r="B581" s="2">
        <v>42180</v>
      </c>
      <c r="C581" s="1" t="s">
        <v>17</v>
      </c>
      <c r="D581" s="1" t="s">
        <v>1209</v>
      </c>
      <c r="E581" s="1" t="s">
        <v>19</v>
      </c>
      <c r="F581" s="1" t="s">
        <v>20</v>
      </c>
      <c r="G581" s="1" t="s">
        <v>1210</v>
      </c>
      <c r="H581" s="1" t="s">
        <v>51</v>
      </c>
      <c r="I581" s="1" t="s">
        <v>31</v>
      </c>
      <c r="J581" s="1" t="s">
        <v>99</v>
      </c>
      <c r="K581" s="1" t="s">
        <v>100</v>
      </c>
      <c r="L581" s="1" t="s">
        <v>1211</v>
      </c>
      <c r="M581">
        <v>4</v>
      </c>
      <c r="N581">
        <v>0.2</v>
      </c>
      <c r="O581">
        <v>22.676400000000001</v>
      </c>
      <c r="P581">
        <v>201.56800000000001</v>
      </c>
      <c r="Q581">
        <v>178.89160000000001</v>
      </c>
    </row>
    <row r="582" spans="1:17" x14ac:dyDescent="0.25">
      <c r="A582" s="2">
        <v>41931</v>
      </c>
      <c r="B582" s="2">
        <v>41931</v>
      </c>
      <c r="C582" s="1" t="s">
        <v>434</v>
      </c>
      <c r="D582" s="1" t="s">
        <v>619</v>
      </c>
      <c r="E582" s="1" t="s">
        <v>19</v>
      </c>
      <c r="F582" s="1" t="s">
        <v>20</v>
      </c>
      <c r="G582" s="1" t="s">
        <v>29</v>
      </c>
      <c r="H582" s="1" t="s">
        <v>30</v>
      </c>
      <c r="I582" s="1" t="s">
        <v>31</v>
      </c>
      <c r="J582" s="1" t="s">
        <v>32</v>
      </c>
      <c r="K582" s="1" t="s">
        <v>47</v>
      </c>
      <c r="L582" s="1" t="s">
        <v>1212</v>
      </c>
      <c r="M582">
        <v>3</v>
      </c>
      <c r="N582">
        <v>0</v>
      </c>
      <c r="O582">
        <v>6.5856000000000003</v>
      </c>
      <c r="P582">
        <v>13.44</v>
      </c>
      <c r="Q582">
        <v>6.8543999999999992</v>
      </c>
    </row>
    <row r="583" spans="1:17" x14ac:dyDescent="0.25">
      <c r="A583" s="2">
        <v>42087</v>
      </c>
      <c r="B583" s="2">
        <v>42090</v>
      </c>
      <c r="C583" s="1" t="s">
        <v>107</v>
      </c>
      <c r="D583" s="1" t="s">
        <v>1213</v>
      </c>
      <c r="E583" s="1" t="s">
        <v>55</v>
      </c>
      <c r="F583" s="1" t="s">
        <v>20</v>
      </c>
      <c r="G583" s="1" t="s">
        <v>466</v>
      </c>
      <c r="H583" s="1" t="s">
        <v>98</v>
      </c>
      <c r="I583" s="1" t="s">
        <v>58</v>
      </c>
      <c r="J583" s="1" t="s">
        <v>24</v>
      </c>
      <c r="K583" s="1" t="s">
        <v>25</v>
      </c>
      <c r="L583" s="1" t="s">
        <v>1214</v>
      </c>
      <c r="M583">
        <v>3</v>
      </c>
      <c r="N583">
        <v>0.3</v>
      </c>
      <c r="O583">
        <v>-35.905799999999999</v>
      </c>
      <c r="P583">
        <v>359.05799999999999</v>
      </c>
      <c r="Q583">
        <v>394.96379999999999</v>
      </c>
    </row>
    <row r="584" spans="1:17" x14ac:dyDescent="0.25">
      <c r="A584" s="2">
        <v>42863</v>
      </c>
      <c r="B584" s="2">
        <v>42867</v>
      </c>
      <c r="C584" s="1" t="s">
        <v>35</v>
      </c>
      <c r="D584" s="1" t="s">
        <v>1215</v>
      </c>
      <c r="E584" s="1" t="s">
        <v>19</v>
      </c>
      <c r="F584" s="1" t="s">
        <v>20</v>
      </c>
      <c r="G584" s="1" t="s">
        <v>213</v>
      </c>
      <c r="H584" s="1" t="s">
        <v>214</v>
      </c>
      <c r="I584" s="1" t="s">
        <v>81</v>
      </c>
      <c r="J584" s="1" t="s">
        <v>24</v>
      </c>
      <c r="K584" s="1" t="s">
        <v>82</v>
      </c>
      <c r="L584" s="1" t="s">
        <v>1216</v>
      </c>
      <c r="M584">
        <v>2</v>
      </c>
      <c r="N584">
        <v>0.3</v>
      </c>
      <c r="O584">
        <v>-2.0568</v>
      </c>
      <c r="P584">
        <v>47.991999999999997</v>
      </c>
      <c r="Q584">
        <v>50.0488</v>
      </c>
    </row>
    <row r="585" spans="1:17" x14ac:dyDescent="0.25">
      <c r="A585" s="2">
        <v>42498</v>
      </c>
      <c r="B585" s="2">
        <v>42503</v>
      </c>
      <c r="C585" s="1" t="s">
        <v>17</v>
      </c>
      <c r="D585" s="1" t="s">
        <v>859</v>
      </c>
      <c r="E585" s="1" t="s">
        <v>28</v>
      </c>
      <c r="F585" s="1" t="s">
        <v>20</v>
      </c>
      <c r="G585" s="1" t="s">
        <v>118</v>
      </c>
      <c r="H585" s="1" t="s">
        <v>119</v>
      </c>
      <c r="I585" s="1" t="s">
        <v>81</v>
      </c>
      <c r="J585" s="1" t="s">
        <v>24</v>
      </c>
      <c r="K585" s="1" t="s">
        <v>42</v>
      </c>
      <c r="L585" s="1" t="s">
        <v>1217</v>
      </c>
      <c r="M585">
        <v>2</v>
      </c>
      <c r="N585">
        <v>0</v>
      </c>
      <c r="O585">
        <v>42.392000000000003</v>
      </c>
      <c r="P585">
        <v>211.96</v>
      </c>
      <c r="Q585">
        <v>169.56800000000001</v>
      </c>
    </row>
    <row r="586" spans="1:17" x14ac:dyDescent="0.25">
      <c r="A586" s="2">
        <v>42479</v>
      </c>
      <c r="B586" s="2">
        <v>42484</v>
      </c>
      <c r="C586" s="1" t="s">
        <v>17</v>
      </c>
      <c r="D586" s="1" t="s">
        <v>1218</v>
      </c>
      <c r="E586" s="1" t="s">
        <v>19</v>
      </c>
      <c r="F586" s="1" t="s">
        <v>20</v>
      </c>
      <c r="G586" s="1" t="s">
        <v>29</v>
      </c>
      <c r="H586" s="1" t="s">
        <v>30</v>
      </c>
      <c r="I586" s="1" t="s">
        <v>31</v>
      </c>
      <c r="J586" s="1" t="s">
        <v>99</v>
      </c>
      <c r="K586" s="1" t="s">
        <v>100</v>
      </c>
      <c r="L586" s="1" t="s">
        <v>1015</v>
      </c>
      <c r="M586">
        <v>5</v>
      </c>
      <c r="N586">
        <v>0.2</v>
      </c>
      <c r="O586">
        <v>12.987</v>
      </c>
      <c r="P586">
        <v>39.96</v>
      </c>
      <c r="Q586">
        <v>26.972999999999999</v>
      </c>
    </row>
    <row r="587" spans="1:17" x14ac:dyDescent="0.25">
      <c r="A587" s="2">
        <v>42444</v>
      </c>
      <c r="B587" s="2">
        <v>42448</v>
      </c>
      <c r="C587" s="1" t="s">
        <v>35</v>
      </c>
      <c r="D587" s="1" t="s">
        <v>1180</v>
      </c>
      <c r="E587" s="1" t="s">
        <v>55</v>
      </c>
      <c r="F587" s="1" t="s">
        <v>20</v>
      </c>
      <c r="G587" s="1" t="s">
        <v>79</v>
      </c>
      <c r="H587" s="1" t="s">
        <v>80</v>
      </c>
      <c r="I587" s="1" t="s">
        <v>81</v>
      </c>
      <c r="J587" s="1" t="s">
        <v>99</v>
      </c>
      <c r="K587" s="1" t="s">
        <v>111</v>
      </c>
      <c r="L587" s="1" t="s">
        <v>1219</v>
      </c>
      <c r="M587">
        <v>3</v>
      </c>
      <c r="N587">
        <v>0.2</v>
      </c>
      <c r="O587">
        <v>-13.646100000000001</v>
      </c>
      <c r="P587">
        <v>83.975999999999999</v>
      </c>
      <c r="Q587">
        <v>97.622100000000003</v>
      </c>
    </row>
    <row r="588" spans="1:17" x14ac:dyDescent="0.25">
      <c r="A588" s="2">
        <v>42324</v>
      </c>
      <c r="B588" s="2">
        <v>42330</v>
      </c>
      <c r="C588" s="1" t="s">
        <v>35</v>
      </c>
      <c r="D588" s="1" t="s">
        <v>518</v>
      </c>
      <c r="E588" s="1" t="s">
        <v>55</v>
      </c>
      <c r="F588" s="1" t="s">
        <v>20</v>
      </c>
      <c r="G588" s="1" t="s">
        <v>126</v>
      </c>
      <c r="H588" s="1" t="s">
        <v>127</v>
      </c>
      <c r="I588" s="1" t="s">
        <v>81</v>
      </c>
      <c r="J588" s="1" t="s">
        <v>32</v>
      </c>
      <c r="K588" s="1" t="s">
        <v>59</v>
      </c>
      <c r="L588" s="1" t="s">
        <v>684</v>
      </c>
      <c r="M588">
        <v>5</v>
      </c>
      <c r="N588">
        <v>0</v>
      </c>
      <c r="O588">
        <v>141.2775</v>
      </c>
      <c r="P588">
        <v>523.25</v>
      </c>
      <c r="Q588">
        <v>381.97249999999997</v>
      </c>
    </row>
    <row r="589" spans="1:17" x14ac:dyDescent="0.25">
      <c r="A589" s="2">
        <v>42907</v>
      </c>
      <c r="B589" s="2">
        <v>42911</v>
      </c>
      <c r="C589" s="1" t="s">
        <v>17</v>
      </c>
      <c r="D589" s="1" t="s">
        <v>648</v>
      </c>
      <c r="E589" s="1" t="s">
        <v>19</v>
      </c>
      <c r="F589" s="1" t="s">
        <v>20</v>
      </c>
      <c r="G589" s="1" t="s">
        <v>1220</v>
      </c>
      <c r="H589" s="1" t="s">
        <v>214</v>
      </c>
      <c r="I589" s="1" t="s">
        <v>81</v>
      </c>
      <c r="J589" s="1" t="s">
        <v>24</v>
      </c>
      <c r="K589" s="1" t="s">
        <v>42</v>
      </c>
      <c r="L589" s="1" t="s">
        <v>1221</v>
      </c>
      <c r="M589">
        <v>5</v>
      </c>
      <c r="N589">
        <v>0.2</v>
      </c>
      <c r="O589">
        <v>2.464</v>
      </c>
      <c r="P589">
        <v>17.920000000000002</v>
      </c>
      <c r="Q589">
        <v>15.456000000000001</v>
      </c>
    </row>
    <row r="590" spans="1:17" x14ac:dyDescent="0.25">
      <c r="A590" s="2">
        <v>42498</v>
      </c>
      <c r="B590" s="2">
        <v>42498</v>
      </c>
      <c r="C590" s="1" t="s">
        <v>434</v>
      </c>
      <c r="D590" s="1" t="s">
        <v>208</v>
      </c>
      <c r="E590" s="1" t="s">
        <v>19</v>
      </c>
      <c r="F590" s="1" t="s">
        <v>20</v>
      </c>
      <c r="G590" s="1" t="s">
        <v>1220</v>
      </c>
      <c r="H590" s="1" t="s">
        <v>214</v>
      </c>
      <c r="I590" s="1" t="s">
        <v>81</v>
      </c>
      <c r="J590" s="1" t="s">
        <v>32</v>
      </c>
      <c r="K590" s="1" t="s">
        <v>64</v>
      </c>
      <c r="L590" s="1" t="s">
        <v>1222</v>
      </c>
      <c r="M590">
        <v>3</v>
      </c>
      <c r="N590">
        <v>0.2</v>
      </c>
      <c r="O590">
        <v>88.029899999999998</v>
      </c>
      <c r="P590">
        <v>1006.056</v>
      </c>
      <c r="Q590">
        <v>918.02610000000004</v>
      </c>
    </row>
    <row r="591" spans="1:17" x14ac:dyDescent="0.25">
      <c r="A591" s="2">
        <v>41969</v>
      </c>
      <c r="B591" s="2">
        <v>41975</v>
      </c>
      <c r="C591" s="1" t="s">
        <v>35</v>
      </c>
      <c r="D591" s="1" t="s">
        <v>1223</v>
      </c>
      <c r="E591" s="1" t="s">
        <v>19</v>
      </c>
      <c r="F591" s="1" t="s">
        <v>20</v>
      </c>
      <c r="G591" s="1" t="s">
        <v>1224</v>
      </c>
      <c r="H591" s="1" t="s">
        <v>183</v>
      </c>
      <c r="I591" s="1" t="s">
        <v>31</v>
      </c>
      <c r="J591" s="1" t="s">
        <v>32</v>
      </c>
      <c r="K591" s="1" t="s">
        <v>47</v>
      </c>
      <c r="L591" s="1" t="s">
        <v>935</v>
      </c>
      <c r="M591">
        <v>3</v>
      </c>
      <c r="N591">
        <v>0.2</v>
      </c>
      <c r="O591">
        <v>5.4432</v>
      </c>
      <c r="P591">
        <v>15.552</v>
      </c>
      <c r="Q591">
        <v>10.108799999999999</v>
      </c>
    </row>
    <row r="592" spans="1:17" x14ac:dyDescent="0.25">
      <c r="A592" s="2">
        <v>42082</v>
      </c>
      <c r="B592" s="2">
        <v>42083</v>
      </c>
      <c r="C592" s="1" t="s">
        <v>107</v>
      </c>
      <c r="D592" s="1" t="s">
        <v>300</v>
      </c>
      <c r="E592" s="1" t="s">
        <v>28</v>
      </c>
      <c r="F592" s="1" t="s">
        <v>20</v>
      </c>
      <c r="G592" s="1" t="s">
        <v>50</v>
      </c>
      <c r="H592" s="1" t="s">
        <v>51</v>
      </c>
      <c r="I592" s="1" t="s">
        <v>31</v>
      </c>
      <c r="J592" s="1" t="s">
        <v>32</v>
      </c>
      <c r="K592" s="1" t="s">
        <v>64</v>
      </c>
      <c r="L592" s="1" t="s">
        <v>1225</v>
      </c>
      <c r="M592">
        <v>3</v>
      </c>
      <c r="N592">
        <v>0</v>
      </c>
      <c r="O592">
        <v>349.33920000000001</v>
      </c>
      <c r="P592">
        <v>1247.6400000000001</v>
      </c>
      <c r="Q592">
        <v>898.30080000000009</v>
      </c>
    </row>
    <row r="593" spans="1:17" x14ac:dyDescent="0.25">
      <c r="A593" s="2">
        <v>42273</v>
      </c>
      <c r="B593" s="2">
        <v>42276</v>
      </c>
      <c r="C593" s="1" t="s">
        <v>17</v>
      </c>
      <c r="D593" s="1" t="s">
        <v>625</v>
      </c>
      <c r="E593" s="1" t="s">
        <v>19</v>
      </c>
      <c r="F593" s="1" t="s">
        <v>20</v>
      </c>
      <c r="G593" s="1" t="s">
        <v>79</v>
      </c>
      <c r="H593" s="1" t="s">
        <v>80</v>
      </c>
      <c r="I593" s="1" t="s">
        <v>81</v>
      </c>
      <c r="J593" s="1" t="s">
        <v>32</v>
      </c>
      <c r="K593" s="1" t="s">
        <v>52</v>
      </c>
      <c r="L593" s="1" t="s">
        <v>1226</v>
      </c>
      <c r="M593">
        <v>6</v>
      </c>
      <c r="N593">
        <v>0.7</v>
      </c>
      <c r="O593">
        <v>-100.92</v>
      </c>
      <c r="P593">
        <v>121.104</v>
      </c>
      <c r="Q593">
        <v>222.024</v>
      </c>
    </row>
    <row r="594" spans="1:17" x14ac:dyDescent="0.25">
      <c r="A594" s="2">
        <v>41880</v>
      </c>
      <c r="B594" s="2">
        <v>41880</v>
      </c>
      <c r="C594" s="1" t="s">
        <v>434</v>
      </c>
      <c r="D594" s="1" t="s">
        <v>1227</v>
      </c>
      <c r="E594" s="1" t="s">
        <v>28</v>
      </c>
      <c r="F594" s="1" t="s">
        <v>20</v>
      </c>
      <c r="G594" s="1" t="s">
        <v>71</v>
      </c>
      <c r="H594" s="1" t="s">
        <v>30</v>
      </c>
      <c r="I594" s="1" t="s">
        <v>31</v>
      </c>
      <c r="J594" s="1" t="s">
        <v>32</v>
      </c>
      <c r="K594" s="1" t="s">
        <v>47</v>
      </c>
      <c r="L594" s="1" t="s">
        <v>1228</v>
      </c>
      <c r="M594">
        <v>2</v>
      </c>
      <c r="N594">
        <v>0</v>
      </c>
      <c r="O594">
        <v>53.860799999999998</v>
      </c>
      <c r="P594">
        <v>109.92</v>
      </c>
      <c r="Q594">
        <v>56.059200000000004</v>
      </c>
    </row>
    <row r="595" spans="1:17" x14ac:dyDescent="0.25">
      <c r="A595" s="2">
        <v>42855</v>
      </c>
      <c r="B595" s="2">
        <v>42861</v>
      </c>
      <c r="C595" s="1" t="s">
        <v>35</v>
      </c>
      <c r="D595" s="1" t="s">
        <v>1077</v>
      </c>
      <c r="E595" s="1" t="s">
        <v>28</v>
      </c>
      <c r="F595" s="1" t="s">
        <v>20</v>
      </c>
      <c r="G595" s="1" t="s">
        <v>79</v>
      </c>
      <c r="H595" s="1" t="s">
        <v>80</v>
      </c>
      <c r="I595" s="1" t="s">
        <v>81</v>
      </c>
      <c r="J595" s="1" t="s">
        <v>99</v>
      </c>
      <c r="K595" s="1" t="s">
        <v>100</v>
      </c>
      <c r="L595" s="1" t="s">
        <v>1229</v>
      </c>
      <c r="M595">
        <v>5</v>
      </c>
      <c r="N595">
        <v>0.4</v>
      </c>
      <c r="O595">
        <v>-158.102</v>
      </c>
      <c r="P595">
        <v>677.58</v>
      </c>
      <c r="Q595">
        <v>835.68200000000002</v>
      </c>
    </row>
    <row r="596" spans="1:17" x14ac:dyDescent="0.25">
      <c r="A596" s="2">
        <v>42014</v>
      </c>
      <c r="B596" s="2">
        <v>42019</v>
      </c>
      <c r="C596" s="1" t="s">
        <v>35</v>
      </c>
      <c r="D596" s="1" t="s">
        <v>1230</v>
      </c>
      <c r="E596" s="1" t="s">
        <v>19</v>
      </c>
      <c r="F596" s="1" t="s">
        <v>20</v>
      </c>
      <c r="G596" s="1" t="s">
        <v>126</v>
      </c>
      <c r="H596" s="1" t="s">
        <v>127</v>
      </c>
      <c r="I596" s="1" t="s">
        <v>81</v>
      </c>
      <c r="J596" s="1" t="s">
        <v>24</v>
      </c>
      <c r="K596" s="1" t="s">
        <v>39</v>
      </c>
      <c r="L596" s="1" t="s">
        <v>1231</v>
      </c>
      <c r="M596">
        <v>4</v>
      </c>
      <c r="N596">
        <v>0.4</v>
      </c>
      <c r="O596">
        <v>-373.3048</v>
      </c>
      <c r="P596">
        <v>1018.104</v>
      </c>
      <c r="Q596">
        <v>1391.4088000000002</v>
      </c>
    </row>
    <row r="597" spans="1:17" x14ac:dyDescent="0.25">
      <c r="A597" s="2">
        <v>42451</v>
      </c>
      <c r="B597" s="2">
        <v>42454</v>
      </c>
      <c r="C597" s="1" t="s">
        <v>107</v>
      </c>
      <c r="D597" s="1" t="s">
        <v>1232</v>
      </c>
      <c r="E597" s="1" t="s">
        <v>28</v>
      </c>
      <c r="F597" s="1" t="s">
        <v>20</v>
      </c>
      <c r="G597" s="1" t="s">
        <v>1233</v>
      </c>
      <c r="H597" s="1" t="s">
        <v>470</v>
      </c>
      <c r="I597" s="1" t="s">
        <v>31</v>
      </c>
      <c r="J597" s="1" t="s">
        <v>99</v>
      </c>
      <c r="K597" s="1" t="s">
        <v>111</v>
      </c>
      <c r="L597" s="1" t="s">
        <v>1234</v>
      </c>
      <c r="M597">
        <v>2</v>
      </c>
      <c r="N597">
        <v>0</v>
      </c>
      <c r="O597">
        <v>19.331399999999999</v>
      </c>
      <c r="P597">
        <v>58.58</v>
      </c>
      <c r="Q597">
        <v>39.248599999999996</v>
      </c>
    </row>
    <row r="598" spans="1:17" x14ac:dyDescent="0.25">
      <c r="A598" s="2">
        <v>41867</v>
      </c>
      <c r="B598" s="2">
        <v>41871</v>
      </c>
      <c r="C598" s="1" t="s">
        <v>35</v>
      </c>
      <c r="D598" s="1" t="s">
        <v>1235</v>
      </c>
      <c r="E598" s="1" t="s">
        <v>19</v>
      </c>
      <c r="F598" s="1" t="s">
        <v>20</v>
      </c>
      <c r="G598" s="1" t="s">
        <v>79</v>
      </c>
      <c r="H598" s="1" t="s">
        <v>80</v>
      </c>
      <c r="I598" s="1" t="s">
        <v>81</v>
      </c>
      <c r="J598" s="1" t="s">
        <v>24</v>
      </c>
      <c r="K598" s="1" t="s">
        <v>39</v>
      </c>
      <c r="L598" s="1" t="s">
        <v>529</v>
      </c>
      <c r="M598">
        <v>6</v>
      </c>
      <c r="N598">
        <v>0.4</v>
      </c>
      <c r="O598">
        <v>-227.49119999999999</v>
      </c>
      <c r="P598">
        <v>853.09199999999998</v>
      </c>
      <c r="Q598">
        <v>1080.5832</v>
      </c>
    </row>
    <row r="599" spans="1:17" x14ac:dyDescent="0.25">
      <c r="A599" s="2">
        <v>42547</v>
      </c>
      <c r="B599" s="2">
        <v>42550</v>
      </c>
      <c r="C599" s="1" t="s">
        <v>17</v>
      </c>
      <c r="D599" s="1" t="s">
        <v>1103</v>
      </c>
      <c r="E599" s="1" t="s">
        <v>55</v>
      </c>
      <c r="F599" s="1" t="s">
        <v>20</v>
      </c>
      <c r="G599" s="1" t="s">
        <v>1236</v>
      </c>
      <c r="H599" s="1" t="s">
        <v>57</v>
      </c>
      <c r="I599" s="1" t="s">
        <v>58</v>
      </c>
      <c r="J599" s="1" t="s">
        <v>99</v>
      </c>
      <c r="K599" s="1" t="s">
        <v>111</v>
      </c>
      <c r="L599" s="1" t="s">
        <v>1237</v>
      </c>
      <c r="M599">
        <v>2</v>
      </c>
      <c r="N599">
        <v>0.2</v>
      </c>
      <c r="O599">
        <v>3.5741999999999998</v>
      </c>
      <c r="P599">
        <v>13.616</v>
      </c>
      <c r="Q599">
        <v>10.0418</v>
      </c>
    </row>
    <row r="600" spans="1:17" x14ac:dyDescent="0.25">
      <c r="A600" s="2">
        <v>42198</v>
      </c>
      <c r="B600" s="2">
        <v>42200</v>
      </c>
      <c r="C600" s="1" t="s">
        <v>17</v>
      </c>
      <c r="D600" s="1" t="s">
        <v>1238</v>
      </c>
      <c r="E600" s="1" t="s">
        <v>19</v>
      </c>
      <c r="F600" s="1" t="s">
        <v>20</v>
      </c>
      <c r="G600" s="1" t="s">
        <v>126</v>
      </c>
      <c r="H600" s="1" t="s">
        <v>127</v>
      </c>
      <c r="I600" s="1" t="s">
        <v>81</v>
      </c>
      <c r="J600" s="1" t="s">
        <v>32</v>
      </c>
      <c r="K600" s="1" t="s">
        <v>52</v>
      </c>
      <c r="L600" s="1" t="s">
        <v>933</v>
      </c>
      <c r="M600">
        <v>2</v>
      </c>
      <c r="N600">
        <v>0.2</v>
      </c>
      <c r="O600">
        <v>4.2804000000000002</v>
      </c>
      <c r="P600">
        <v>11.808</v>
      </c>
      <c r="Q600">
        <v>7.5275999999999996</v>
      </c>
    </row>
    <row r="601" spans="1:17" x14ac:dyDescent="0.25">
      <c r="A601" s="2">
        <v>42437</v>
      </c>
      <c r="B601" s="2">
        <v>42437</v>
      </c>
      <c r="C601" s="1" t="s">
        <v>434</v>
      </c>
      <c r="D601" s="1" t="s">
        <v>1039</v>
      </c>
      <c r="E601" s="1" t="s">
        <v>19</v>
      </c>
      <c r="F601" s="1" t="s">
        <v>20</v>
      </c>
      <c r="G601" s="1" t="s">
        <v>1153</v>
      </c>
      <c r="H601" s="1" t="s">
        <v>140</v>
      </c>
      <c r="I601" s="1" t="s">
        <v>31</v>
      </c>
      <c r="J601" s="1" t="s">
        <v>32</v>
      </c>
      <c r="K601" s="1" t="s">
        <v>52</v>
      </c>
      <c r="L601" s="1" t="s">
        <v>1239</v>
      </c>
      <c r="M601">
        <v>3</v>
      </c>
      <c r="N601">
        <v>0.7</v>
      </c>
      <c r="O601">
        <v>-7.1147999999999998</v>
      </c>
      <c r="P601">
        <v>9.702</v>
      </c>
      <c r="Q601">
        <v>16.816800000000001</v>
      </c>
    </row>
    <row r="602" spans="1:17" x14ac:dyDescent="0.25">
      <c r="A602" s="2">
        <v>42034</v>
      </c>
      <c r="B602" s="2">
        <v>42039</v>
      </c>
      <c r="C602" s="1" t="s">
        <v>35</v>
      </c>
      <c r="D602" s="1" t="s">
        <v>538</v>
      </c>
      <c r="E602" s="1" t="s">
        <v>19</v>
      </c>
      <c r="F602" s="1" t="s">
        <v>20</v>
      </c>
      <c r="G602" s="1" t="s">
        <v>91</v>
      </c>
      <c r="H602" s="1" t="s">
        <v>57</v>
      </c>
      <c r="I602" s="1" t="s">
        <v>58</v>
      </c>
      <c r="J602" s="1" t="s">
        <v>32</v>
      </c>
      <c r="K602" s="1" t="s">
        <v>47</v>
      </c>
      <c r="L602" s="1" t="s">
        <v>1240</v>
      </c>
      <c r="M602">
        <v>6</v>
      </c>
      <c r="N602">
        <v>0.2</v>
      </c>
      <c r="O602">
        <v>5.0064000000000002</v>
      </c>
      <c r="P602">
        <v>14.304</v>
      </c>
      <c r="Q602">
        <v>9.2975999999999992</v>
      </c>
    </row>
    <row r="603" spans="1:17" x14ac:dyDescent="0.25">
      <c r="A603" s="2">
        <v>43015</v>
      </c>
      <c r="B603" s="2">
        <v>43021</v>
      </c>
      <c r="C603" s="1" t="s">
        <v>35</v>
      </c>
      <c r="D603" s="1" t="s">
        <v>760</v>
      </c>
      <c r="E603" s="1" t="s">
        <v>19</v>
      </c>
      <c r="F603" s="1" t="s">
        <v>20</v>
      </c>
      <c r="G603" s="1" t="s">
        <v>71</v>
      </c>
      <c r="H603" s="1" t="s">
        <v>30</v>
      </c>
      <c r="I603" s="1" t="s">
        <v>31</v>
      </c>
      <c r="J603" s="1" t="s">
        <v>24</v>
      </c>
      <c r="K603" s="1" t="s">
        <v>25</v>
      </c>
      <c r="L603" s="1" t="s">
        <v>1241</v>
      </c>
      <c r="M603">
        <v>2</v>
      </c>
      <c r="N603">
        <v>0.15</v>
      </c>
      <c r="O603">
        <v>-14.478400000000001</v>
      </c>
      <c r="P603">
        <v>307.666</v>
      </c>
      <c r="Q603">
        <v>322.14440000000002</v>
      </c>
    </row>
    <row r="604" spans="1:17" x14ac:dyDescent="0.25">
      <c r="A604" s="2">
        <v>42490</v>
      </c>
      <c r="B604" s="2">
        <v>42494</v>
      </c>
      <c r="C604" s="1" t="s">
        <v>35</v>
      </c>
      <c r="D604" s="1" t="s">
        <v>675</v>
      </c>
      <c r="E604" s="1" t="s">
        <v>19</v>
      </c>
      <c r="F604" s="1" t="s">
        <v>20</v>
      </c>
      <c r="G604" s="1" t="s">
        <v>126</v>
      </c>
      <c r="H604" s="1" t="s">
        <v>127</v>
      </c>
      <c r="I604" s="1" t="s">
        <v>81</v>
      </c>
      <c r="J604" s="1" t="s">
        <v>32</v>
      </c>
      <c r="K604" s="1" t="s">
        <v>52</v>
      </c>
      <c r="L604" s="1" t="s">
        <v>415</v>
      </c>
      <c r="M604">
        <v>2</v>
      </c>
      <c r="N604">
        <v>0.2</v>
      </c>
      <c r="O604">
        <v>2.7955999999999999</v>
      </c>
      <c r="P604">
        <v>7.7119999999999997</v>
      </c>
      <c r="Q604">
        <v>4.9163999999999994</v>
      </c>
    </row>
    <row r="605" spans="1:17" x14ac:dyDescent="0.25">
      <c r="A605" s="2">
        <v>42358</v>
      </c>
      <c r="B605" s="2">
        <v>42363</v>
      </c>
      <c r="C605" s="1" t="s">
        <v>35</v>
      </c>
      <c r="D605" s="1" t="s">
        <v>187</v>
      </c>
      <c r="E605" s="1" t="s">
        <v>19</v>
      </c>
      <c r="F605" s="1" t="s">
        <v>20</v>
      </c>
      <c r="G605" s="1" t="s">
        <v>136</v>
      </c>
      <c r="H605" s="1" t="s">
        <v>98</v>
      </c>
      <c r="I605" s="1" t="s">
        <v>58</v>
      </c>
      <c r="J605" s="1" t="s">
        <v>99</v>
      </c>
      <c r="K605" s="1" t="s">
        <v>100</v>
      </c>
      <c r="L605" s="1" t="s">
        <v>991</v>
      </c>
      <c r="M605">
        <v>2</v>
      </c>
      <c r="N605">
        <v>0.2</v>
      </c>
      <c r="O605">
        <v>11.998799999999999</v>
      </c>
      <c r="P605">
        <v>159.98400000000001</v>
      </c>
      <c r="Q605">
        <v>147.98520000000002</v>
      </c>
    </row>
    <row r="606" spans="1:17" x14ac:dyDescent="0.25">
      <c r="A606" s="2">
        <v>42357</v>
      </c>
      <c r="B606" s="2">
        <v>42358</v>
      </c>
      <c r="C606" s="1" t="s">
        <v>107</v>
      </c>
      <c r="D606" s="1" t="s">
        <v>718</v>
      </c>
      <c r="E606" s="1" t="s">
        <v>19</v>
      </c>
      <c r="F606" s="1" t="s">
        <v>20</v>
      </c>
      <c r="G606" s="1" t="s">
        <v>79</v>
      </c>
      <c r="H606" s="1" t="s">
        <v>80</v>
      </c>
      <c r="I606" s="1" t="s">
        <v>81</v>
      </c>
      <c r="J606" s="1" t="s">
        <v>32</v>
      </c>
      <c r="K606" s="1" t="s">
        <v>59</v>
      </c>
      <c r="L606" s="1" t="s">
        <v>1242</v>
      </c>
      <c r="M606">
        <v>3</v>
      </c>
      <c r="N606">
        <v>0.2</v>
      </c>
      <c r="O606">
        <v>43.435200000000002</v>
      </c>
      <c r="P606">
        <v>434.35199999999998</v>
      </c>
      <c r="Q606">
        <v>390.91679999999997</v>
      </c>
    </row>
    <row r="607" spans="1:17" x14ac:dyDescent="0.25">
      <c r="A607" s="2">
        <v>42854</v>
      </c>
      <c r="B607" s="2">
        <v>42859</v>
      </c>
      <c r="C607" s="1" t="s">
        <v>17</v>
      </c>
      <c r="D607" s="1" t="s">
        <v>1243</v>
      </c>
      <c r="E607" s="1" t="s">
        <v>28</v>
      </c>
      <c r="F607" s="1" t="s">
        <v>20</v>
      </c>
      <c r="G607" s="1" t="s">
        <v>327</v>
      </c>
      <c r="H607" s="1" t="s">
        <v>214</v>
      </c>
      <c r="I607" s="1" t="s">
        <v>81</v>
      </c>
      <c r="J607" s="1" t="s">
        <v>24</v>
      </c>
      <c r="K607" s="1" t="s">
        <v>39</v>
      </c>
      <c r="L607" s="1" t="s">
        <v>1244</v>
      </c>
      <c r="M607">
        <v>5</v>
      </c>
      <c r="N607">
        <v>0.4</v>
      </c>
      <c r="O607">
        <v>-69.89</v>
      </c>
      <c r="P607">
        <v>1048.3499999999999</v>
      </c>
      <c r="Q607">
        <v>1118.24</v>
      </c>
    </row>
    <row r="608" spans="1:17" x14ac:dyDescent="0.25">
      <c r="A608" s="2">
        <v>42407</v>
      </c>
      <c r="B608" s="2">
        <v>42407</v>
      </c>
      <c r="C608" s="1" t="s">
        <v>434</v>
      </c>
      <c r="D608" s="1" t="s">
        <v>658</v>
      </c>
      <c r="E608" s="1" t="s">
        <v>19</v>
      </c>
      <c r="F608" s="1" t="s">
        <v>20</v>
      </c>
      <c r="G608" s="1" t="s">
        <v>143</v>
      </c>
      <c r="H608" s="1" t="s">
        <v>144</v>
      </c>
      <c r="I608" s="1" t="s">
        <v>23</v>
      </c>
      <c r="J608" s="1" t="s">
        <v>99</v>
      </c>
      <c r="K608" s="1" t="s">
        <v>111</v>
      </c>
      <c r="L608" s="1" t="s">
        <v>1245</v>
      </c>
      <c r="M608">
        <v>4</v>
      </c>
      <c r="N608">
        <v>0</v>
      </c>
      <c r="O608">
        <v>21</v>
      </c>
      <c r="P608">
        <v>100</v>
      </c>
      <c r="Q608">
        <v>79</v>
      </c>
    </row>
    <row r="609" spans="1:17" x14ac:dyDescent="0.25">
      <c r="A609" s="2">
        <v>42561</v>
      </c>
      <c r="B609" s="2">
        <v>42565</v>
      </c>
      <c r="C609" s="1" t="s">
        <v>35</v>
      </c>
      <c r="D609" s="1" t="s">
        <v>342</v>
      </c>
      <c r="E609" s="1" t="s">
        <v>19</v>
      </c>
      <c r="F609" s="1" t="s">
        <v>20</v>
      </c>
      <c r="G609" s="1" t="s">
        <v>309</v>
      </c>
      <c r="H609" s="1" t="s">
        <v>57</v>
      </c>
      <c r="I609" s="1" t="s">
        <v>58</v>
      </c>
      <c r="J609" s="1" t="s">
        <v>32</v>
      </c>
      <c r="K609" s="1" t="s">
        <v>64</v>
      </c>
      <c r="L609" s="1" t="s">
        <v>1246</v>
      </c>
      <c r="M609">
        <v>3</v>
      </c>
      <c r="N609">
        <v>0.2</v>
      </c>
      <c r="O609">
        <v>-33.804000000000002</v>
      </c>
      <c r="P609">
        <v>338.04</v>
      </c>
      <c r="Q609">
        <v>371.84400000000005</v>
      </c>
    </row>
    <row r="610" spans="1:17" x14ac:dyDescent="0.25">
      <c r="A610" s="2">
        <v>42945</v>
      </c>
      <c r="B610" s="2">
        <v>42948</v>
      </c>
      <c r="C610" s="1" t="s">
        <v>17</v>
      </c>
      <c r="D610" s="1" t="s">
        <v>478</v>
      </c>
      <c r="E610" s="1" t="s">
        <v>19</v>
      </c>
      <c r="F610" s="1" t="s">
        <v>20</v>
      </c>
      <c r="G610" s="1" t="s">
        <v>516</v>
      </c>
      <c r="H610" s="1" t="s">
        <v>46</v>
      </c>
      <c r="I610" s="1" t="s">
        <v>23</v>
      </c>
      <c r="J610" s="1" t="s">
        <v>32</v>
      </c>
      <c r="K610" s="1" t="s">
        <v>59</v>
      </c>
      <c r="L610" s="1" t="s">
        <v>1247</v>
      </c>
      <c r="M610">
        <v>2</v>
      </c>
      <c r="N610">
        <v>0.2</v>
      </c>
      <c r="O610">
        <v>6.5339999999999998</v>
      </c>
      <c r="P610">
        <v>34.847999999999999</v>
      </c>
      <c r="Q610">
        <v>28.314</v>
      </c>
    </row>
    <row r="611" spans="1:17" x14ac:dyDescent="0.25">
      <c r="A611" s="2">
        <v>42250</v>
      </c>
      <c r="B611" s="2">
        <v>42256</v>
      </c>
      <c r="C611" s="1" t="s">
        <v>35</v>
      </c>
      <c r="D611" s="1" t="s">
        <v>787</v>
      </c>
      <c r="E611" s="1" t="s">
        <v>28</v>
      </c>
      <c r="F611" s="1" t="s">
        <v>20</v>
      </c>
      <c r="G611" s="1" t="s">
        <v>71</v>
      </c>
      <c r="H611" s="1" t="s">
        <v>30</v>
      </c>
      <c r="I611" s="1" t="s">
        <v>31</v>
      </c>
      <c r="J611" s="1" t="s">
        <v>32</v>
      </c>
      <c r="K611" s="1" t="s">
        <v>64</v>
      </c>
      <c r="L611" s="1" t="s">
        <v>595</v>
      </c>
      <c r="M611">
        <v>3</v>
      </c>
      <c r="N611">
        <v>0</v>
      </c>
      <c r="O611">
        <v>8.4887999999999995</v>
      </c>
      <c r="P611">
        <v>31.44</v>
      </c>
      <c r="Q611">
        <v>22.9512</v>
      </c>
    </row>
    <row r="612" spans="1:17" x14ac:dyDescent="0.25">
      <c r="A612" s="2">
        <v>41796</v>
      </c>
      <c r="B612" s="2">
        <v>41799</v>
      </c>
      <c r="C612" s="1" t="s">
        <v>107</v>
      </c>
      <c r="D612" s="1" t="s">
        <v>774</v>
      </c>
      <c r="E612" s="1" t="s">
        <v>19</v>
      </c>
      <c r="F612" s="1" t="s">
        <v>20</v>
      </c>
      <c r="G612" s="1" t="s">
        <v>172</v>
      </c>
      <c r="H612" s="1" t="s">
        <v>127</v>
      </c>
      <c r="I612" s="1" t="s">
        <v>81</v>
      </c>
      <c r="J612" s="1" t="s">
        <v>32</v>
      </c>
      <c r="K612" s="1" t="s">
        <v>72</v>
      </c>
      <c r="L612" s="1" t="s">
        <v>1248</v>
      </c>
      <c r="M612">
        <v>2</v>
      </c>
      <c r="N612">
        <v>0</v>
      </c>
      <c r="O612">
        <v>4.9432</v>
      </c>
      <c r="P612">
        <v>13.36</v>
      </c>
      <c r="Q612">
        <v>8.4167999999999985</v>
      </c>
    </row>
    <row r="613" spans="1:17" x14ac:dyDescent="0.25">
      <c r="A613" s="2">
        <v>42595</v>
      </c>
      <c r="B613" s="2">
        <v>42599</v>
      </c>
      <c r="C613" s="1" t="s">
        <v>17</v>
      </c>
      <c r="D613" s="1" t="s">
        <v>1249</v>
      </c>
      <c r="E613" s="1" t="s">
        <v>19</v>
      </c>
      <c r="F613" s="1" t="s">
        <v>20</v>
      </c>
      <c r="G613" s="1" t="s">
        <v>516</v>
      </c>
      <c r="H613" s="1" t="s">
        <v>46</v>
      </c>
      <c r="I613" s="1" t="s">
        <v>23</v>
      </c>
      <c r="J613" s="1" t="s">
        <v>32</v>
      </c>
      <c r="K613" s="1" t="s">
        <v>52</v>
      </c>
      <c r="L613" s="1" t="s">
        <v>1250</v>
      </c>
      <c r="M613">
        <v>8</v>
      </c>
      <c r="N613">
        <v>0.7</v>
      </c>
      <c r="O613">
        <v>-8.2368000000000006</v>
      </c>
      <c r="P613">
        <v>11.231999999999999</v>
      </c>
      <c r="Q613">
        <v>19.468800000000002</v>
      </c>
    </row>
    <row r="614" spans="1:17" x14ac:dyDescent="0.25">
      <c r="A614" s="2">
        <v>41754</v>
      </c>
      <c r="B614" s="2">
        <v>41758</v>
      </c>
      <c r="C614" s="1" t="s">
        <v>35</v>
      </c>
      <c r="D614" s="1" t="s">
        <v>1251</v>
      </c>
      <c r="E614" s="1" t="s">
        <v>55</v>
      </c>
      <c r="F614" s="1" t="s">
        <v>20</v>
      </c>
      <c r="G614" s="1" t="s">
        <v>91</v>
      </c>
      <c r="H614" s="1" t="s">
        <v>57</v>
      </c>
      <c r="I614" s="1" t="s">
        <v>58</v>
      </c>
      <c r="J614" s="1" t="s">
        <v>32</v>
      </c>
      <c r="K614" s="1" t="s">
        <v>47</v>
      </c>
      <c r="L614" s="1" t="s">
        <v>875</v>
      </c>
      <c r="M614">
        <v>2</v>
      </c>
      <c r="N614">
        <v>0.2</v>
      </c>
      <c r="O614">
        <v>3.6288</v>
      </c>
      <c r="P614">
        <v>10.368</v>
      </c>
      <c r="Q614">
        <v>6.7392000000000003</v>
      </c>
    </row>
    <row r="615" spans="1:17" x14ac:dyDescent="0.25">
      <c r="A615" s="2">
        <v>41770</v>
      </c>
      <c r="B615" s="2">
        <v>41776</v>
      </c>
      <c r="C615" s="1" t="s">
        <v>35</v>
      </c>
      <c r="D615" s="1" t="s">
        <v>1252</v>
      </c>
      <c r="E615" s="1" t="s">
        <v>19</v>
      </c>
      <c r="F615" s="1" t="s">
        <v>20</v>
      </c>
      <c r="G615" s="1" t="s">
        <v>91</v>
      </c>
      <c r="H615" s="1" t="s">
        <v>57</v>
      </c>
      <c r="I615" s="1" t="s">
        <v>58</v>
      </c>
      <c r="J615" s="1" t="s">
        <v>99</v>
      </c>
      <c r="K615" s="1" t="s">
        <v>111</v>
      </c>
      <c r="L615" s="1" t="s">
        <v>1234</v>
      </c>
      <c r="M615">
        <v>2</v>
      </c>
      <c r="N615">
        <v>0.2</v>
      </c>
      <c r="O615">
        <v>7.6154000000000002</v>
      </c>
      <c r="P615">
        <v>46.863999999999997</v>
      </c>
      <c r="Q615">
        <v>39.248599999999996</v>
      </c>
    </row>
    <row r="616" spans="1:17" x14ac:dyDescent="0.25">
      <c r="A616" s="2">
        <v>41644</v>
      </c>
      <c r="B616" s="2">
        <v>41651</v>
      </c>
      <c r="C616" s="1" t="s">
        <v>35</v>
      </c>
      <c r="D616" s="1" t="s">
        <v>1151</v>
      </c>
      <c r="E616" s="1" t="s">
        <v>19</v>
      </c>
      <c r="F616" s="1" t="s">
        <v>20</v>
      </c>
      <c r="G616" s="1" t="s">
        <v>79</v>
      </c>
      <c r="H616" s="1" t="s">
        <v>80</v>
      </c>
      <c r="I616" s="1" t="s">
        <v>81</v>
      </c>
      <c r="J616" s="1" t="s">
        <v>32</v>
      </c>
      <c r="K616" s="1" t="s">
        <v>72</v>
      </c>
      <c r="L616" s="1" t="s">
        <v>484</v>
      </c>
      <c r="M616">
        <v>3</v>
      </c>
      <c r="N616">
        <v>0.2</v>
      </c>
      <c r="O616">
        <v>4.8840000000000003</v>
      </c>
      <c r="P616">
        <v>19.536000000000001</v>
      </c>
      <c r="Q616">
        <v>14.652000000000001</v>
      </c>
    </row>
    <row r="617" spans="1:17" x14ac:dyDescent="0.25">
      <c r="A617" s="2">
        <v>42586</v>
      </c>
      <c r="B617" s="2">
        <v>42590</v>
      </c>
      <c r="C617" s="1" t="s">
        <v>35</v>
      </c>
      <c r="D617" s="1" t="s">
        <v>1253</v>
      </c>
      <c r="E617" s="1" t="s">
        <v>55</v>
      </c>
      <c r="F617" s="1" t="s">
        <v>20</v>
      </c>
      <c r="G617" s="1" t="s">
        <v>1254</v>
      </c>
      <c r="H617" s="1" t="s">
        <v>144</v>
      </c>
      <c r="I617" s="1" t="s">
        <v>23</v>
      </c>
      <c r="J617" s="1" t="s">
        <v>32</v>
      </c>
      <c r="K617" s="1" t="s">
        <v>476</v>
      </c>
      <c r="L617" s="1" t="s">
        <v>477</v>
      </c>
      <c r="M617">
        <v>2</v>
      </c>
      <c r="N617">
        <v>0</v>
      </c>
      <c r="O617">
        <v>10.518000000000001</v>
      </c>
      <c r="P617">
        <v>35.06</v>
      </c>
      <c r="Q617">
        <v>24.542000000000002</v>
      </c>
    </row>
    <row r="618" spans="1:17" x14ac:dyDescent="0.25">
      <c r="A618" s="2">
        <v>41720</v>
      </c>
      <c r="B618" s="2">
        <v>41724</v>
      </c>
      <c r="C618" s="1" t="s">
        <v>35</v>
      </c>
      <c r="D618" s="1" t="s">
        <v>1255</v>
      </c>
      <c r="E618" s="1" t="s">
        <v>19</v>
      </c>
      <c r="F618" s="1" t="s">
        <v>20</v>
      </c>
      <c r="G618" s="1" t="s">
        <v>1256</v>
      </c>
      <c r="H618" s="1" t="s">
        <v>46</v>
      </c>
      <c r="I618" s="1" t="s">
        <v>23</v>
      </c>
      <c r="J618" s="1" t="s">
        <v>32</v>
      </c>
      <c r="K618" s="1" t="s">
        <v>52</v>
      </c>
      <c r="L618" s="1" t="s">
        <v>124</v>
      </c>
      <c r="M618">
        <v>4</v>
      </c>
      <c r="N618">
        <v>0.7</v>
      </c>
      <c r="O618">
        <v>-5.8604000000000003</v>
      </c>
      <c r="P618">
        <v>7.6440000000000001</v>
      </c>
      <c r="Q618">
        <v>13.5044</v>
      </c>
    </row>
    <row r="619" spans="1:17" x14ac:dyDescent="0.25">
      <c r="A619" s="2">
        <v>41757</v>
      </c>
      <c r="B619" s="2">
        <v>41762</v>
      </c>
      <c r="C619" s="1" t="s">
        <v>35</v>
      </c>
      <c r="D619" s="1" t="s">
        <v>1206</v>
      </c>
      <c r="E619" s="1" t="s">
        <v>28</v>
      </c>
      <c r="F619" s="1" t="s">
        <v>20</v>
      </c>
      <c r="G619" s="1" t="s">
        <v>1257</v>
      </c>
      <c r="H619" s="1" t="s">
        <v>1024</v>
      </c>
      <c r="I619" s="1" t="s">
        <v>81</v>
      </c>
      <c r="J619" s="1" t="s">
        <v>32</v>
      </c>
      <c r="K619" s="1" t="s">
        <v>52</v>
      </c>
      <c r="L619" s="1" t="s">
        <v>1258</v>
      </c>
      <c r="M619">
        <v>2</v>
      </c>
      <c r="N619">
        <v>0</v>
      </c>
      <c r="O619">
        <v>9.3870000000000005</v>
      </c>
      <c r="P619">
        <v>20.86</v>
      </c>
      <c r="Q619">
        <v>11.472999999999999</v>
      </c>
    </row>
    <row r="620" spans="1:17" x14ac:dyDescent="0.25">
      <c r="A620" s="2">
        <v>42332</v>
      </c>
      <c r="B620" s="2">
        <v>42336</v>
      </c>
      <c r="C620" s="1" t="s">
        <v>35</v>
      </c>
      <c r="D620" s="1" t="s">
        <v>121</v>
      </c>
      <c r="E620" s="1" t="s">
        <v>19</v>
      </c>
      <c r="F620" s="1" t="s">
        <v>20</v>
      </c>
      <c r="G620" s="1" t="s">
        <v>29</v>
      </c>
      <c r="H620" s="1" t="s">
        <v>30</v>
      </c>
      <c r="I620" s="1" t="s">
        <v>31</v>
      </c>
      <c r="J620" s="1" t="s">
        <v>32</v>
      </c>
      <c r="K620" s="1" t="s">
        <v>47</v>
      </c>
      <c r="L620" s="1" t="s">
        <v>1259</v>
      </c>
      <c r="M620">
        <v>9</v>
      </c>
      <c r="N620">
        <v>0</v>
      </c>
      <c r="O620">
        <v>180.76589999999999</v>
      </c>
      <c r="P620">
        <v>368.91</v>
      </c>
      <c r="Q620">
        <v>188.14410000000004</v>
      </c>
    </row>
    <row r="621" spans="1:17" x14ac:dyDescent="0.25">
      <c r="A621" s="2">
        <v>42685</v>
      </c>
      <c r="B621" s="2">
        <v>42690</v>
      </c>
      <c r="C621" s="1" t="s">
        <v>35</v>
      </c>
      <c r="D621" s="1" t="s">
        <v>1061</v>
      </c>
      <c r="E621" s="1" t="s">
        <v>19</v>
      </c>
      <c r="F621" s="1" t="s">
        <v>20</v>
      </c>
      <c r="G621" s="1" t="s">
        <v>126</v>
      </c>
      <c r="H621" s="1" t="s">
        <v>127</v>
      </c>
      <c r="I621" s="1" t="s">
        <v>81</v>
      </c>
      <c r="J621" s="1" t="s">
        <v>99</v>
      </c>
      <c r="K621" s="1" t="s">
        <v>111</v>
      </c>
      <c r="L621" s="1" t="s">
        <v>1260</v>
      </c>
      <c r="M621">
        <v>3</v>
      </c>
      <c r="N621">
        <v>0</v>
      </c>
      <c r="O621">
        <v>14.9925</v>
      </c>
      <c r="P621">
        <v>59.97</v>
      </c>
      <c r="Q621">
        <v>44.977499999999999</v>
      </c>
    </row>
    <row r="622" spans="1:17" x14ac:dyDescent="0.25">
      <c r="A622" s="2">
        <v>42194</v>
      </c>
      <c r="B622" s="2">
        <v>42198</v>
      </c>
      <c r="C622" s="1" t="s">
        <v>35</v>
      </c>
      <c r="D622" s="1" t="s">
        <v>1003</v>
      </c>
      <c r="E622" s="1" t="s">
        <v>28</v>
      </c>
      <c r="F622" s="1" t="s">
        <v>20</v>
      </c>
      <c r="G622" s="1" t="s">
        <v>243</v>
      </c>
      <c r="H622" s="1" t="s">
        <v>423</v>
      </c>
      <c r="I622" s="1" t="s">
        <v>81</v>
      </c>
      <c r="J622" s="1" t="s">
        <v>32</v>
      </c>
      <c r="K622" s="1" t="s">
        <v>47</v>
      </c>
      <c r="L622" s="1" t="s">
        <v>1261</v>
      </c>
      <c r="M622">
        <v>2</v>
      </c>
      <c r="N622">
        <v>0</v>
      </c>
      <c r="O622">
        <v>3.0268000000000002</v>
      </c>
      <c r="P622">
        <v>6.58</v>
      </c>
      <c r="Q622">
        <v>3.5531999999999999</v>
      </c>
    </row>
    <row r="623" spans="1:17" x14ac:dyDescent="0.25">
      <c r="A623" s="2">
        <v>42050</v>
      </c>
      <c r="B623" s="2">
        <v>42054</v>
      </c>
      <c r="C623" s="1" t="s">
        <v>35</v>
      </c>
      <c r="D623" s="1" t="s">
        <v>1262</v>
      </c>
      <c r="E623" s="1" t="s">
        <v>28</v>
      </c>
      <c r="F623" s="1" t="s">
        <v>20</v>
      </c>
      <c r="G623" s="1" t="s">
        <v>1263</v>
      </c>
      <c r="H623" s="1" t="s">
        <v>63</v>
      </c>
      <c r="I623" s="1" t="s">
        <v>58</v>
      </c>
      <c r="J623" s="1" t="s">
        <v>99</v>
      </c>
      <c r="K623" s="1" t="s">
        <v>100</v>
      </c>
      <c r="L623" s="1" t="s">
        <v>1264</v>
      </c>
      <c r="M623">
        <v>3</v>
      </c>
      <c r="N623">
        <v>0</v>
      </c>
      <c r="O623">
        <v>64.785600000000002</v>
      </c>
      <c r="P623">
        <v>134.97</v>
      </c>
      <c r="Q623">
        <v>70.184399999999997</v>
      </c>
    </row>
    <row r="624" spans="1:17" x14ac:dyDescent="0.25">
      <c r="A624" s="2">
        <v>41912</v>
      </c>
      <c r="B624" s="2">
        <v>41916</v>
      </c>
      <c r="C624" s="1" t="s">
        <v>35</v>
      </c>
      <c r="D624" s="1" t="s">
        <v>796</v>
      </c>
      <c r="E624" s="1" t="s">
        <v>19</v>
      </c>
      <c r="F624" s="1" t="s">
        <v>20</v>
      </c>
      <c r="G624" s="1" t="s">
        <v>126</v>
      </c>
      <c r="H624" s="1" t="s">
        <v>127</v>
      </c>
      <c r="I624" s="1" t="s">
        <v>81</v>
      </c>
      <c r="J624" s="1" t="s">
        <v>32</v>
      </c>
      <c r="K624" s="1" t="s">
        <v>47</v>
      </c>
      <c r="L624" s="1" t="s">
        <v>736</v>
      </c>
      <c r="M624">
        <v>1</v>
      </c>
      <c r="N624">
        <v>0</v>
      </c>
      <c r="O624">
        <v>24.47</v>
      </c>
      <c r="P624">
        <v>48.94</v>
      </c>
      <c r="Q624">
        <v>24.47</v>
      </c>
    </row>
    <row r="625" spans="1:17" x14ac:dyDescent="0.25">
      <c r="A625" s="2">
        <v>41981</v>
      </c>
      <c r="B625" s="2">
        <v>41986</v>
      </c>
      <c r="C625" s="1" t="s">
        <v>35</v>
      </c>
      <c r="D625" s="1" t="s">
        <v>1265</v>
      </c>
      <c r="E625" s="1" t="s">
        <v>28</v>
      </c>
      <c r="F625" s="1" t="s">
        <v>20</v>
      </c>
      <c r="G625" s="1" t="s">
        <v>91</v>
      </c>
      <c r="H625" s="1" t="s">
        <v>57</v>
      </c>
      <c r="I625" s="1" t="s">
        <v>58</v>
      </c>
      <c r="J625" s="1" t="s">
        <v>32</v>
      </c>
      <c r="K625" s="1" t="s">
        <v>64</v>
      </c>
      <c r="L625" s="1" t="s">
        <v>1266</v>
      </c>
      <c r="M625">
        <v>2</v>
      </c>
      <c r="N625">
        <v>0.2</v>
      </c>
      <c r="O625">
        <v>6.0415999999999999</v>
      </c>
      <c r="P625">
        <v>60.415999999999997</v>
      </c>
      <c r="Q625">
        <v>54.374399999999994</v>
      </c>
    </row>
    <row r="626" spans="1:17" x14ac:dyDescent="0.25">
      <c r="A626" s="2">
        <v>42974</v>
      </c>
      <c r="B626" s="2">
        <v>42977</v>
      </c>
      <c r="C626" s="1" t="s">
        <v>107</v>
      </c>
      <c r="D626" s="1" t="s">
        <v>739</v>
      </c>
      <c r="E626" s="1" t="s">
        <v>55</v>
      </c>
      <c r="F626" s="1" t="s">
        <v>20</v>
      </c>
      <c r="G626" s="1" t="s">
        <v>126</v>
      </c>
      <c r="H626" s="1" t="s">
        <v>127</v>
      </c>
      <c r="I626" s="1" t="s">
        <v>81</v>
      </c>
      <c r="J626" s="1" t="s">
        <v>32</v>
      </c>
      <c r="K626" s="1" t="s">
        <v>64</v>
      </c>
      <c r="L626" s="1" t="s">
        <v>1267</v>
      </c>
      <c r="M626">
        <v>8</v>
      </c>
      <c r="N626">
        <v>0</v>
      </c>
      <c r="O626">
        <v>16.598400000000002</v>
      </c>
      <c r="P626">
        <v>63.84</v>
      </c>
      <c r="Q626">
        <v>47.241600000000005</v>
      </c>
    </row>
    <row r="627" spans="1:17" x14ac:dyDescent="0.25">
      <c r="A627" s="2">
        <v>42558</v>
      </c>
      <c r="B627" s="2">
        <v>42562</v>
      </c>
      <c r="C627" s="1" t="s">
        <v>35</v>
      </c>
      <c r="D627" s="1" t="s">
        <v>1252</v>
      </c>
      <c r="E627" s="1" t="s">
        <v>19</v>
      </c>
      <c r="F627" s="1" t="s">
        <v>20</v>
      </c>
      <c r="G627" s="1" t="s">
        <v>249</v>
      </c>
      <c r="H627" s="1" t="s">
        <v>30</v>
      </c>
      <c r="I627" s="1" t="s">
        <v>31</v>
      </c>
      <c r="J627" s="1" t="s">
        <v>24</v>
      </c>
      <c r="K627" s="1" t="s">
        <v>42</v>
      </c>
      <c r="L627" s="1" t="s">
        <v>612</v>
      </c>
      <c r="M627">
        <v>5</v>
      </c>
      <c r="N627">
        <v>0</v>
      </c>
      <c r="O627">
        <v>73.320999999999998</v>
      </c>
      <c r="P627">
        <v>215.65</v>
      </c>
      <c r="Q627">
        <v>142.32900000000001</v>
      </c>
    </row>
    <row r="628" spans="1:17" x14ac:dyDescent="0.25">
      <c r="A628" s="2">
        <v>42590</v>
      </c>
      <c r="B628" s="2">
        <v>42592</v>
      </c>
      <c r="C628" s="1" t="s">
        <v>17</v>
      </c>
      <c r="D628" s="1" t="s">
        <v>1268</v>
      </c>
      <c r="E628" s="1" t="s">
        <v>19</v>
      </c>
      <c r="F628" s="1" t="s">
        <v>20</v>
      </c>
      <c r="G628" s="1" t="s">
        <v>309</v>
      </c>
      <c r="H628" s="1" t="s">
        <v>57</v>
      </c>
      <c r="I628" s="1" t="s">
        <v>58</v>
      </c>
      <c r="J628" s="1" t="s">
        <v>32</v>
      </c>
      <c r="K628" s="1" t="s">
        <v>128</v>
      </c>
      <c r="L628" s="1" t="s">
        <v>328</v>
      </c>
      <c r="M628">
        <v>4</v>
      </c>
      <c r="N628">
        <v>0.2</v>
      </c>
      <c r="O628">
        <v>3.6295999999999999</v>
      </c>
      <c r="P628">
        <v>11.167999999999999</v>
      </c>
      <c r="Q628">
        <v>7.5383999999999993</v>
      </c>
    </row>
    <row r="629" spans="1:17" x14ac:dyDescent="0.25">
      <c r="A629" s="2">
        <v>42411</v>
      </c>
      <c r="B629" s="2">
        <v>42413</v>
      </c>
      <c r="C629" s="1" t="s">
        <v>107</v>
      </c>
      <c r="D629" s="1" t="s">
        <v>1269</v>
      </c>
      <c r="E629" s="1" t="s">
        <v>28</v>
      </c>
      <c r="F629" s="1" t="s">
        <v>20</v>
      </c>
      <c r="G629" s="1" t="s">
        <v>1270</v>
      </c>
      <c r="H629" s="1" t="s">
        <v>256</v>
      </c>
      <c r="I629" s="1" t="s">
        <v>58</v>
      </c>
      <c r="J629" s="1" t="s">
        <v>99</v>
      </c>
      <c r="K629" s="1" t="s">
        <v>100</v>
      </c>
      <c r="L629" s="1" t="s">
        <v>1271</v>
      </c>
      <c r="M629">
        <v>7</v>
      </c>
      <c r="N629">
        <v>0</v>
      </c>
      <c r="O629">
        <v>0.69930000000000003</v>
      </c>
      <c r="P629">
        <v>69.930000000000007</v>
      </c>
      <c r="Q629">
        <v>69.230700000000013</v>
      </c>
    </row>
    <row r="630" spans="1:17" x14ac:dyDescent="0.25">
      <c r="A630" s="2">
        <v>41799</v>
      </c>
      <c r="B630" s="2">
        <v>41801</v>
      </c>
      <c r="C630" s="1" t="s">
        <v>17</v>
      </c>
      <c r="D630" s="1" t="s">
        <v>1272</v>
      </c>
      <c r="E630" s="1" t="s">
        <v>19</v>
      </c>
      <c r="F630" s="1" t="s">
        <v>20</v>
      </c>
      <c r="G630" s="1" t="s">
        <v>1006</v>
      </c>
      <c r="H630" s="1" t="s">
        <v>144</v>
      </c>
      <c r="I630" s="1" t="s">
        <v>23</v>
      </c>
      <c r="J630" s="1" t="s">
        <v>24</v>
      </c>
      <c r="K630" s="1" t="s">
        <v>39</v>
      </c>
      <c r="L630" s="1" t="s">
        <v>225</v>
      </c>
      <c r="M630">
        <v>7</v>
      </c>
      <c r="N630">
        <v>0</v>
      </c>
      <c r="O630">
        <v>245.02099999999999</v>
      </c>
      <c r="P630">
        <v>1441.3</v>
      </c>
      <c r="Q630">
        <v>1196.279</v>
      </c>
    </row>
    <row r="631" spans="1:17" x14ac:dyDescent="0.25">
      <c r="A631" s="2">
        <v>42261</v>
      </c>
      <c r="B631" s="2">
        <v>42265</v>
      </c>
      <c r="C631" s="1" t="s">
        <v>35</v>
      </c>
      <c r="D631" s="1" t="s">
        <v>1037</v>
      </c>
      <c r="E631" s="1" t="s">
        <v>28</v>
      </c>
      <c r="F631" s="1" t="s">
        <v>20</v>
      </c>
      <c r="G631" s="1" t="s">
        <v>29</v>
      </c>
      <c r="H631" s="1" t="s">
        <v>30</v>
      </c>
      <c r="I631" s="1" t="s">
        <v>31</v>
      </c>
      <c r="J631" s="1" t="s">
        <v>24</v>
      </c>
      <c r="K631" s="1" t="s">
        <v>39</v>
      </c>
      <c r="L631" s="1" t="s">
        <v>1273</v>
      </c>
      <c r="M631">
        <v>3</v>
      </c>
      <c r="N631">
        <v>0.2</v>
      </c>
      <c r="O631">
        <v>-8.5068000000000001</v>
      </c>
      <c r="P631">
        <v>170.136</v>
      </c>
      <c r="Q631">
        <v>178.64279999999999</v>
      </c>
    </row>
    <row r="632" spans="1:17" x14ac:dyDescent="0.25">
      <c r="A632" s="2">
        <v>42159</v>
      </c>
      <c r="B632" s="2">
        <v>42159</v>
      </c>
      <c r="C632" s="1" t="s">
        <v>434</v>
      </c>
      <c r="D632" s="1" t="s">
        <v>848</v>
      </c>
      <c r="E632" s="1" t="s">
        <v>19</v>
      </c>
      <c r="F632" s="1" t="s">
        <v>20</v>
      </c>
      <c r="G632" s="1" t="s">
        <v>50</v>
      </c>
      <c r="H632" s="1" t="s">
        <v>51</v>
      </c>
      <c r="I632" s="1" t="s">
        <v>31</v>
      </c>
      <c r="J632" s="1" t="s">
        <v>32</v>
      </c>
      <c r="K632" s="1" t="s">
        <v>33</v>
      </c>
      <c r="L632" s="1" t="s">
        <v>1274</v>
      </c>
      <c r="M632">
        <v>2</v>
      </c>
      <c r="N632">
        <v>0</v>
      </c>
      <c r="O632">
        <v>3.4685999999999999</v>
      </c>
      <c r="P632">
        <v>7.38</v>
      </c>
      <c r="Q632">
        <v>3.9114</v>
      </c>
    </row>
    <row r="633" spans="1:17" x14ac:dyDescent="0.25">
      <c r="A633" s="2">
        <v>42351</v>
      </c>
      <c r="B633" s="2">
        <v>42353</v>
      </c>
      <c r="C633" s="1" t="s">
        <v>17</v>
      </c>
      <c r="D633" s="1" t="s">
        <v>1089</v>
      </c>
      <c r="E633" s="1" t="s">
        <v>19</v>
      </c>
      <c r="F633" s="1" t="s">
        <v>20</v>
      </c>
      <c r="G633" s="1" t="s">
        <v>29</v>
      </c>
      <c r="H633" s="1" t="s">
        <v>30</v>
      </c>
      <c r="I633" s="1" t="s">
        <v>31</v>
      </c>
      <c r="J633" s="1" t="s">
        <v>32</v>
      </c>
      <c r="K633" s="1" t="s">
        <v>33</v>
      </c>
      <c r="L633" s="1" t="s">
        <v>1275</v>
      </c>
      <c r="M633">
        <v>2</v>
      </c>
      <c r="N633">
        <v>0</v>
      </c>
      <c r="O633">
        <v>4.5815999999999999</v>
      </c>
      <c r="P633">
        <v>9.9600000000000009</v>
      </c>
      <c r="Q633">
        <v>5.378400000000001</v>
      </c>
    </row>
    <row r="634" spans="1:17" x14ac:dyDescent="0.25">
      <c r="A634" s="2">
        <v>41784</v>
      </c>
      <c r="B634" s="2">
        <v>41788</v>
      </c>
      <c r="C634" s="1" t="s">
        <v>35</v>
      </c>
      <c r="D634" s="1" t="s">
        <v>1276</v>
      </c>
      <c r="E634" s="1" t="s">
        <v>19</v>
      </c>
      <c r="F634" s="1" t="s">
        <v>20</v>
      </c>
      <c r="G634" s="1" t="s">
        <v>136</v>
      </c>
      <c r="H634" s="1" t="s">
        <v>98</v>
      </c>
      <c r="I634" s="1" t="s">
        <v>58</v>
      </c>
      <c r="J634" s="1" t="s">
        <v>32</v>
      </c>
      <c r="K634" s="1" t="s">
        <v>59</v>
      </c>
      <c r="L634" s="1" t="s">
        <v>1277</v>
      </c>
      <c r="M634">
        <v>2</v>
      </c>
      <c r="N634">
        <v>0.8</v>
      </c>
      <c r="O634">
        <v>-166.32</v>
      </c>
      <c r="P634">
        <v>75.599999999999994</v>
      </c>
      <c r="Q634">
        <v>241.92</v>
      </c>
    </row>
    <row r="635" spans="1:17" x14ac:dyDescent="0.25">
      <c r="A635" s="2">
        <v>42416</v>
      </c>
      <c r="B635" s="2">
        <v>42420</v>
      </c>
      <c r="C635" s="1" t="s">
        <v>35</v>
      </c>
      <c r="D635" s="1" t="s">
        <v>334</v>
      </c>
      <c r="E635" s="1" t="s">
        <v>28</v>
      </c>
      <c r="F635" s="1" t="s">
        <v>20</v>
      </c>
      <c r="G635" s="1" t="s">
        <v>136</v>
      </c>
      <c r="H635" s="1" t="s">
        <v>98</v>
      </c>
      <c r="I635" s="1" t="s">
        <v>58</v>
      </c>
      <c r="J635" s="1" t="s">
        <v>32</v>
      </c>
      <c r="K635" s="1" t="s">
        <v>59</v>
      </c>
      <c r="L635" s="1" t="s">
        <v>1278</v>
      </c>
      <c r="M635">
        <v>6</v>
      </c>
      <c r="N635">
        <v>0.8</v>
      </c>
      <c r="O635">
        <v>-225.55680000000001</v>
      </c>
      <c r="P635">
        <v>92.063999999999993</v>
      </c>
      <c r="Q635">
        <v>317.62080000000003</v>
      </c>
    </row>
    <row r="636" spans="1:17" x14ac:dyDescent="0.25">
      <c r="A636" s="2">
        <v>42408</v>
      </c>
      <c r="B636" s="2">
        <v>42411</v>
      </c>
      <c r="C636" s="1" t="s">
        <v>17</v>
      </c>
      <c r="D636" s="1" t="s">
        <v>1279</v>
      </c>
      <c r="E636" s="1" t="s">
        <v>55</v>
      </c>
      <c r="F636" s="1" t="s">
        <v>20</v>
      </c>
      <c r="G636" s="1" t="s">
        <v>1280</v>
      </c>
      <c r="H636" s="1" t="s">
        <v>46</v>
      </c>
      <c r="I636" s="1" t="s">
        <v>23</v>
      </c>
      <c r="J636" s="1" t="s">
        <v>99</v>
      </c>
      <c r="K636" s="1" t="s">
        <v>100</v>
      </c>
      <c r="L636" s="1" t="s">
        <v>1281</v>
      </c>
      <c r="M636">
        <v>3</v>
      </c>
      <c r="N636">
        <v>0.2</v>
      </c>
      <c r="O636">
        <v>126.8973</v>
      </c>
      <c r="P636">
        <v>1127.9760000000001</v>
      </c>
      <c r="Q636">
        <v>1001.0787000000001</v>
      </c>
    </row>
    <row r="637" spans="1:17" x14ac:dyDescent="0.25">
      <c r="A637" s="2">
        <v>41777</v>
      </c>
      <c r="B637" s="2">
        <v>41783</v>
      </c>
      <c r="C637" s="1" t="s">
        <v>35</v>
      </c>
      <c r="D637" s="1" t="s">
        <v>305</v>
      </c>
      <c r="E637" s="1" t="s">
        <v>19</v>
      </c>
      <c r="F637" s="1" t="s">
        <v>20</v>
      </c>
      <c r="G637" s="1" t="s">
        <v>1220</v>
      </c>
      <c r="H637" s="1" t="s">
        <v>214</v>
      </c>
      <c r="I637" s="1" t="s">
        <v>81</v>
      </c>
      <c r="J637" s="1" t="s">
        <v>99</v>
      </c>
      <c r="K637" s="1" t="s">
        <v>100</v>
      </c>
      <c r="L637" s="1" t="s">
        <v>1282</v>
      </c>
      <c r="M637">
        <v>2</v>
      </c>
      <c r="N637">
        <v>0.4</v>
      </c>
      <c r="O637">
        <v>-168.95580000000001</v>
      </c>
      <c r="P637">
        <v>779.79600000000005</v>
      </c>
      <c r="Q637">
        <v>948.7518</v>
      </c>
    </row>
    <row r="638" spans="1:17" x14ac:dyDescent="0.25">
      <c r="A638" s="2">
        <v>42948</v>
      </c>
      <c r="B638" s="2">
        <v>42954</v>
      </c>
      <c r="C638" s="1" t="s">
        <v>35</v>
      </c>
      <c r="D638" s="1" t="s">
        <v>1109</v>
      </c>
      <c r="E638" s="1" t="s">
        <v>28</v>
      </c>
      <c r="F638" s="1" t="s">
        <v>20</v>
      </c>
      <c r="G638" s="1" t="s">
        <v>419</v>
      </c>
      <c r="H638" s="1" t="s">
        <v>57</v>
      </c>
      <c r="I638" s="1" t="s">
        <v>58</v>
      </c>
      <c r="J638" s="1" t="s">
        <v>99</v>
      </c>
      <c r="K638" s="1" t="s">
        <v>354</v>
      </c>
      <c r="L638" s="1" t="s">
        <v>1283</v>
      </c>
      <c r="M638">
        <v>3</v>
      </c>
      <c r="N638">
        <v>0.4</v>
      </c>
      <c r="O638">
        <v>-263.99669999999998</v>
      </c>
      <c r="P638">
        <v>1439.982</v>
      </c>
      <c r="Q638">
        <v>1703.9786999999999</v>
      </c>
    </row>
    <row r="639" spans="1:17" x14ac:dyDescent="0.25">
      <c r="A639" s="2">
        <v>41811</v>
      </c>
      <c r="B639" s="2">
        <v>41814</v>
      </c>
      <c r="C639" s="1" t="s">
        <v>107</v>
      </c>
      <c r="D639" s="1" t="s">
        <v>1252</v>
      </c>
      <c r="E639" s="1" t="s">
        <v>19</v>
      </c>
      <c r="F639" s="1" t="s">
        <v>20</v>
      </c>
      <c r="G639" s="1" t="s">
        <v>1284</v>
      </c>
      <c r="H639" s="1" t="s">
        <v>284</v>
      </c>
      <c r="I639" s="1" t="s">
        <v>81</v>
      </c>
      <c r="J639" s="1" t="s">
        <v>32</v>
      </c>
      <c r="K639" s="1" t="s">
        <v>72</v>
      </c>
      <c r="L639" s="1" t="s">
        <v>73</v>
      </c>
      <c r="M639">
        <v>5</v>
      </c>
      <c r="N639">
        <v>0</v>
      </c>
      <c r="O639">
        <v>6.2060000000000004</v>
      </c>
      <c r="P639">
        <v>21.4</v>
      </c>
      <c r="Q639">
        <v>15.193999999999999</v>
      </c>
    </row>
    <row r="640" spans="1:17" x14ac:dyDescent="0.25">
      <c r="A640" s="2">
        <v>42785</v>
      </c>
      <c r="B640" s="2">
        <v>42787</v>
      </c>
      <c r="C640" s="1" t="s">
        <v>17</v>
      </c>
      <c r="D640" s="1" t="s">
        <v>1174</v>
      </c>
      <c r="E640" s="1" t="s">
        <v>28</v>
      </c>
      <c r="F640" s="1" t="s">
        <v>20</v>
      </c>
      <c r="G640" s="1" t="s">
        <v>1285</v>
      </c>
      <c r="H640" s="1" t="s">
        <v>429</v>
      </c>
      <c r="I640" s="1" t="s">
        <v>23</v>
      </c>
      <c r="J640" s="1" t="s">
        <v>32</v>
      </c>
      <c r="K640" s="1" t="s">
        <v>59</v>
      </c>
      <c r="L640" s="1" t="s">
        <v>1286</v>
      </c>
      <c r="M640">
        <v>7</v>
      </c>
      <c r="N640">
        <v>0</v>
      </c>
      <c r="O640">
        <v>361.29939999999999</v>
      </c>
      <c r="P640">
        <v>1245.8599999999999</v>
      </c>
      <c r="Q640">
        <v>884.56059999999991</v>
      </c>
    </row>
    <row r="641" spans="1:17" x14ac:dyDescent="0.25">
      <c r="A641" s="2">
        <v>42569</v>
      </c>
      <c r="B641" s="2">
        <v>42574</v>
      </c>
      <c r="C641" s="1" t="s">
        <v>35</v>
      </c>
      <c r="D641" s="1" t="s">
        <v>1287</v>
      </c>
      <c r="E641" s="1" t="s">
        <v>28</v>
      </c>
      <c r="F641" s="1" t="s">
        <v>20</v>
      </c>
      <c r="G641" s="1" t="s">
        <v>1288</v>
      </c>
      <c r="H641" s="1" t="s">
        <v>22</v>
      </c>
      <c r="I641" s="1" t="s">
        <v>23</v>
      </c>
      <c r="J641" s="1" t="s">
        <v>24</v>
      </c>
      <c r="K641" s="1" t="s">
        <v>82</v>
      </c>
      <c r="L641" s="1" t="s">
        <v>1289</v>
      </c>
      <c r="M641">
        <v>1</v>
      </c>
      <c r="N641">
        <v>0</v>
      </c>
      <c r="O641">
        <v>39.4268</v>
      </c>
      <c r="P641">
        <v>140.81</v>
      </c>
      <c r="Q641">
        <v>101.3832</v>
      </c>
    </row>
    <row r="642" spans="1:17" x14ac:dyDescent="0.25">
      <c r="A642" s="2">
        <v>42044</v>
      </c>
      <c r="B642" s="2">
        <v>42046</v>
      </c>
      <c r="C642" s="1" t="s">
        <v>17</v>
      </c>
      <c r="D642" s="1" t="s">
        <v>399</v>
      </c>
      <c r="E642" s="1" t="s">
        <v>28</v>
      </c>
      <c r="F642" s="1" t="s">
        <v>20</v>
      </c>
      <c r="G642" s="1" t="s">
        <v>265</v>
      </c>
      <c r="H642" s="1" t="s">
        <v>57</v>
      </c>
      <c r="I642" s="1" t="s">
        <v>58</v>
      </c>
      <c r="J642" s="1" t="s">
        <v>32</v>
      </c>
      <c r="K642" s="1" t="s">
        <v>33</v>
      </c>
      <c r="L642" s="1" t="s">
        <v>1290</v>
      </c>
      <c r="M642">
        <v>4</v>
      </c>
      <c r="N642">
        <v>0.2</v>
      </c>
      <c r="O642">
        <v>13.532400000000001</v>
      </c>
      <c r="P642">
        <v>40.095999999999997</v>
      </c>
      <c r="Q642">
        <v>26.563599999999994</v>
      </c>
    </row>
    <row r="643" spans="1:17" x14ac:dyDescent="0.25">
      <c r="A643" s="2">
        <v>42945</v>
      </c>
      <c r="B643" s="2">
        <v>42949</v>
      </c>
      <c r="C643" s="1" t="s">
        <v>35</v>
      </c>
      <c r="D643" s="1" t="s">
        <v>1291</v>
      </c>
      <c r="E643" s="1" t="s">
        <v>19</v>
      </c>
      <c r="F643" s="1" t="s">
        <v>20</v>
      </c>
      <c r="G643" s="1" t="s">
        <v>50</v>
      </c>
      <c r="H643" s="1" t="s">
        <v>51</v>
      </c>
      <c r="I643" s="1" t="s">
        <v>31</v>
      </c>
      <c r="J643" s="1" t="s">
        <v>99</v>
      </c>
      <c r="K643" s="1" t="s">
        <v>111</v>
      </c>
      <c r="L643" s="1" t="s">
        <v>1292</v>
      </c>
      <c r="M643">
        <v>3</v>
      </c>
      <c r="N643">
        <v>0</v>
      </c>
      <c r="O643">
        <v>11.774100000000001</v>
      </c>
      <c r="P643">
        <v>90.57</v>
      </c>
      <c r="Q643">
        <v>78.795899999999989</v>
      </c>
    </row>
    <row r="644" spans="1:17" x14ac:dyDescent="0.25">
      <c r="A644" s="2">
        <v>42747</v>
      </c>
      <c r="B644" s="2">
        <v>42752</v>
      </c>
      <c r="C644" s="1" t="s">
        <v>17</v>
      </c>
      <c r="D644" s="1" t="s">
        <v>1251</v>
      </c>
      <c r="E644" s="1" t="s">
        <v>55</v>
      </c>
      <c r="F644" s="1" t="s">
        <v>20</v>
      </c>
      <c r="G644" s="1" t="s">
        <v>51</v>
      </c>
      <c r="H644" s="1" t="s">
        <v>929</v>
      </c>
      <c r="I644" s="1" t="s">
        <v>81</v>
      </c>
      <c r="J644" s="1" t="s">
        <v>32</v>
      </c>
      <c r="K644" s="1" t="s">
        <v>47</v>
      </c>
      <c r="L644" s="1" t="s">
        <v>230</v>
      </c>
      <c r="M644">
        <v>6</v>
      </c>
      <c r="N644">
        <v>0</v>
      </c>
      <c r="O644">
        <v>19.238399999999999</v>
      </c>
      <c r="P644">
        <v>40.08</v>
      </c>
      <c r="Q644">
        <v>20.8416</v>
      </c>
    </row>
    <row r="645" spans="1:17" x14ac:dyDescent="0.25">
      <c r="A645" s="2">
        <v>42988</v>
      </c>
      <c r="B645" s="2">
        <v>42988</v>
      </c>
      <c r="C645" s="1" t="s">
        <v>434</v>
      </c>
      <c r="D645" s="1" t="s">
        <v>997</v>
      </c>
      <c r="E645" s="1" t="s">
        <v>28</v>
      </c>
      <c r="F645" s="1" t="s">
        <v>20</v>
      </c>
      <c r="G645" s="1" t="s">
        <v>29</v>
      </c>
      <c r="H645" s="1" t="s">
        <v>30</v>
      </c>
      <c r="I645" s="1" t="s">
        <v>31</v>
      </c>
      <c r="J645" s="1" t="s">
        <v>24</v>
      </c>
      <c r="K645" s="1" t="s">
        <v>82</v>
      </c>
      <c r="L645" s="1" t="s">
        <v>398</v>
      </c>
      <c r="M645">
        <v>3</v>
      </c>
      <c r="N645">
        <v>0.2</v>
      </c>
      <c r="O645">
        <v>27.176400000000001</v>
      </c>
      <c r="P645">
        <v>362.35199999999998</v>
      </c>
      <c r="Q645">
        <v>335.17559999999997</v>
      </c>
    </row>
    <row r="646" spans="1:17" x14ac:dyDescent="0.25">
      <c r="A646" s="2">
        <v>42205</v>
      </c>
      <c r="B646" s="2">
        <v>42210</v>
      </c>
      <c r="C646" s="1" t="s">
        <v>17</v>
      </c>
      <c r="D646" s="1" t="s">
        <v>876</v>
      </c>
      <c r="E646" s="1" t="s">
        <v>19</v>
      </c>
      <c r="F646" s="1" t="s">
        <v>20</v>
      </c>
      <c r="G646" s="1" t="s">
        <v>1293</v>
      </c>
      <c r="H646" s="1" t="s">
        <v>123</v>
      </c>
      <c r="I646" s="1" t="s">
        <v>58</v>
      </c>
      <c r="J646" s="1" t="s">
        <v>32</v>
      </c>
      <c r="K646" s="1" t="s">
        <v>64</v>
      </c>
      <c r="L646" s="1" t="s">
        <v>1294</v>
      </c>
      <c r="M646">
        <v>1</v>
      </c>
      <c r="N646">
        <v>0</v>
      </c>
      <c r="O646">
        <v>9.7327999999999992</v>
      </c>
      <c r="P646">
        <v>34.76</v>
      </c>
      <c r="Q646">
        <v>25.027200000000001</v>
      </c>
    </row>
    <row r="647" spans="1:17" x14ac:dyDescent="0.25">
      <c r="A647" s="2">
        <v>41803</v>
      </c>
      <c r="B647" s="2">
        <v>41807</v>
      </c>
      <c r="C647" s="1" t="s">
        <v>35</v>
      </c>
      <c r="D647" s="1" t="s">
        <v>1243</v>
      </c>
      <c r="E647" s="1" t="s">
        <v>28</v>
      </c>
      <c r="F647" s="1" t="s">
        <v>20</v>
      </c>
      <c r="G647" s="1" t="s">
        <v>29</v>
      </c>
      <c r="H647" s="1" t="s">
        <v>30</v>
      </c>
      <c r="I647" s="1" t="s">
        <v>31</v>
      </c>
      <c r="J647" s="1" t="s">
        <v>32</v>
      </c>
      <c r="K647" s="1" t="s">
        <v>72</v>
      </c>
      <c r="L647" s="1" t="s">
        <v>930</v>
      </c>
      <c r="M647">
        <v>3</v>
      </c>
      <c r="N647">
        <v>0</v>
      </c>
      <c r="O647">
        <v>4.7915999999999999</v>
      </c>
      <c r="P647">
        <v>14.52</v>
      </c>
      <c r="Q647">
        <v>9.7284000000000006</v>
      </c>
    </row>
    <row r="648" spans="1:17" x14ac:dyDescent="0.25">
      <c r="A648" s="2">
        <v>42867</v>
      </c>
      <c r="B648" s="2">
        <v>42870</v>
      </c>
      <c r="C648" s="1" t="s">
        <v>17</v>
      </c>
      <c r="D648" s="1" t="s">
        <v>414</v>
      </c>
      <c r="E648" s="1" t="s">
        <v>28</v>
      </c>
      <c r="F648" s="1" t="s">
        <v>20</v>
      </c>
      <c r="G648" s="1" t="s">
        <v>91</v>
      </c>
      <c r="H648" s="1" t="s">
        <v>57</v>
      </c>
      <c r="I648" s="1" t="s">
        <v>58</v>
      </c>
      <c r="J648" s="1" t="s">
        <v>32</v>
      </c>
      <c r="K648" s="1" t="s">
        <v>64</v>
      </c>
      <c r="L648" s="1" t="s">
        <v>1295</v>
      </c>
      <c r="M648">
        <v>5</v>
      </c>
      <c r="N648">
        <v>0.2</v>
      </c>
      <c r="O648">
        <v>-15.99</v>
      </c>
      <c r="P648">
        <v>127.92</v>
      </c>
      <c r="Q648">
        <v>143.91</v>
      </c>
    </row>
    <row r="649" spans="1:17" x14ac:dyDescent="0.25">
      <c r="A649" s="2">
        <v>42820</v>
      </c>
      <c r="B649" s="2">
        <v>42821</v>
      </c>
      <c r="C649" s="1" t="s">
        <v>107</v>
      </c>
      <c r="D649" s="1" t="s">
        <v>794</v>
      </c>
      <c r="E649" s="1" t="s">
        <v>19</v>
      </c>
      <c r="F649" s="1" t="s">
        <v>20</v>
      </c>
      <c r="G649" s="1" t="s">
        <v>126</v>
      </c>
      <c r="H649" s="1" t="s">
        <v>127</v>
      </c>
      <c r="I649" s="1" t="s">
        <v>81</v>
      </c>
      <c r="J649" s="1" t="s">
        <v>24</v>
      </c>
      <c r="K649" s="1" t="s">
        <v>25</v>
      </c>
      <c r="L649" s="1" t="s">
        <v>1296</v>
      </c>
      <c r="M649">
        <v>2</v>
      </c>
      <c r="N649">
        <v>0.2</v>
      </c>
      <c r="O649">
        <v>-28.976400000000002</v>
      </c>
      <c r="P649">
        <v>257.56799999999998</v>
      </c>
      <c r="Q649">
        <v>286.5444</v>
      </c>
    </row>
    <row r="650" spans="1:17" x14ac:dyDescent="0.25">
      <c r="A650" s="2">
        <v>41955</v>
      </c>
      <c r="B650" s="2">
        <v>41955</v>
      </c>
      <c r="C650" s="1" t="s">
        <v>434</v>
      </c>
      <c r="D650" s="1" t="s">
        <v>485</v>
      </c>
      <c r="E650" s="1" t="s">
        <v>19</v>
      </c>
      <c r="F650" s="1" t="s">
        <v>20</v>
      </c>
      <c r="G650" s="1" t="s">
        <v>265</v>
      </c>
      <c r="H650" s="1" t="s">
        <v>57</v>
      </c>
      <c r="I650" s="1" t="s">
        <v>58</v>
      </c>
      <c r="J650" s="1" t="s">
        <v>32</v>
      </c>
      <c r="K650" s="1" t="s">
        <v>64</v>
      </c>
      <c r="L650" s="1" t="s">
        <v>325</v>
      </c>
      <c r="M650">
        <v>4</v>
      </c>
      <c r="N650">
        <v>0.2</v>
      </c>
      <c r="O650">
        <v>4.9631999999999996</v>
      </c>
      <c r="P650">
        <v>49.631999999999998</v>
      </c>
      <c r="Q650">
        <v>44.668799999999997</v>
      </c>
    </row>
    <row r="651" spans="1:17" x14ac:dyDescent="0.25">
      <c r="A651" s="2">
        <v>42656</v>
      </c>
      <c r="B651" s="2">
        <v>42660</v>
      </c>
      <c r="C651" s="1" t="s">
        <v>35</v>
      </c>
      <c r="D651" s="1" t="s">
        <v>1297</v>
      </c>
      <c r="E651" s="1" t="s">
        <v>28</v>
      </c>
      <c r="F651" s="1" t="s">
        <v>20</v>
      </c>
      <c r="G651" s="1" t="s">
        <v>197</v>
      </c>
      <c r="H651" s="1" t="s">
        <v>198</v>
      </c>
      <c r="I651" s="1" t="s">
        <v>31</v>
      </c>
      <c r="J651" s="1" t="s">
        <v>24</v>
      </c>
      <c r="K651" s="1" t="s">
        <v>39</v>
      </c>
      <c r="L651" s="1" t="s">
        <v>1298</v>
      </c>
      <c r="M651">
        <v>5</v>
      </c>
      <c r="N651">
        <v>0.5</v>
      </c>
      <c r="O651">
        <v>-465.56799999999998</v>
      </c>
      <c r="P651">
        <v>727.45</v>
      </c>
      <c r="Q651">
        <v>1193.018</v>
      </c>
    </row>
    <row r="652" spans="1:17" x14ac:dyDescent="0.25">
      <c r="A652" s="2">
        <v>42840</v>
      </c>
      <c r="B652" s="2">
        <v>42843</v>
      </c>
      <c r="C652" s="1" t="s">
        <v>107</v>
      </c>
      <c r="D652" s="1" t="s">
        <v>873</v>
      </c>
      <c r="E652" s="1" t="s">
        <v>28</v>
      </c>
      <c r="F652" s="1" t="s">
        <v>20</v>
      </c>
      <c r="G652" s="1" t="s">
        <v>21</v>
      </c>
      <c r="H652" s="1" t="s">
        <v>470</v>
      </c>
      <c r="I652" s="1" t="s">
        <v>31</v>
      </c>
      <c r="J652" s="1" t="s">
        <v>24</v>
      </c>
      <c r="K652" s="1" t="s">
        <v>42</v>
      </c>
      <c r="L652" s="1" t="s">
        <v>1299</v>
      </c>
      <c r="M652">
        <v>5</v>
      </c>
      <c r="N652">
        <v>0</v>
      </c>
      <c r="O652">
        <v>70.721999999999994</v>
      </c>
      <c r="P652">
        <v>196.45</v>
      </c>
      <c r="Q652">
        <v>125.72799999999999</v>
      </c>
    </row>
    <row r="653" spans="1:17" x14ac:dyDescent="0.25">
      <c r="A653" s="2">
        <v>42180</v>
      </c>
      <c r="B653" s="2">
        <v>42186</v>
      </c>
      <c r="C653" s="1" t="s">
        <v>35</v>
      </c>
      <c r="D653" s="1" t="s">
        <v>1279</v>
      </c>
      <c r="E653" s="1" t="s">
        <v>55</v>
      </c>
      <c r="F653" s="1" t="s">
        <v>20</v>
      </c>
      <c r="G653" s="1" t="s">
        <v>79</v>
      </c>
      <c r="H653" s="1" t="s">
        <v>80</v>
      </c>
      <c r="I653" s="1" t="s">
        <v>81</v>
      </c>
      <c r="J653" s="1" t="s">
        <v>32</v>
      </c>
      <c r="K653" s="1" t="s">
        <v>47</v>
      </c>
      <c r="L653" s="1" t="s">
        <v>1300</v>
      </c>
      <c r="M653">
        <v>6</v>
      </c>
      <c r="N653">
        <v>0.2</v>
      </c>
      <c r="O653">
        <v>10.8864</v>
      </c>
      <c r="P653">
        <v>31.103999999999999</v>
      </c>
      <c r="Q653">
        <v>20.217599999999997</v>
      </c>
    </row>
    <row r="654" spans="1:17" x14ac:dyDescent="0.25">
      <c r="A654" s="2">
        <v>42608</v>
      </c>
      <c r="B654" s="2">
        <v>42611</v>
      </c>
      <c r="C654" s="1" t="s">
        <v>17</v>
      </c>
      <c r="D654" s="1" t="s">
        <v>632</v>
      </c>
      <c r="E654" s="1" t="s">
        <v>19</v>
      </c>
      <c r="F654" s="1" t="s">
        <v>20</v>
      </c>
      <c r="G654" s="1" t="s">
        <v>50</v>
      </c>
      <c r="H654" s="1" t="s">
        <v>51</v>
      </c>
      <c r="I654" s="1" t="s">
        <v>31</v>
      </c>
      <c r="J654" s="1" t="s">
        <v>32</v>
      </c>
      <c r="K654" s="1" t="s">
        <v>47</v>
      </c>
      <c r="L654" s="1" t="s">
        <v>1301</v>
      </c>
      <c r="M654">
        <v>1</v>
      </c>
      <c r="N654">
        <v>0</v>
      </c>
      <c r="O654">
        <v>3.1103999999999998</v>
      </c>
      <c r="P654">
        <v>6.48</v>
      </c>
      <c r="Q654">
        <v>3.3696000000000006</v>
      </c>
    </row>
    <row r="655" spans="1:17" x14ac:dyDescent="0.25">
      <c r="A655" s="2">
        <v>41841</v>
      </c>
      <c r="B655" s="2">
        <v>41845</v>
      </c>
      <c r="C655" s="1" t="s">
        <v>35</v>
      </c>
      <c r="D655" s="1" t="s">
        <v>1302</v>
      </c>
      <c r="E655" s="1" t="s">
        <v>28</v>
      </c>
      <c r="F655" s="1" t="s">
        <v>20</v>
      </c>
      <c r="G655" s="1" t="s">
        <v>71</v>
      </c>
      <c r="H655" s="1" t="s">
        <v>30</v>
      </c>
      <c r="I655" s="1" t="s">
        <v>31</v>
      </c>
      <c r="J655" s="1" t="s">
        <v>32</v>
      </c>
      <c r="K655" s="1" t="s">
        <v>72</v>
      </c>
      <c r="L655" s="1" t="s">
        <v>1303</v>
      </c>
      <c r="M655">
        <v>5</v>
      </c>
      <c r="N655">
        <v>0</v>
      </c>
      <c r="O655">
        <v>25.792000000000002</v>
      </c>
      <c r="P655">
        <v>99.2</v>
      </c>
      <c r="Q655">
        <v>73.408000000000001</v>
      </c>
    </row>
    <row r="656" spans="1:17" x14ac:dyDescent="0.25">
      <c r="A656" s="2">
        <v>43060</v>
      </c>
      <c r="B656" s="2">
        <v>43064</v>
      </c>
      <c r="C656" s="1" t="s">
        <v>35</v>
      </c>
      <c r="D656" s="1" t="s">
        <v>1304</v>
      </c>
      <c r="E656" s="1" t="s">
        <v>19</v>
      </c>
      <c r="F656" s="1" t="s">
        <v>20</v>
      </c>
      <c r="G656" s="1" t="s">
        <v>1305</v>
      </c>
      <c r="H656" s="1" t="s">
        <v>51</v>
      </c>
      <c r="I656" s="1" t="s">
        <v>31</v>
      </c>
      <c r="J656" s="1" t="s">
        <v>24</v>
      </c>
      <c r="K656" s="1" t="s">
        <v>39</v>
      </c>
      <c r="L656" s="1" t="s">
        <v>1306</v>
      </c>
      <c r="M656">
        <v>1</v>
      </c>
      <c r="N656">
        <v>0</v>
      </c>
      <c r="O656">
        <v>20.584199999999999</v>
      </c>
      <c r="P656">
        <v>70.98</v>
      </c>
      <c r="Q656">
        <v>50.395800000000008</v>
      </c>
    </row>
    <row r="657" spans="1:17" x14ac:dyDescent="0.25">
      <c r="A657" s="2">
        <v>42819</v>
      </c>
      <c r="B657" s="2">
        <v>42823</v>
      </c>
      <c r="C657" s="1" t="s">
        <v>35</v>
      </c>
      <c r="D657" s="1" t="s">
        <v>1307</v>
      </c>
      <c r="E657" s="1" t="s">
        <v>19</v>
      </c>
      <c r="F657" s="1" t="s">
        <v>20</v>
      </c>
      <c r="G657" s="1" t="s">
        <v>265</v>
      </c>
      <c r="H657" s="1" t="s">
        <v>57</v>
      </c>
      <c r="I657" s="1" t="s">
        <v>58</v>
      </c>
      <c r="J657" s="1" t="s">
        <v>99</v>
      </c>
      <c r="K657" s="1" t="s">
        <v>100</v>
      </c>
      <c r="L657" s="1" t="s">
        <v>592</v>
      </c>
      <c r="M657">
        <v>3</v>
      </c>
      <c r="N657">
        <v>0.2</v>
      </c>
      <c r="O657">
        <v>47.037599999999998</v>
      </c>
      <c r="P657">
        <v>470.37599999999998</v>
      </c>
      <c r="Q657">
        <v>423.33839999999998</v>
      </c>
    </row>
    <row r="658" spans="1:17" x14ac:dyDescent="0.25">
      <c r="A658" s="2">
        <v>42068</v>
      </c>
      <c r="B658" s="2">
        <v>42068</v>
      </c>
      <c r="C658" s="1" t="s">
        <v>434</v>
      </c>
      <c r="D658" s="1" t="s">
        <v>480</v>
      </c>
      <c r="E658" s="1" t="s">
        <v>19</v>
      </c>
      <c r="F658" s="1" t="s">
        <v>20</v>
      </c>
      <c r="G658" s="1" t="s">
        <v>126</v>
      </c>
      <c r="H658" s="1" t="s">
        <v>127</v>
      </c>
      <c r="I658" s="1" t="s">
        <v>81</v>
      </c>
      <c r="J658" s="1" t="s">
        <v>32</v>
      </c>
      <c r="K658" s="1" t="s">
        <v>94</v>
      </c>
      <c r="L658" s="1" t="s">
        <v>263</v>
      </c>
      <c r="M658">
        <v>3</v>
      </c>
      <c r="N658">
        <v>0</v>
      </c>
      <c r="O658">
        <v>14.67</v>
      </c>
      <c r="P658">
        <v>29.34</v>
      </c>
      <c r="Q658">
        <v>14.67</v>
      </c>
    </row>
    <row r="659" spans="1:17" x14ac:dyDescent="0.25">
      <c r="A659" s="2">
        <v>41933</v>
      </c>
      <c r="B659" s="2">
        <v>41934</v>
      </c>
      <c r="C659" s="1" t="s">
        <v>107</v>
      </c>
      <c r="D659" s="1" t="s">
        <v>88</v>
      </c>
      <c r="E659" s="1" t="s">
        <v>19</v>
      </c>
      <c r="F659" s="1" t="s">
        <v>20</v>
      </c>
      <c r="G659" s="1" t="s">
        <v>283</v>
      </c>
      <c r="H659" s="1" t="s">
        <v>214</v>
      </c>
      <c r="I659" s="1" t="s">
        <v>81</v>
      </c>
      <c r="J659" s="1" t="s">
        <v>32</v>
      </c>
      <c r="K659" s="1" t="s">
        <v>59</v>
      </c>
      <c r="L659" s="1" t="s">
        <v>645</v>
      </c>
      <c r="M659">
        <v>4</v>
      </c>
      <c r="N659">
        <v>0.2</v>
      </c>
      <c r="O659">
        <v>13.701599999999999</v>
      </c>
      <c r="P659">
        <v>121.792</v>
      </c>
      <c r="Q659">
        <v>108.0904</v>
      </c>
    </row>
    <row r="660" spans="1:17" x14ac:dyDescent="0.25">
      <c r="A660" s="2">
        <v>41712</v>
      </c>
      <c r="B660" s="2">
        <v>41716</v>
      </c>
      <c r="C660" s="1" t="s">
        <v>35</v>
      </c>
      <c r="D660" s="1" t="s">
        <v>456</v>
      </c>
      <c r="E660" s="1" t="s">
        <v>28</v>
      </c>
      <c r="F660" s="1" t="s">
        <v>20</v>
      </c>
      <c r="G660" s="1" t="s">
        <v>492</v>
      </c>
      <c r="H660" s="1" t="s">
        <v>30</v>
      </c>
      <c r="I660" s="1" t="s">
        <v>31</v>
      </c>
      <c r="J660" s="1" t="s">
        <v>32</v>
      </c>
      <c r="K660" s="1" t="s">
        <v>47</v>
      </c>
      <c r="L660" s="1" t="s">
        <v>654</v>
      </c>
      <c r="M660">
        <v>2</v>
      </c>
      <c r="N660">
        <v>0</v>
      </c>
      <c r="O660">
        <v>4.7519999999999998</v>
      </c>
      <c r="P660">
        <v>10.56</v>
      </c>
      <c r="Q660">
        <v>5.8080000000000007</v>
      </c>
    </row>
    <row r="661" spans="1:17" x14ac:dyDescent="0.25">
      <c r="A661" s="2">
        <v>42369</v>
      </c>
      <c r="B661" s="2">
        <v>42373</v>
      </c>
      <c r="C661" s="1" t="s">
        <v>35</v>
      </c>
      <c r="D661" s="1" t="s">
        <v>1218</v>
      </c>
      <c r="E661" s="1" t="s">
        <v>19</v>
      </c>
      <c r="F661" s="1" t="s">
        <v>20</v>
      </c>
      <c r="G661" s="1" t="s">
        <v>1308</v>
      </c>
      <c r="H661" s="1" t="s">
        <v>572</v>
      </c>
      <c r="I661" s="1" t="s">
        <v>31</v>
      </c>
      <c r="J661" s="1" t="s">
        <v>32</v>
      </c>
      <c r="K661" s="1" t="s">
        <v>52</v>
      </c>
      <c r="L661" s="1" t="s">
        <v>1309</v>
      </c>
      <c r="M661">
        <v>2</v>
      </c>
      <c r="N661">
        <v>0.2</v>
      </c>
      <c r="O661">
        <v>152.495</v>
      </c>
      <c r="P661">
        <v>487.98399999999998</v>
      </c>
      <c r="Q661">
        <v>335.48899999999998</v>
      </c>
    </row>
    <row r="662" spans="1:17" x14ac:dyDescent="0.25">
      <c r="A662" s="2">
        <v>41880</v>
      </c>
      <c r="B662" s="2">
        <v>41884</v>
      </c>
      <c r="C662" s="1" t="s">
        <v>17</v>
      </c>
      <c r="D662" s="1" t="s">
        <v>922</v>
      </c>
      <c r="E662" s="1" t="s">
        <v>19</v>
      </c>
      <c r="F662" s="1" t="s">
        <v>20</v>
      </c>
      <c r="G662" s="1" t="s">
        <v>481</v>
      </c>
      <c r="H662" s="1" t="s">
        <v>38</v>
      </c>
      <c r="I662" s="1" t="s">
        <v>23</v>
      </c>
      <c r="J662" s="1" t="s">
        <v>32</v>
      </c>
      <c r="K662" s="1" t="s">
        <v>94</v>
      </c>
      <c r="L662" s="1" t="s">
        <v>1310</v>
      </c>
      <c r="M662">
        <v>2</v>
      </c>
      <c r="N662">
        <v>0.2</v>
      </c>
      <c r="O662">
        <v>10.805400000000001</v>
      </c>
      <c r="P662">
        <v>29.808</v>
      </c>
      <c r="Q662">
        <v>19.002600000000001</v>
      </c>
    </row>
    <row r="663" spans="1:17" x14ac:dyDescent="0.25">
      <c r="A663" s="2">
        <v>43029</v>
      </c>
      <c r="B663" s="2">
        <v>43030</v>
      </c>
      <c r="C663" s="1" t="s">
        <v>107</v>
      </c>
      <c r="D663" s="1" t="s">
        <v>1311</v>
      </c>
      <c r="E663" s="1" t="s">
        <v>28</v>
      </c>
      <c r="F663" s="1" t="s">
        <v>20</v>
      </c>
      <c r="G663" s="1" t="s">
        <v>143</v>
      </c>
      <c r="H663" s="1" t="s">
        <v>183</v>
      </c>
      <c r="I663" s="1" t="s">
        <v>31</v>
      </c>
      <c r="J663" s="1" t="s">
        <v>32</v>
      </c>
      <c r="K663" s="1" t="s">
        <v>47</v>
      </c>
      <c r="L663" s="1" t="s">
        <v>793</v>
      </c>
      <c r="M663">
        <v>1</v>
      </c>
      <c r="N663">
        <v>0.2</v>
      </c>
      <c r="O663">
        <v>1.8144</v>
      </c>
      <c r="P663">
        <v>5.1840000000000002</v>
      </c>
      <c r="Q663">
        <v>3.3696000000000002</v>
      </c>
    </row>
    <row r="664" spans="1:17" x14ac:dyDescent="0.25">
      <c r="A664" s="2">
        <v>42507</v>
      </c>
      <c r="B664" s="2">
        <v>42511</v>
      </c>
      <c r="C664" s="1" t="s">
        <v>35</v>
      </c>
      <c r="D664" s="1" t="s">
        <v>1262</v>
      </c>
      <c r="E664" s="1" t="s">
        <v>28</v>
      </c>
      <c r="F664" s="1" t="s">
        <v>20</v>
      </c>
      <c r="G664" s="1" t="s">
        <v>1312</v>
      </c>
      <c r="H664" s="1" t="s">
        <v>38</v>
      </c>
      <c r="I664" s="1" t="s">
        <v>23</v>
      </c>
      <c r="J664" s="1" t="s">
        <v>32</v>
      </c>
      <c r="K664" s="1" t="s">
        <v>52</v>
      </c>
      <c r="L664" s="1" t="s">
        <v>1313</v>
      </c>
      <c r="M664">
        <v>2</v>
      </c>
      <c r="N664">
        <v>0.7</v>
      </c>
      <c r="O664">
        <v>-2.1648000000000001</v>
      </c>
      <c r="P664">
        <v>2.952</v>
      </c>
      <c r="Q664">
        <v>5.1167999999999996</v>
      </c>
    </row>
    <row r="665" spans="1:17" x14ac:dyDescent="0.25">
      <c r="A665" s="2">
        <v>42919</v>
      </c>
      <c r="B665" s="2">
        <v>42922</v>
      </c>
      <c r="C665" s="1" t="s">
        <v>17</v>
      </c>
      <c r="D665" s="1" t="s">
        <v>997</v>
      </c>
      <c r="E665" s="1" t="s">
        <v>28</v>
      </c>
      <c r="F665" s="1" t="s">
        <v>20</v>
      </c>
      <c r="G665" s="1" t="s">
        <v>91</v>
      </c>
      <c r="H665" s="1" t="s">
        <v>57</v>
      </c>
      <c r="I665" s="1" t="s">
        <v>58</v>
      </c>
      <c r="J665" s="1" t="s">
        <v>32</v>
      </c>
      <c r="K665" s="1" t="s">
        <v>47</v>
      </c>
      <c r="L665" s="1" t="s">
        <v>1314</v>
      </c>
      <c r="M665">
        <v>7</v>
      </c>
      <c r="N665">
        <v>0.2</v>
      </c>
      <c r="O665">
        <v>92.439899999999994</v>
      </c>
      <c r="P665">
        <v>273.89600000000002</v>
      </c>
      <c r="Q665">
        <v>181.45610000000002</v>
      </c>
    </row>
    <row r="666" spans="1:17" x14ac:dyDescent="0.25">
      <c r="A666" s="2">
        <v>41654</v>
      </c>
      <c r="B666" s="2">
        <v>41656</v>
      </c>
      <c r="C666" s="1" t="s">
        <v>107</v>
      </c>
      <c r="D666" s="1" t="s">
        <v>1315</v>
      </c>
      <c r="E666" s="1" t="s">
        <v>19</v>
      </c>
      <c r="F666" s="1" t="s">
        <v>20</v>
      </c>
      <c r="G666" s="1" t="s">
        <v>1285</v>
      </c>
      <c r="H666" s="1" t="s">
        <v>429</v>
      </c>
      <c r="I666" s="1" t="s">
        <v>23</v>
      </c>
      <c r="J666" s="1" t="s">
        <v>99</v>
      </c>
      <c r="K666" s="1" t="s">
        <v>111</v>
      </c>
      <c r="L666" s="1" t="s">
        <v>368</v>
      </c>
      <c r="M666">
        <v>5</v>
      </c>
      <c r="N666">
        <v>0</v>
      </c>
      <c r="O666">
        <v>65.977999999999994</v>
      </c>
      <c r="P666">
        <v>149.94999999999999</v>
      </c>
      <c r="Q666">
        <v>83.971999999999994</v>
      </c>
    </row>
    <row r="667" spans="1:17" x14ac:dyDescent="0.25">
      <c r="A667" s="2">
        <v>42316</v>
      </c>
      <c r="B667" s="2">
        <v>42322</v>
      </c>
      <c r="C667" s="1" t="s">
        <v>35</v>
      </c>
      <c r="D667" s="1" t="s">
        <v>1316</v>
      </c>
      <c r="E667" s="1" t="s">
        <v>19</v>
      </c>
      <c r="F667" s="1" t="s">
        <v>20</v>
      </c>
      <c r="G667" s="1" t="s">
        <v>243</v>
      </c>
      <c r="H667" s="1" t="s">
        <v>423</v>
      </c>
      <c r="I667" s="1" t="s">
        <v>81</v>
      </c>
      <c r="J667" s="1" t="s">
        <v>32</v>
      </c>
      <c r="K667" s="1" t="s">
        <v>72</v>
      </c>
      <c r="L667" s="1" t="s">
        <v>498</v>
      </c>
      <c r="M667">
        <v>5</v>
      </c>
      <c r="N667">
        <v>0</v>
      </c>
      <c r="O667">
        <v>3.3784999999999998</v>
      </c>
      <c r="P667">
        <v>11.65</v>
      </c>
      <c r="Q667">
        <v>8.2714999999999996</v>
      </c>
    </row>
    <row r="668" spans="1:17" x14ac:dyDescent="0.25">
      <c r="A668" s="2">
        <v>42307</v>
      </c>
      <c r="B668" s="2">
        <v>42309</v>
      </c>
      <c r="C668" s="1" t="s">
        <v>17</v>
      </c>
      <c r="D668" s="1" t="s">
        <v>1279</v>
      </c>
      <c r="E668" s="1" t="s">
        <v>55</v>
      </c>
      <c r="F668" s="1" t="s">
        <v>20</v>
      </c>
      <c r="G668" s="1" t="s">
        <v>330</v>
      </c>
      <c r="H668" s="1" t="s">
        <v>115</v>
      </c>
      <c r="I668" s="1" t="s">
        <v>58</v>
      </c>
      <c r="J668" s="1" t="s">
        <v>99</v>
      </c>
      <c r="K668" s="1" t="s">
        <v>100</v>
      </c>
      <c r="L668" s="1" t="s">
        <v>1317</v>
      </c>
      <c r="M668">
        <v>2</v>
      </c>
      <c r="N668">
        <v>0</v>
      </c>
      <c r="O668">
        <v>74.974999999999994</v>
      </c>
      <c r="P668">
        <v>299.89999999999998</v>
      </c>
      <c r="Q668">
        <v>224.92499999999998</v>
      </c>
    </row>
    <row r="669" spans="1:17" x14ac:dyDescent="0.25">
      <c r="A669" s="2">
        <v>42964</v>
      </c>
      <c r="B669" s="2">
        <v>42966</v>
      </c>
      <c r="C669" s="1" t="s">
        <v>107</v>
      </c>
      <c r="D669" s="1" t="s">
        <v>1318</v>
      </c>
      <c r="E669" s="1" t="s">
        <v>28</v>
      </c>
      <c r="F669" s="1" t="s">
        <v>20</v>
      </c>
      <c r="G669" s="1" t="s">
        <v>1319</v>
      </c>
      <c r="H669" s="1" t="s">
        <v>127</v>
      </c>
      <c r="I669" s="1" t="s">
        <v>81</v>
      </c>
      <c r="J669" s="1" t="s">
        <v>32</v>
      </c>
      <c r="K669" s="1" t="s">
        <v>52</v>
      </c>
      <c r="L669" s="1" t="s">
        <v>1320</v>
      </c>
      <c r="M669">
        <v>5</v>
      </c>
      <c r="N669">
        <v>0.2</v>
      </c>
      <c r="O669">
        <v>302.37299999999999</v>
      </c>
      <c r="P669">
        <v>895.92</v>
      </c>
      <c r="Q669">
        <v>593.54700000000003</v>
      </c>
    </row>
    <row r="670" spans="1:17" x14ac:dyDescent="0.25">
      <c r="A670" s="2">
        <v>42559</v>
      </c>
      <c r="B670" s="2">
        <v>42561</v>
      </c>
      <c r="C670" s="1" t="s">
        <v>17</v>
      </c>
      <c r="D670" s="1" t="s">
        <v>1321</v>
      </c>
      <c r="E670" s="1" t="s">
        <v>28</v>
      </c>
      <c r="F670" s="1" t="s">
        <v>20</v>
      </c>
      <c r="G670" s="1" t="s">
        <v>384</v>
      </c>
      <c r="H670" s="1" t="s">
        <v>57</v>
      </c>
      <c r="I670" s="1" t="s">
        <v>58</v>
      </c>
      <c r="J670" s="1" t="s">
        <v>99</v>
      </c>
      <c r="K670" s="1" t="s">
        <v>100</v>
      </c>
      <c r="L670" s="1" t="s">
        <v>1322</v>
      </c>
      <c r="M670">
        <v>9</v>
      </c>
      <c r="N670">
        <v>0.2</v>
      </c>
      <c r="O670">
        <v>107.955</v>
      </c>
      <c r="P670">
        <v>863.64</v>
      </c>
      <c r="Q670">
        <v>755.68499999999995</v>
      </c>
    </row>
    <row r="671" spans="1:17" x14ac:dyDescent="0.25">
      <c r="A671" s="2">
        <v>42803</v>
      </c>
      <c r="B671" s="2">
        <v>42807</v>
      </c>
      <c r="C671" s="1" t="s">
        <v>35</v>
      </c>
      <c r="D671" s="1" t="s">
        <v>896</v>
      </c>
      <c r="E671" s="1" t="s">
        <v>28</v>
      </c>
      <c r="F671" s="1" t="s">
        <v>20</v>
      </c>
      <c r="G671" s="1" t="s">
        <v>71</v>
      </c>
      <c r="H671" s="1" t="s">
        <v>30</v>
      </c>
      <c r="I671" s="1" t="s">
        <v>31</v>
      </c>
      <c r="J671" s="1" t="s">
        <v>99</v>
      </c>
      <c r="K671" s="1" t="s">
        <v>111</v>
      </c>
      <c r="L671" s="1" t="s">
        <v>1323</v>
      </c>
      <c r="M671">
        <v>2</v>
      </c>
      <c r="N671">
        <v>0</v>
      </c>
      <c r="O671">
        <v>69.992999999999995</v>
      </c>
      <c r="P671">
        <v>199.98</v>
      </c>
      <c r="Q671">
        <v>129.98699999999999</v>
      </c>
    </row>
    <row r="672" spans="1:17" x14ac:dyDescent="0.25">
      <c r="A672" s="2">
        <v>43067</v>
      </c>
      <c r="B672" s="2">
        <v>43070</v>
      </c>
      <c r="C672" s="1" t="s">
        <v>107</v>
      </c>
      <c r="D672" s="1" t="s">
        <v>1324</v>
      </c>
      <c r="E672" s="1" t="s">
        <v>19</v>
      </c>
      <c r="F672" s="1" t="s">
        <v>20</v>
      </c>
      <c r="G672" s="1" t="s">
        <v>306</v>
      </c>
      <c r="H672" s="1" t="s">
        <v>198</v>
      </c>
      <c r="I672" s="1" t="s">
        <v>31</v>
      </c>
      <c r="J672" s="1" t="s">
        <v>32</v>
      </c>
      <c r="K672" s="1" t="s">
        <v>47</v>
      </c>
      <c r="L672" s="1" t="s">
        <v>722</v>
      </c>
      <c r="M672">
        <v>2</v>
      </c>
      <c r="N672">
        <v>0.2</v>
      </c>
      <c r="O672">
        <v>31.0688</v>
      </c>
      <c r="P672">
        <v>88.768000000000001</v>
      </c>
      <c r="Q672">
        <v>57.699200000000005</v>
      </c>
    </row>
    <row r="673" spans="1:17" x14ac:dyDescent="0.25">
      <c r="A673" s="2">
        <v>42810</v>
      </c>
      <c r="B673" s="2">
        <v>42812</v>
      </c>
      <c r="C673" s="1" t="s">
        <v>17</v>
      </c>
      <c r="D673" s="1" t="s">
        <v>296</v>
      </c>
      <c r="E673" s="1" t="s">
        <v>55</v>
      </c>
      <c r="F673" s="1" t="s">
        <v>20</v>
      </c>
      <c r="G673" s="1" t="s">
        <v>50</v>
      </c>
      <c r="H673" s="1" t="s">
        <v>51</v>
      </c>
      <c r="I673" s="1" t="s">
        <v>31</v>
      </c>
      <c r="J673" s="1" t="s">
        <v>32</v>
      </c>
      <c r="K673" s="1" t="s">
        <v>47</v>
      </c>
      <c r="L673" s="1" t="s">
        <v>1325</v>
      </c>
      <c r="M673">
        <v>1</v>
      </c>
      <c r="N673">
        <v>0</v>
      </c>
      <c r="O673">
        <v>3.1103999999999998</v>
      </c>
      <c r="P673">
        <v>6.48</v>
      </c>
      <c r="Q673">
        <v>3.3696000000000006</v>
      </c>
    </row>
    <row r="674" spans="1:17" x14ac:dyDescent="0.25">
      <c r="A674" s="2">
        <v>42953</v>
      </c>
      <c r="B674" s="2">
        <v>42957</v>
      </c>
      <c r="C674" s="1" t="s">
        <v>17</v>
      </c>
      <c r="D674" s="1" t="s">
        <v>730</v>
      </c>
      <c r="E674" s="1" t="s">
        <v>19</v>
      </c>
      <c r="F674" s="1" t="s">
        <v>20</v>
      </c>
      <c r="G674" s="1" t="s">
        <v>1326</v>
      </c>
      <c r="H674" s="1" t="s">
        <v>280</v>
      </c>
      <c r="I674" s="1" t="s">
        <v>23</v>
      </c>
      <c r="J674" s="1" t="s">
        <v>24</v>
      </c>
      <c r="K674" s="1" t="s">
        <v>25</v>
      </c>
      <c r="L674" s="1" t="s">
        <v>1327</v>
      </c>
      <c r="M674">
        <v>3</v>
      </c>
      <c r="N674">
        <v>0</v>
      </c>
      <c r="O674">
        <v>23.3184</v>
      </c>
      <c r="P674">
        <v>145.74</v>
      </c>
      <c r="Q674">
        <v>122.42160000000001</v>
      </c>
    </row>
    <row r="675" spans="1:17" x14ac:dyDescent="0.25">
      <c r="A675" s="2">
        <v>42149</v>
      </c>
      <c r="B675" s="2">
        <v>42151</v>
      </c>
      <c r="C675" s="1" t="s">
        <v>17</v>
      </c>
      <c r="D675" s="1" t="s">
        <v>1156</v>
      </c>
      <c r="E675" s="1" t="s">
        <v>55</v>
      </c>
      <c r="F675" s="1" t="s">
        <v>20</v>
      </c>
      <c r="G675" s="1" t="s">
        <v>71</v>
      </c>
      <c r="H675" s="1" t="s">
        <v>30</v>
      </c>
      <c r="I675" s="1" t="s">
        <v>31</v>
      </c>
      <c r="J675" s="1" t="s">
        <v>24</v>
      </c>
      <c r="K675" s="1" t="s">
        <v>42</v>
      </c>
      <c r="L675" s="1" t="s">
        <v>1328</v>
      </c>
      <c r="M675">
        <v>3</v>
      </c>
      <c r="N675">
        <v>0</v>
      </c>
      <c r="O675">
        <v>4.8609</v>
      </c>
      <c r="P675">
        <v>14.73</v>
      </c>
      <c r="Q675">
        <v>9.8690999999999995</v>
      </c>
    </row>
    <row r="676" spans="1:17" x14ac:dyDescent="0.25">
      <c r="A676" s="2">
        <v>42541</v>
      </c>
      <c r="B676" s="2">
        <v>42547</v>
      </c>
      <c r="C676" s="1" t="s">
        <v>35</v>
      </c>
      <c r="D676" s="1" t="s">
        <v>334</v>
      </c>
      <c r="E676" s="1" t="s">
        <v>28</v>
      </c>
      <c r="F676" s="1" t="s">
        <v>20</v>
      </c>
      <c r="G676" s="1" t="s">
        <v>1329</v>
      </c>
      <c r="H676" s="1" t="s">
        <v>57</v>
      </c>
      <c r="I676" s="1" t="s">
        <v>58</v>
      </c>
      <c r="J676" s="1" t="s">
        <v>99</v>
      </c>
      <c r="K676" s="1" t="s">
        <v>111</v>
      </c>
      <c r="L676" s="1" t="s">
        <v>1330</v>
      </c>
      <c r="M676">
        <v>4</v>
      </c>
      <c r="N676">
        <v>0.2</v>
      </c>
      <c r="O676">
        <v>26.391200000000001</v>
      </c>
      <c r="P676">
        <v>95.968000000000004</v>
      </c>
      <c r="Q676">
        <v>69.576800000000006</v>
      </c>
    </row>
    <row r="677" spans="1:17" x14ac:dyDescent="0.25">
      <c r="A677" s="2">
        <v>43090</v>
      </c>
      <c r="B677" s="2">
        <v>43097</v>
      </c>
      <c r="C677" s="1" t="s">
        <v>35</v>
      </c>
      <c r="D677" s="1" t="s">
        <v>575</v>
      </c>
      <c r="E677" s="1" t="s">
        <v>19</v>
      </c>
      <c r="F677" s="1" t="s">
        <v>20</v>
      </c>
      <c r="G677" s="1" t="s">
        <v>1331</v>
      </c>
      <c r="H677" s="1" t="s">
        <v>298</v>
      </c>
      <c r="I677" s="1" t="s">
        <v>81</v>
      </c>
      <c r="J677" s="1" t="s">
        <v>99</v>
      </c>
      <c r="K677" s="1" t="s">
        <v>100</v>
      </c>
      <c r="L677" s="1" t="s">
        <v>1332</v>
      </c>
      <c r="M677">
        <v>3</v>
      </c>
      <c r="N677">
        <v>0</v>
      </c>
      <c r="O677">
        <v>78.951599999999999</v>
      </c>
      <c r="P677">
        <v>281.97000000000003</v>
      </c>
      <c r="Q677">
        <v>203.01840000000004</v>
      </c>
    </row>
    <row r="678" spans="1:17" x14ac:dyDescent="0.25">
      <c r="A678" s="2">
        <v>42861</v>
      </c>
      <c r="B678" s="2">
        <v>42866</v>
      </c>
      <c r="C678" s="1" t="s">
        <v>35</v>
      </c>
      <c r="D678" s="1" t="s">
        <v>1253</v>
      </c>
      <c r="E678" s="1" t="s">
        <v>55</v>
      </c>
      <c r="F678" s="1" t="s">
        <v>20</v>
      </c>
      <c r="G678" s="1" t="s">
        <v>136</v>
      </c>
      <c r="H678" s="1" t="s">
        <v>98</v>
      </c>
      <c r="I678" s="1" t="s">
        <v>58</v>
      </c>
      <c r="J678" s="1" t="s">
        <v>32</v>
      </c>
      <c r="K678" s="1" t="s">
        <v>72</v>
      </c>
      <c r="L678" s="1" t="s">
        <v>1333</v>
      </c>
      <c r="M678">
        <v>3</v>
      </c>
      <c r="N678">
        <v>0.2</v>
      </c>
      <c r="O678">
        <v>0.64080000000000004</v>
      </c>
      <c r="P678">
        <v>6.4080000000000004</v>
      </c>
      <c r="Q678">
        <v>5.7672000000000008</v>
      </c>
    </row>
    <row r="679" spans="1:17" x14ac:dyDescent="0.25">
      <c r="A679" s="2">
        <v>41930</v>
      </c>
      <c r="B679" s="2">
        <v>41932</v>
      </c>
      <c r="C679" s="1" t="s">
        <v>17</v>
      </c>
      <c r="D679" s="1" t="s">
        <v>379</v>
      </c>
      <c r="E679" s="1" t="s">
        <v>28</v>
      </c>
      <c r="F679" s="1" t="s">
        <v>20</v>
      </c>
      <c r="G679" s="1" t="s">
        <v>591</v>
      </c>
      <c r="H679" s="1" t="s">
        <v>159</v>
      </c>
      <c r="I679" s="1" t="s">
        <v>23</v>
      </c>
      <c r="J679" s="1" t="s">
        <v>32</v>
      </c>
      <c r="K679" s="1" t="s">
        <v>64</v>
      </c>
      <c r="L679" s="1" t="s">
        <v>696</v>
      </c>
      <c r="M679">
        <v>3</v>
      </c>
      <c r="N679">
        <v>0</v>
      </c>
      <c r="O679">
        <v>11.0388</v>
      </c>
      <c r="P679">
        <v>275.97000000000003</v>
      </c>
      <c r="Q679">
        <v>264.93120000000005</v>
      </c>
    </row>
    <row r="680" spans="1:17" x14ac:dyDescent="0.25">
      <c r="A680" s="2">
        <v>42132</v>
      </c>
      <c r="B680" s="2">
        <v>42136</v>
      </c>
      <c r="C680" s="1" t="s">
        <v>35</v>
      </c>
      <c r="D680" s="1" t="s">
        <v>593</v>
      </c>
      <c r="E680" s="1" t="s">
        <v>19</v>
      </c>
      <c r="F680" s="1" t="s">
        <v>20</v>
      </c>
      <c r="G680" s="1" t="s">
        <v>639</v>
      </c>
      <c r="H680" s="1" t="s">
        <v>183</v>
      </c>
      <c r="I680" s="1" t="s">
        <v>31</v>
      </c>
      <c r="J680" s="1" t="s">
        <v>32</v>
      </c>
      <c r="K680" s="1" t="s">
        <v>72</v>
      </c>
      <c r="L680" s="1" t="s">
        <v>1334</v>
      </c>
      <c r="M680">
        <v>2</v>
      </c>
      <c r="N680">
        <v>0.2</v>
      </c>
      <c r="O680">
        <v>0.59040000000000004</v>
      </c>
      <c r="P680">
        <v>5.2480000000000002</v>
      </c>
      <c r="Q680">
        <v>4.6576000000000004</v>
      </c>
    </row>
    <row r="681" spans="1:17" x14ac:dyDescent="0.25">
      <c r="A681" s="2">
        <v>42474</v>
      </c>
      <c r="B681" s="2">
        <v>42474</v>
      </c>
      <c r="C681" s="1" t="s">
        <v>434</v>
      </c>
      <c r="D681" s="1" t="s">
        <v>1117</v>
      </c>
      <c r="E681" s="1" t="s">
        <v>19</v>
      </c>
      <c r="F681" s="1" t="s">
        <v>20</v>
      </c>
      <c r="G681" s="1" t="s">
        <v>1153</v>
      </c>
      <c r="H681" s="1" t="s">
        <v>140</v>
      </c>
      <c r="I681" s="1" t="s">
        <v>31</v>
      </c>
      <c r="J681" s="1" t="s">
        <v>24</v>
      </c>
      <c r="K681" s="1" t="s">
        <v>82</v>
      </c>
      <c r="L681" s="1" t="s">
        <v>915</v>
      </c>
      <c r="M681">
        <v>4</v>
      </c>
      <c r="N681">
        <v>0.2</v>
      </c>
      <c r="O681">
        <v>105.0228</v>
      </c>
      <c r="P681">
        <v>933.53599999999994</v>
      </c>
      <c r="Q681">
        <v>828.51319999999998</v>
      </c>
    </row>
    <row r="682" spans="1:17" x14ac:dyDescent="0.25">
      <c r="A682" s="2">
        <v>41968</v>
      </c>
      <c r="B682" s="2">
        <v>41970</v>
      </c>
      <c r="C682" s="1" t="s">
        <v>17</v>
      </c>
      <c r="D682" s="1" t="s">
        <v>1087</v>
      </c>
      <c r="E682" s="1" t="s">
        <v>28</v>
      </c>
      <c r="F682" s="1" t="s">
        <v>20</v>
      </c>
      <c r="G682" s="1" t="s">
        <v>359</v>
      </c>
      <c r="H682" s="1" t="s">
        <v>30</v>
      </c>
      <c r="I682" s="1" t="s">
        <v>31</v>
      </c>
      <c r="J682" s="1" t="s">
        <v>32</v>
      </c>
      <c r="K682" s="1" t="s">
        <v>59</v>
      </c>
      <c r="L682" s="1" t="s">
        <v>1335</v>
      </c>
      <c r="M682">
        <v>6</v>
      </c>
      <c r="N682">
        <v>0</v>
      </c>
      <c r="O682">
        <v>93.055199999999999</v>
      </c>
      <c r="P682">
        <v>320.88</v>
      </c>
      <c r="Q682">
        <v>227.82479999999998</v>
      </c>
    </row>
    <row r="683" spans="1:17" x14ac:dyDescent="0.25">
      <c r="A683" s="2">
        <v>42317</v>
      </c>
      <c r="B683" s="2">
        <v>42321</v>
      </c>
      <c r="C683" s="1" t="s">
        <v>35</v>
      </c>
      <c r="D683" s="1" t="s">
        <v>1336</v>
      </c>
      <c r="E683" s="1" t="s">
        <v>19</v>
      </c>
      <c r="F683" s="1" t="s">
        <v>20</v>
      </c>
      <c r="G683" s="1" t="s">
        <v>143</v>
      </c>
      <c r="H683" s="1" t="s">
        <v>235</v>
      </c>
      <c r="I683" s="1" t="s">
        <v>58</v>
      </c>
      <c r="J683" s="1" t="s">
        <v>32</v>
      </c>
      <c r="K683" s="1" t="s">
        <v>52</v>
      </c>
      <c r="L683" s="1" t="s">
        <v>1337</v>
      </c>
      <c r="M683">
        <v>3</v>
      </c>
      <c r="N683">
        <v>0</v>
      </c>
      <c r="O683">
        <v>7.9211999999999998</v>
      </c>
      <c r="P683">
        <v>17.22</v>
      </c>
      <c r="Q683">
        <v>9.2988</v>
      </c>
    </row>
    <row r="684" spans="1:17" x14ac:dyDescent="0.25">
      <c r="A684" s="2">
        <v>41676</v>
      </c>
      <c r="B684" s="2">
        <v>41679</v>
      </c>
      <c r="C684" s="1" t="s">
        <v>107</v>
      </c>
      <c r="D684" s="1" t="s">
        <v>1338</v>
      </c>
      <c r="E684" s="1" t="s">
        <v>28</v>
      </c>
      <c r="F684" s="1" t="s">
        <v>20</v>
      </c>
      <c r="G684" s="1" t="s">
        <v>1339</v>
      </c>
      <c r="H684" s="1" t="s">
        <v>144</v>
      </c>
      <c r="I684" s="1" t="s">
        <v>23</v>
      </c>
      <c r="J684" s="1" t="s">
        <v>32</v>
      </c>
      <c r="K684" s="1" t="s">
        <v>33</v>
      </c>
      <c r="L684" s="1" t="s">
        <v>1340</v>
      </c>
      <c r="M684">
        <v>4</v>
      </c>
      <c r="N684">
        <v>0</v>
      </c>
      <c r="O684">
        <v>7.2</v>
      </c>
      <c r="P684">
        <v>15</v>
      </c>
      <c r="Q684">
        <v>7.8</v>
      </c>
    </row>
    <row r="685" spans="1:17" x14ac:dyDescent="0.25">
      <c r="A685" s="2">
        <v>41958</v>
      </c>
      <c r="B685" s="2">
        <v>41964</v>
      </c>
      <c r="C685" s="1" t="s">
        <v>35</v>
      </c>
      <c r="D685" s="1" t="s">
        <v>1341</v>
      </c>
      <c r="E685" s="1" t="s">
        <v>19</v>
      </c>
      <c r="F685" s="1" t="s">
        <v>20</v>
      </c>
      <c r="G685" s="1" t="s">
        <v>1342</v>
      </c>
      <c r="H685" s="1" t="s">
        <v>152</v>
      </c>
      <c r="I685" s="1" t="s">
        <v>23</v>
      </c>
      <c r="J685" s="1" t="s">
        <v>32</v>
      </c>
      <c r="K685" s="1" t="s">
        <v>72</v>
      </c>
      <c r="L685" s="1" t="s">
        <v>1343</v>
      </c>
      <c r="M685">
        <v>3</v>
      </c>
      <c r="N685">
        <v>0.2</v>
      </c>
      <c r="O685">
        <v>0.47520000000000001</v>
      </c>
      <c r="P685">
        <v>4.2240000000000002</v>
      </c>
      <c r="Q685">
        <v>3.7488000000000001</v>
      </c>
    </row>
    <row r="686" spans="1:17" x14ac:dyDescent="0.25">
      <c r="A686" s="2">
        <v>42632</v>
      </c>
      <c r="B686" s="2">
        <v>42634</v>
      </c>
      <c r="C686" s="1" t="s">
        <v>107</v>
      </c>
      <c r="D686" s="1" t="s">
        <v>1344</v>
      </c>
      <c r="E686" s="1" t="s">
        <v>55</v>
      </c>
      <c r="F686" s="1" t="s">
        <v>20</v>
      </c>
      <c r="G686" s="1" t="s">
        <v>1068</v>
      </c>
      <c r="H686" s="1" t="s">
        <v>474</v>
      </c>
      <c r="I686" s="1" t="s">
        <v>81</v>
      </c>
      <c r="J686" s="1" t="s">
        <v>32</v>
      </c>
      <c r="K686" s="1" t="s">
        <v>64</v>
      </c>
      <c r="L686" s="1" t="s">
        <v>649</v>
      </c>
      <c r="M686">
        <v>9</v>
      </c>
      <c r="N686">
        <v>0</v>
      </c>
      <c r="O686">
        <v>481.86900000000003</v>
      </c>
      <c r="P686">
        <v>1606.23</v>
      </c>
      <c r="Q686">
        <v>1124.3609999999999</v>
      </c>
    </row>
    <row r="687" spans="1:17" x14ac:dyDescent="0.25">
      <c r="A687" s="2">
        <v>42076</v>
      </c>
      <c r="B687" s="2">
        <v>42078</v>
      </c>
      <c r="C687" s="1" t="s">
        <v>107</v>
      </c>
      <c r="D687" s="1" t="s">
        <v>1345</v>
      </c>
      <c r="E687" s="1" t="s">
        <v>19</v>
      </c>
      <c r="F687" s="1" t="s">
        <v>20</v>
      </c>
      <c r="G687" s="1" t="s">
        <v>50</v>
      </c>
      <c r="H687" s="1" t="s">
        <v>51</v>
      </c>
      <c r="I687" s="1" t="s">
        <v>31</v>
      </c>
      <c r="J687" s="1" t="s">
        <v>24</v>
      </c>
      <c r="K687" s="1" t="s">
        <v>25</v>
      </c>
      <c r="L687" s="1" t="s">
        <v>1346</v>
      </c>
      <c r="M687">
        <v>2</v>
      </c>
      <c r="N687">
        <v>0</v>
      </c>
      <c r="O687">
        <v>39.748800000000003</v>
      </c>
      <c r="P687">
        <v>141.96</v>
      </c>
      <c r="Q687">
        <v>102.21120000000001</v>
      </c>
    </row>
    <row r="688" spans="1:17" x14ac:dyDescent="0.25">
      <c r="A688" s="2">
        <v>42027</v>
      </c>
      <c r="B688" s="2">
        <v>42031</v>
      </c>
      <c r="C688" s="1" t="s">
        <v>35</v>
      </c>
      <c r="D688" s="1" t="s">
        <v>550</v>
      </c>
      <c r="E688" s="1" t="s">
        <v>55</v>
      </c>
      <c r="F688" s="1" t="s">
        <v>20</v>
      </c>
      <c r="G688" s="1" t="s">
        <v>1347</v>
      </c>
      <c r="H688" s="1" t="s">
        <v>572</v>
      </c>
      <c r="I688" s="1" t="s">
        <v>31</v>
      </c>
      <c r="J688" s="1" t="s">
        <v>32</v>
      </c>
      <c r="K688" s="1" t="s">
        <v>47</v>
      </c>
      <c r="L688" s="1" t="s">
        <v>1348</v>
      </c>
      <c r="M688">
        <v>3</v>
      </c>
      <c r="N688">
        <v>0</v>
      </c>
      <c r="O688">
        <v>13.9392</v>
      </c>
      <c r="P688">
        <v>29.04</v>
      </c>
      <c r="Q688">
        <v>15.1008</v>
      </c>
    </row>
    <row r="689" spans="1:17" x14ac:dyDescent="0.25">
      <c r="A689" s="2">
        <v>42173</v>
      </c>
      <c r="B689" s="2">
        <v>42178</v>
      </c>
      <c r="C689" s="1" t="s">
        <v>35</v>
      </c>
      <c r="D689" s="1" t="s">
        <v>1349</v>
      </c>
      <c r="E689" s="1" t="s">
        <v>55</v>
      </c>
      <c r="F689" s="1" t="s">
        <v>20</v>
      </c>
      <c r="G689" s="1" t="s">
        <v>466</v>
      </c>
      <c r="H689" s="1" t="s">
        <v>140</v>
      </c>
      <c r="I689" s="1" t="s">
        <v>31</v>
      </c>
      <c r="J689" s="1" t="s">
        <v>32</v>
      </c>
      <c r="K689" s="1" t="s">
        <v>47</v>
      </c>
      <c r="L689" s="1" t="s">
        <v>1350</v>
      </c>
      <c r="M689">
        <v>3</v>
      </c>
      <c r="N689">
        <v>0.2</v>
      </c>
      <c r="O689">
        <v>4.3326000000000002</v>
      </c>
      <c r="P689">
        <v>11.952</v>
      </c>
      <c r="Q689">
        <v>7.6193999999999997</v>
      </c>
    </row>
    <row r="690" spans="1:17" x14ac:dyDescent="0.25">
      <c r="A690" s="2">
        <v>42279</v>
      </c>
      <c r="B690" s="2">
        <v>42285</v>
      </c>
      <c r="C690" s="1" t="s">
        <v>35</v>
      </c>
      <c r="D690" s="1" t="s">
        <v>528</v>
      </c>
      <c r="E690" s="1" t="s">
        <v>28</v>
      </c>
      <c r="F690" s="1" t="s">
        <v>20</v>
      </c>
      <c r="G690" s="1" t="s">
        <v>345</v>
      </c>
      <c r="H690" s="1" t="s">
        <v>30</v>
      </c>
      <c r="I690" s="1" t="s">
        <v>31</v>
      </c>
      <c r="J690" s="1" t="s">
        <v>32</v>
      </c>
      <c r="K690" s="1" t="s">
        <v>52</v>
      </c>
      <c r="L690" s="1" t="s">
        <v>1351</v>
      </c>
      <c r="M690">
        <v>6</v>
      </c>
      <c r="N690">
        <v>0.2</v>
      </c>
      <c r="O690">
        <v>20.1264</v>
      </c>
      <c r="P690">
        <v>57.503999999999998</v>
      </c>
      <c r="Q690">
        <v>37.377600000000001</v>
      </c>
    </row>
    <row r="691" spans="1:17" x14ac:dyDescent="0.25">
      <c r="A691" s="2">
        <v>41868</v>
      </c>
      <c r="B691" s="2">
        <v>41874</v>
      </c>
      <c r="C691" s="1" t="s">
        <v>35</v>
      </c>
      <c r="D691" s="1" t="s">
        <v>74</v>
      </c>
      <c r="E691" s="1" t="s">
        <v>28</v>
      </c>
      <c r="F691" s="1" t="s">
        <v>20</v>
      </c>
      <c r="G691" s="1" t="s">
        <v>91</v>
      </c>
      <c r="H691" s="1" t="s">
        <v>57</v>
      </c>
      <c r="I691" s="1" t="s">
        <v>58</v>
      </c>
      <c r="J691" s="1" t="s">
        <v>32</v>
      </c>
      <c r="K691" s="1" t="s">
        <v>47</v>
      </c>
      <c r="L691" s="1" t="s">
        <v>1352</v>
      </c>
      <c r="M691">
        <v>3</v>
      </c>
      <c r="N691">
        <v>0.2</v>
      </c>
      <c r="O691">
        <v>5.4432</v>
      </c>
      <c r="P691">
        <v>15.552</v>
      </c>
      <c r="Q691">
        <v>10.108799999999999</v>
      </c>
    </row>
    <row r="692" spans="1:17" x14ac:dyDescent="0.25">
      <c r="A692" s="2">
        <v>41943</v>
      </c>
      <c r="B692" s="2">
        <v>41947</v>
      </c>
      <c r="C692" s="1" t="s">
        <v>35</v>
      </c>
      <c r="D692" s="1" t="s">
        <v>218</v>
      </c>
      <c r="E692" s="1" t="s">
        <v>28</v>
      </c>
      <c r="F692" s="1" t="s">
        <v>20</v>
      </c>
      <c r="G692" s="1" t="s">
        <v>29</v>
      </c>
      <c r="H692" s="1" t="s">
        <v>30</v>
      </c>
      <c r="I692" s="1" t="s">
        <v>31</v>
      </c>
      <c r="J692" s="1" t="s">
        <v>32</v>
      </c>
      <c r="K692" s="1" t="s">
        <v>128</v>
      </c>
      <c r="L692" s="1" t="s">
        <v>580</v>
      </c>
      <c r="M692">
        <v>3</v>
      </c>
      <c r="N692">
        <v>0</v>
      </c>
      <c r="O692">
        <v>5.2164000000000001</v>
      </c>
      <c r="P692">
        <v>11.34</v>
      </c>
      <c r="Q692">
        <v>6.1235999999999997</v>
      </c>
    </row>
    <row r="693" spans="1:17" x14ac:dyDescent="0.25">
      <c r="A693" s="2">
        <v>42107</v>
      </c>
      <c r="B693" s="2">
        <v>42113</v>
      </c>
      <c r="C693" s="1" t="s">
        <v>35</v>
      </c>
      <c r="D693" s="1" t="s">
        <v>638</v>
      </c>
      <c r="E693" s="1" t="s">
        <v>19</v>
      </c>
      <c r="F693" s="1" t="s">
        <v>20</v>
      </c>
      <c r="G693" s="1" t="s">
        <v>1175</v>
      </c>
      <c r="H693" s="1" t="s">
        <v>30</v>
      </c>
      <c r="I693" s="1" t="s">
        <v>31</v>
      </c>
      <c r="J693" s="1" t="s">
        <v>99</v>
      </c>
      <c r="K693" s="1" t="s">
        <v>111</v>
      </c>
      <c r="L693" s="1" t="s">
        <v>1353</v>
      </c>
      <c r="M693">
        <v>4</v>
      </c>
      <c r="N693">
        <v>0</v>
      </c>
      <c r="O693">
        <v>69.986000000000004</v>
      </c>
      <c r="P693">
        <v>199.96</v>
      </c>
      <c r="Q693">
        <v>129.97399999999999</v>
      </c>
    </row>
    <row r="694" spans="1:17" x14ac:dyDescent="0.25">
      <c r="A694" s="2">
        <v>41974</v>
      </c>
      <c r="B694" s="2">
        <v>41978</v>
      </c>
      <c r="C694" s="1" t="s">
        <v>35</v>
      </c>
      <c r="D694" s="1" t="s">
        <v>806</v>
      </c>
      <c r="E694" s="1" t="s">
        <v>19</v>
      </c>
      <c r="F694" s="1" t="s">
        <v>20</v>
      </c>
      <c r="G694" s="1" t="s">
        <v>71</v>
      </c>
      <c r="H694" s="1" t="s">
        <v>30</v>
      </c>
      <c r="I694" s="1" t="s">
        <v>31</v>
      </c>
      <c r="J694" s="1" t="s">
        <v>24</v>
      </c>
      <c r="K694" s="1" t="s">
        <v>42</v>
      </c>
      <c r="L694" s="1" t="s">
        <v>1354</v>
      </c>
      <c r="M694">
        <v>3</v>
      </c>
      <c r="N694">
        <v>0</v>
      </c>
      <c r="O694">
        <v>28.518000000000001</v>
      </c>
      <c r="P694">
        <v>58.2</v>
      </c>
      <c r="Q694">
        <v>29.682000000000002</v>
      </c>
    </row>
    <row r="695" spans="1:17" x14ac:dyDescent="0.25">
      <c r="A695" s="2">
        <v>42362</v>
      </c>
      <c r="B695" s="2">
        <v>42367</v>
      </c>
      <c r="C695" s="1" t="s">
        <v>35</v>
      </c>
      <c r="D695" s="1" t="s">
        <v>858</v>
      </c>
      <c r="E695" s="1" t="s">
        <v>19</v>
      </c>
      <c r="F695" s="1" t="s">
        <v>20</v>
      </c>
      <c r="G695" s="1" t="s">
        <v>894</v>
      </c>
      <c r="H695" s="1" t="s">
        <v>140</v>
      </c>
      <c r="I695" s="1" t="s">
        <v>31</v>
      </c>
      <c r="J695" s="1" t="s">
        <v>32</v>
      </c>
      <c r="K695" s="1" t="s">
        <v>47</v>
      </c>
      <c r="L695" s="1" t="s">
        <v>1355</v>
      </c>
      <c r="M695">
        <v>7</v>
      </c>
      <c r="N695">
        <v>0.2</v>
      </c>
      <c r="O695">
        <v>37.181199999999997</v>
      </c>
      <c r="P695">
        <v>106.232</v>
      </c>
      <c r="Q695">
        <v>69.05080000000001</v>
      </c>
    </row>
    <row r="696" spans="1:17" x14ac:dyDescent="0.25">
      <c r="A696" s="2">
        <v>42789</v>
      </c>
      <c r="B696" s="2">
        <v>42795</v>
      </c>
      <c r="C696" s="1" t="s">
        <v>35</v>
      </c>
      <c r="D696" s="1" t="s">
        <v>655</v>
      </c>
      <c r="E696" s="1" t="s">
        <v>19</v>
      </c>
      <c r="F696" s="1" t="s">
        <v>20</v>
      </c>
      <c r="G696" s="1" t="s">
        <v>29</v>
      </c>
      <c r="H696" s="1" t="s">
        <v>30</v>
      </c>
      <c r="I696" s="1" t="s">
        <v>31</v>
      </c>
      <c r="J696" s="1" t="s">
        <v>32</v>
      </c>
      <c r="K696" s="1" t="s">
        <v>47</v>
      </c>
      <c r="L696" s="1" t="s">
        <v>1059</v>
      </c>
      <c r="M696">
        <v>6</v>
      </c>
      <c r="N696">
        <v>0</v>
      </c>
      <c r="O696">
        <v>16.847999999999999</v>
      </c>
      <c r="P696">
        <v>37.44</v>
      </c>
      <c r="Q696">
        <v>20.591999999999999</v>
      </c>
    </row>
    <row r="697" spans="1:17" x14ac:dyDescent="0.25">
      <c r="A697" s="2">
        <v>41966</v>
      </c>
      <c r="B697" s="2">
        <v>41972</v>
      </c>
      <c r="C697" s="1" t="s">
        <v>35</v>
      </c>
      <c r="D697" s="1" t="s">
        <v>1356</v>
      </c>
      <c r="E697" s="1" t="s">
        <v>55</v>
      </c>
      <c r="F697" s="1" t="s">
        <v>20</v>
      </c>
      <c r="G697" s="1" t="s">
        <v>91</v>
      </c>
      <c r="H697" s="1" t="s">
        <v>57</v>
      </c>
      <c r="I697" s="1" t="s">
        <v>58</v>
      </c>
      <c r="J697" s="1" t="s">
        <v>32</v>
      </c>
      <c r="K697" s="1" t="s">
        <v>33</v>
      </c>
      <c r="L697" s="1" t="s">
        <v>547</v>
      </c>
      <c r="M697">
        <v>2</v>
      </c>
      <c r="N697">
        <v>0.2</v>
      </c>
      <c r="O697">
        <v>8.8800000000000008</v>
      </c>
      <c r="P697">
        <v>23.68</v>
      </c>
      <c r="Q697">
        <v>14.799999999999999</v>
      </c>
    </row>
    <row r="698" spans="1:17" x14ac:dyDescent="0.25">
      <c r="A698" s="2">
        <v>42544</v>
      </c>
      <c r="B698" s="2">
        <v>42549</v>
      </c>
      <c r="C698" s="1" t="s">
        <v>35</v>
      </c>
      <c r="D698" s="1" t="s">
        <v>49</v>
      </c>
      <c r="E698" s="1" t="s">
        <v>19</v>
      </c>
      <c r="F698" s="1" t="s">
        <v>20</v>
      </c>
      <c r="G698" s="1" t="s">
        <v>126</v>
      </c>
      <c r="H698" s="1" t="s">
        <v>127</v>
      </c>
      <c r="I698" s="1" t="s">
        <v>81</v>
      </c>
      <c r="J698" s="1" t="s">
        <v>32</v>
      </c>
      <c r="K698" s="1" t="s">
        <v>33</v>
      </c>
      <c r="L698" s="1" t="s">
        <v>1357</v>
      </c>
      <c r="M698">
        <v>4</v>
      </c>
      <c r="N698">
        <v>0</v>
      </c>
      <c r="O698">
        <v>56.175199999999997</v>
      </c>
      <c r="P698">
        <v>122.12</v>
      </c>
      <c r="Q698">
        <v>65.944800000000015</v>
      </c>
    </row>
    <row r="699" spans="1:17" x14ac:dyDescent="0.25">
      <c r="A699" s="2">
        <v>42303</v>
      </c>
      <c r="B699" s="2">
        <v>42307</v>
      </c>
      <c r="C699" s="1" t="s">
        <v>35</v>
      </c>
      <c r="D699" s="1" t="s">
        <v>559</v>
      </c>
      <c r="E699" s="1" t="s">
        <v>28</v>
      </c>
      <c r="F699" s="1" t="s">
        <v>20</v>
      </c>
      <c r="G699" s="1" t="s">
        <v>1358</v>
      </c>
      <c r="H699" s="1" t="s">
        <v>30</v>
      </c>
      <c r="I699" s="1" t="s">
        <v>31</v>
      </c>
      <c r="J699" s="1" t="s">
        <v>32</v>
      </c>
      <c r="K699" s="1" t="s">
        <v>33</v>
      </c>
      <c r="L699" s="1" t="s">
        <v>1359</v>
      </c>
      <c r="M699">
        <v>2</v>
      </c>
      <c r="N699">
        <v>0</v>
      </c>
      <c r="O699">
        <v>2.6496</v>
      </c>
      <c r="P699">
        <v>5.76</v>
      </c>
      <c r="Q699">
        <v>3.1103999999999998</v>
      </c>
    </row>
    <row r="700" spans="1:17" x14ac:dyDescent="0.25">
      <c r="A700" s="2">
        <v>42931</v>
      </c>
      <c r="B700" s="2">
        <v>42935</v>
      </c>
      <c r="C700" s="1" t="s">
        <v>35</v>
      </c>
      <c r="D700" s="1" t="s">
        <v>1360</v>
      </c>
      <c r="E700" s="1" t="s">
        <v>19</v>
      </c>
      <c r="F700" s="1" t="s">
        <v>20</v>
      </c>
      <c r="G700" s="1" t="s">
        <v>483</v>
      </c>
      <c r="H700" s="1" t="s">
        <v>119</v>
      </c>
      <c r="I700" s="1" t="s">
        <v>81</v>
      </c>
      <c r="J700" s="1" t="s">
        <v>32</v>
      </c>
      <c r="K700" s="1" t="s">
        <v>52</v>
      </c>
      <c r="L700" s="1" t="s">
        <v>1361</v>
      </c>
      <c r="M700">
        <v>3</v>
      </c>
      <c r="N700">
        <v>0</v>
      </c>
      <c r="O700">
        <v>13.009499999999999</v>
      </c>
      <c r="P700">
        <v>26.55</v>
      </c>
      <c r="Q700">
        <v>13.540500000000002</v>
      </c>
    </row>
    <row r="701" spans="1:17" x14ac:dyDescent="0.25">
      <c r="A701" s="2">
        <v>42333</v>
      </c>
      <c r="B701" s="2">
        <v>42337</v>
      </c>
      <c r="C701" s="1" t="s">
        <v>35</v>
      </c>
      <c r="D701" s="1" t="s">
        <v>78</v>
      </c>
      <c r="E701" s="1" t="s">
        <v>19</v>
      </c>
      <c r="F701" s="1" t="s">
        <v>20</v>
      </c>
      <c r="G701" s="1" t="s">
        <v>483</v>
      </c>
      <c r="H701" s="1" t="s">
        <v>46</v>
      </c>
      <c r="I701" s="1" t="s">
        <v>23</v>
      </c>
      <c r="J701" s="1" t="s">
        <v>32</v>
      </c>
      <c r="K701" s="1" t="s">
        <v>72</v>
      </c>
      <c r="L701" s="1" t="s">
        <v>1362</v>
      </c>
      <c r="M701">
        <v>5</v>
      </c>
      <c r="N701">
        <v>0.2</v>
      </c>
      <c r="O701">
        <v>1.476</v>
      </c>
      <c r="P701">
        <v>13.12</v>
      </c>
      <c r="Q701">
        <v>11.643999999999998</v>
      </c>
    </row>
    <row r="702" spans="1:17" x14ac:dyDescent="0.25">
      <c r="A702" s="2">
        <v>41708</v>
      </c>
      <c r="B702" s="2">
        <v>41715</v>
      </c>
      <c r="C702" s="1" t="s">
        <v>35</v>
      </c>
      <c r="D702" s="1" t="s">
        <v>1363</v>
      </c>
      <c r="E702" s="1" t="s">
        <v>19</v>
      </c>
      <c r="F702" s="1" t="s">
        <v>20</v>
      </c>
      <c r="G702" s="1" t="s">
        <v>306</v>
      </c>
      <c r="H702" s="1" t="s">
        <v>198</v>
      </c>
      <c r="I702" s="1" t="s">
        <v>31</v>
      </c>
      <c r="J702" s="1" t="s">
        <v>32</v>
      </c>
      <c r="K702" s="1" t="s">
        <v>64</v>
      </c>
      <c r="L702" s="1" t="s">
        <v>1364</v>
      </c>
      <c r="M702">
        <v>3</v>
      </c>
      <c r="N702">
        <v>0.2</v>
      </c>
      <c r="O702">
        <v>-15.9102</v>
      </c>
      <c r="P702">
        <v>636.40800000000002</v>
      </c>
      <c r="Q702">
        <v>652.31820000000005</v>
      </c>
    </row>
    <row r="703" spans="1:17" x14ac:dyDescent="0.25">
      <c r="A703" s="2">
        <v>41838</v>
      </c>
      <c r="B703" s="2">
        <v>41838</v>
      </c>
      <c r="C703" s="1" t="s">
        <v>434</v>
      </c>
      <c r="D703" s="1" t="s">
        <v>1365</v>
      </c>
      <c r="E703" s="1" t="s">
        <v>55</v>
      </c>
      <c r="F703" s="1" t="s">
        <v>20</v>
      </c>
      <c r="G703" s="1" t="s">
        <v>442</v>
      </c>
      <c r="H703" s="1" t="s">
        <v>140</v>
      </c>
      <c r="I703" s="1" t="s">
        <v>31</v>
      </c>
      <c r="J703" s="1" t="s">
        <v>24</v>
      </c>
      <c r="K703" s="1" t="s">
        <v>82</v>
      </c>
      <c r="L703" s="1" t="s">
        <v>1366</v>
      </c>
      <c r="M703">
        <v>4</v>
      </c>
      <c r="N703">
        <v>0.2</v>
      </c>
      <c r="O703">
        <v>-25.913599999999999</v>
      </c>
      <c r="P703">
        <v>259.13600000000002</v>
      </c>
      <c r="Q703">
        <v>285.0496</v>
      </c>
    </row>
    <row r="704" spans="1:17" x14ac:dyDescent="0.25">
      <c r="A704" s="2">
        <v>42818</v>
      </c>
      <c r="B704" s="2">
        <v>42822</v>
      </c>
      <c r="C704" s="1" t="s">
        <v>17</v>
      </c>
      <c r="D704" s="1" t="s">
        <v>814</v>
      </c>
      <c r="E704" s="1" t="s">
        <v>28</v>
      </c>
      <c r="F704" s="1" t="s">
        <v>20</v>
      </c>
      <c r="G704" s="1" t="s">
        <v>126</v>
      </c>
      <c r="H704" s="1" t="s">
        <v>127</v>
      </c>
      <c r="I704" s="1" t="s">
        <v>81</v>
      </c>
      <c r="J704" s="1" t="s">
        <v>32</v>
      </c>
      <c r="K704" s="1" t="s">
        <v>47</v>
      </c>
      <c r="L704" s="1" t="s">
        <v>1367</v>
      </c>
      <c r="M704">
        <v>4</v>
      </c>
      <c r="N704">
        <v>0</v>
      </c>
      <c r="O704">
        <v>106.52160000000001</v>
      </c>
      <c r="P704">
        <v>221.92</v>
      </c>
      <c r="Q704">
        <v>115.39839999999998</v>
      </c>
    </row>
    <row r="705" spans="1:17" x14ac:dyDescent="0.25">
      <c r="A705" s="2">
        <v>41912</v>
      </c>
      <c r="B705" s="2">
        <v>41917</v>
      </c>
      <c r="C705" s="1" t="s">
        <v>35</v>
      </c>
      <c r="D705" s="1" t="s">
        <v>1368</v>
      </c>
      <c r="E705" s="1" t="s">
        <v>19</v>
      </c>
      <c r="F705" s="1" t="s">
        <v>20</v>
      </c>
      <c r="G705" s="1" t="s">
        <v>1040</v>
      </c>
      <c r="H705" s="1" t="s">
        <v>38</v>
      </c>
      <c r="I705" s="1" t="s">
        <v>23</v>
      </c>
      <c r="J705" s="1" t="s">
        <v>32</v>
      </c>
      <c r="K705" s="1" t="s">
        <v>47</v>
      </c>
      <c r="L705" s="1" t="s">
        <v>1369</v>
      </c>
      <c r="M705">
        <v>3</v>
      </c>
      <c r="N705">
        <v>0.2</v>
      </c>
      <c r="O705">
        <v>5.4432</v>
      </c>
      <c r="P705">
        <v>15.552</v>
      </c>
      <c r="Q705">
        <v>10.108799999999999</v>
      </c>
    </row>
    <row r="706" spans="1:17" x14ac:dyDescent="0.25">
      <c r="A706" s="2">
        <v>42308</v>
      </c>
      <c r="B706" s="2">
        <v>42308</v>
      </c>
      <c r="C706" s="1" t="s">
        <v>434</v>
      </c>
      <c r="D706" s="1" t="s">
        <v>233</v>
      </c>
      <c r="E706" s="1" t="s">
        <v>19</v>
      </c>
      <c r="F706" s="1" t="s">
        <v>20</v>
      </c>
      <c r="G706" s="1" t="s">
        <v>291</v>
      </c>
      <c r="H706" s="1" t="s">
        <v>30</v>
      </c>
      <c r="I706" s="1" t="s">
        <v>31</v>
      </c>
      <c r="J706" s="1" t="s">
        <v>32</v>
      </c>
      <c r="K706" s="1" t="s">
        <v>47</v>
      </c>
      <c r="L706" s="1" t="s">
        <v>490</v>
      </c>
      <c r="M706">
        <v>1</v>
      </c>
      <c r="N706">
        <v>0</v>
      </c>
      <c r="O706">
        <v>9.3905999999999992</v>
      </c>
      <c r="P706">
        <v>19.98</v>
      </c>
      <c r="Q706">
        <v>10.589400000000001</v>
      </c>
    </row>
    <row r="707" spans="1:17" x14ac:dyDescent="0.25">
      <c r="A707" s="2">
        <v>42742</v>
      </c>
      <c r="B707" s="2">
        <v>42748</v>
      </c>
      <c r="C707" s="1" t="s">
        <v>35</v>
      </c>
      <c r="D707" s="1" t="s">
        <v>1145</v>
      </c>
      <c r="E707" s="1" t="s">
        <v>19</v>
      </c>
      <c r="F707" s="1" t="s">
        <v>20</v>
      </c>
      <c r="G707" s="1" t="s">
        <v>1370</v>
      </c>
      <c r="H707" s="1" t="s">
        <v>38</v>
      </c>
      <c r="I707" s="1" t="s">
        <v>23</v>
      </c>
      <c r="J707" s="1" t="s">
        <v>32</v>
      </c>
      <c r="K707" s="1" t="s">
        <v>52</v>
      </c>
      <c r="L707" s="1" t="s">
        <v>900</v>
      </c>
      <c r="M707">
        <v>3</v>
      </c>
      <c r="N707">
        <v>0.7</v>
      </c>
      <c r="O707">
        <v>-1.9656</v>
      </c>
      <c r="P707">
        <v>2.8079999999999998</v>
      </c>
      <c r="Q707">
        <v>4.7736000000000001</v>
      </c>
    </row>
    <row r="708" spans="1:17" x14ac:dyDescent="0.25">
      <c r="A708" s="2">
        <v>43000</v>
      </c>
      <c r="B708" s="2">
        <v>43002</v>
      </c>
      <c r="C708" s="1" t="s">
        <v>17</v>
      </c>
      <c r="D708" s="1" t="s">
        <v>963</v>
      </c>
      <c r="E708" s="1" t="s">
        <v>55</v>
      </c>
      <c r="F708" s="1" t="s">
        <v>20</v>
      </c>
      <c r="G708" s="1" t="s">
        <v>1001</v>
      </c>
      <c r="H708" s="1" t="s">
        <v>115</v>
      </c>
      <c r="I708" s="1" t="s">
        <v>58</v>
      </c>
      <c r="J708" s="1" t="s">
        <v>24</v>
      </c>
      <c r="K708" s="1" t="s">
        <v>25</v>
      </c>
      <c r="L708" s="1" t="s">
        <v>1371</v>
      </c>
      <c r="M708">
        <v>2</v>
      </c>
      <c r="N708">
        <v>0</v>
      </c>
      <c r="O708">
        <v>41.133200000000002</v>
      </c>
      <c r="P708">
        <v>241.96</v>
      </c>
      <c r="Q708">
        <v>200.82679999999999</v>
      </c>
    </row>
    <row r="709" spans="1:17" x14ac:dyDescent="0.25">
      <c r="A709" s="2">
        <v>41779</v>
      </c>
      <c r="B709" s="2">
        <v>41781</v>
      </c>
      <c r="C709" s="1" t="s">
        <v>17</v>
      </c>
      <c r="D709" s="1" t="s">
        <v>1372</v>
      </c>
      <c r="E709" s="1" t="s">
        <v>28</v>
      </c>
      <c r="F709" s="1" t="s">
        <v>20</v>
      </c>
      <c r="G709" s="1" t="s">
        <v>118</v>
      </c>
      <c r="H709" s="1" t="s">
        <v>842</v>
      </c>
      <c r="I709" s="1" t="s">
        <v>81</v>
      </c>
      <c r="J709" s="1" t="s">
        <v>32</v>
      </c>
      <c r="K709" s="1" t="s">
        <v>59</v>
      </c>
      <c r="L709" s="1" t="s">
        <v>1373</v>
      </c>
      <c r="M709">
        <v>4</v>
      </c>
      <c r="N709">
        <v>0</v>
      </c>
      <c r="O709">
        <v>9.3184000000000005</v>
      </c>
      <c r="P709">
        <v>33.28</v>
      </c>
      <c r="Q709">
        <v>23.961600000000001</v>
      </c>
    </row>
    <row r="710" spans="1:17" x14ac:dyDescent="0.25">
      <c r="A710" s="2">
        <v>42369</v>
      </c>
      <c r="B710" s="2">
        <v>42374</v>
      </c>
      <c r="C710" s="1" t="s">
        <v>35</v>
      </c>
      <c r="D710" s="1" t="s">
        <v>1374</v>
      </c>
      <c r="E710" s="1" t="s">
        <v>19</v>
      </c>
      <c r="F710" s="1" t="s">
        <v>20</v>
      </c>
      <c r="G710" s="1" t="s">
        <v>1375</v>
      </c>
      <c r="H710" s="1" t="s">
        <v>57</v>
      </c>
      <c r="I710" s="1" t="s">
        <v>58</v>
      </c>
      <c r="J710" s="1" t="s">
        <v>24</v>
      </c>
      <c r="K710" s="1" t="s">
        <v>42</v>
      </c>
      <c r="L710" s="1" t="s">
        <v>1376</v>
      </c>
      <c r="M710">
        <v>5</v>
      </c>
      <c r="N710">
        <v>0.6</v>
      </c>
      <c r="O710">
        <v>-11.439</v>
      </c>
      <c r="P710">
        <v>14.76</v>
      </c>
      <c r="Q710">
        <v>26.198999999999998</v>
      </c>
    </row>
    <row r="711" spans="1:17" x14ac:dyDescent="0.25">
      <c r="A711" s="2">
        <v>41985</v>
      </c>
      <c r="B711" s="2">
        <v>41990</v>
      </c>
      <c r="C711" s="1" t="s">
        <v>35</v>
      </c>
      <c r="D711" s="1" t="s">
        <v>1377</v>
      </c>
      <c r="E711" s="1" t="s">
        <v>19</v>
      </c>
      <c r="F711" s="1" t="s">
        <v>20</v>
      </c>
      <c r="G711" s="1" t="s">
        <v>45</v>
      </c>
      <c r="H711" s="1" t="s">
        <v>30</v>
      </c>
      <c r="I711" s="1" t="s">
        <v>31</v>
      </c>
      <c r="J711" s="1" t="s">
        <v>24</v>
      </c>
      <c r="K711" s="1" t="s">
        <v>42</v>
      </c>
      <c r="L711" s="1" t="s">
        <v>940</v>
      </c>
      <c r="M711">
        <v>1</v>
      </c>
      <c r="N711">
        <v>0</v>
      </c>
      <c r="O711">
        <v>4.3310000000000004</v>
      </c>
      <c r="P711">
        <v>43.31</v>
      </c>
      <c r="Q711">
        <v>38.978999999999999</v>
      </c>
    </row>
    <row r="712" spans="1:17" x14ac:dyDescent="0.25">
      <c r="A712" s="2">
        <v>42825</v>
      </c>
      <c r="B712" s="2">
        <v>42830</v>
      </c>
      <c r="C712" s="1" t="s">
        <v>35</v>
      </c>
      <c r="D712" s="1" t="s">
        <v>453</v>
      </c>
      <c r="E712" s="1" t="s">
        <v>19</v>
      </c>
      <c r="F712" s="1" t="s">
        <v>20</v>
      </c>
      <c r="G712" s="1" t="s">
        <v>126</v>
      </c>
      <c r="H712" s="1" t="s">
        <v>127</v>
      </c>
      <c r="I712" s="1" t="s">
        <v>81</v>
      </c>
      <c r="J712" s="1" t="s">
        <v>99</v>
      </c>
      <c r="K712" s="1" t="s">
        <v>100</v>
      </c>
      <c r="L712" s="1" t="s">
        <v>1378</v>
      </c>
      <c r="M712">
        <v>5</v>
      </c>
      <c r="N712">
        <v>0</v>
      </c>
      <c r="O712">
        <v>22.087</v>
      </c>
      <c r="P712">
        <v>84.95</v>
      </c>
      <c r="Q712">
        <v>62.863</v>
      </c>
    </row>
    <row r="713" spans="1:17" x14ac:dyDescent="0.25">
      <c r="A713" s="2">
        <v>42490</v>
      </c>
      <c r="B713" s="2">
        <v>42495</v>
      </c>
      <c r="C713" s="1" t="s">
        <v>35</v>
      </c>
      <c r="D713" s="1" t="s">
        <v>1038</v>
      </c>
      <c r="E713" s="1" t="s">
        <v>55</v>
      </c>
      <c r="F713" s="1" t="s">
        <v>20</v>
      </c>
      <c r="G713" s="1" t="s">
        <v>309</v>
      </c>
      <c r="H713" s="1" t="s">
        <v>57</v>
      </c>
      <c r="I713" s="1" t="s">
        <v>58</v>
      </c>
      <c r="J713" s="1" t="s">
        <v>24</v>
      </c>
      <c r="K713" s="1" t="s">
        <v>42</v>
      </c>
      <c r="L713" s="1" t="s">
        <v>1379</v>
      </c>
      <c r="M713">
        <v>3</v>
      </c>
      <c r="N713">
        <v>0.6</v>
      </c>
      <c r="O713">
        <v>-10.1736</v>
      </c>
      <c r="P713">
        <v>22.608000000000001</v>
      </c>
      <c r="Q713">
        <v>32.781599999999997</v>
      </c>
    </row>
    <row r="714" spans="1:17" x14ac:dyDescent="0.25">
      <c r="A714" s="2">
        <v>42376</v>
      </c>
      <c r="B714" s="2">
        <v>42381</v>
      </c>
      <c r="C714" s="1" t="s">
        <v>35</v>
      </c>
      <c r="D714" s="1" t="s">
        <v>340</v>
      </c>
      <c r="E714" s="1" t="s">
        <v>55</v>
      </c>
      <c r="F714" s="1" t="s">
        <v>20</v>
      </c>
      <c r="G714" s="1" t="s">
        <v>975</v>
      </c>
      <c r="H714" s="1" t="s">
        <v>30</v>
      </c>
      <c r="I714" s="1" t="s">
        <v>31</v>
      </c>
      <c r="J714" s="1" t="s">
        <v>32</v>
      </c>
      <c r="K714" s="1" t="s">
        <v>72</v>
      </c>
      <c r="L714" s="1" t="s">
        <v>1380</v>
      </c>
      <c r="M714">
        <v>1</v>
      </c>
      <c r="N714">
        <v>0</v>
      </c>
      <c r="O714">
        <v>10.0282</v>
      </c>
      <c r="P714">
        <v>34.58</v>
      </c>
      <c r="Q714">
        <v>24.5518</v>
      </c>
    </row>
    <row r="715" spans="1:17" x14ac:dyDescent="0.25">
      <c r="A715" s="2">
        <v>42807</v>
      </c>
      <c r="B715" s="2">
        <v>42813</v>
      </c>
      <c r="C715" s="1" t="s">
        <v>35</v>
      </c>
      <c r="D715" s="1" t="s">
        <v>1381</v>
      </c>
      <c r="E715" s="1" t="s">
        <v>55</v>
      </c>
      <c r="F715" s="1" t="s">
        <v>20</v>
      </c>
      <c r="G715" s="1" t="s">
        <v>1382</v>
      </c>
      <c r="H715" s="1" t="s">
        <v>30</v>
      </c>
      <c r="I715" s="1" t="s">
        <v>31</v>
      </c>
      <c r="J715" s="1" t="s">
        <v>32</v>
      </c>
      <c r="K715" s="1" t="s">
        <v>47</v>
      </c>
      <c r="L715" s="1" t="s">
        <v>1383</v>
      </c>
      <c r="M715">
        <v>3</v>
      </c>
      <c r="N715">
        <v>0</v>
      </c>
      <c r="O715">
        <v>150.98400000000001</v>
      </c>
      <c r="P715">
        <v>314.55</v>
      </c>
      <c r="Q715">
        <v>163.566</v>
      </c>
    </row>
    <row r="716" spans="1:17" x14ac:dyDescent="0.25">
      <c r="A716" s="2">
        <v>42762</v>
      </c>
      <c r="B716" s="2">
        <v>42765</v>
      </c>
      <c r="C716" s="1" t="s">
        <v>17</v>
      </c>
      <c r="D716" s="1" t="s">
        <v>1384</v>
      </c>
      <c r="E716" s="1" t="s">
        <v>19</v>
      </c>
      <c r="F716" s="1" t="s">
        <v>20</v>
      </c>
      <c r="G716" s="1" t="s">
        <v>1385</v>
      </c>
      <c r="H716" s="1" t="s">
        <v>214</v>
      </c>
      <c r="I716" s="1" t="s">
        <v>81</v>
      </c>
      <c r="J716" s="1" t="s">
        <v>32</v>
      </c>
      <c r="K716" s="1" t="s">
        <v>72</v>
      </c>
      <c r="L716" s="1" t="s">
        <v>643</v>
      </c>
      <c r="M716">
        <v>3</v>
      </c>
      <c r="N716">
        <v>0.2</v>
      </c>
      <c r="O716">
        <v>1.752</v>
      </c>
      <c r="P716">
        <v>14.016</v>
      </c>
      <c r="Q716">
        <v>12.263999999999999</v>
      </c>
    </row>
    <row r="717" spans="1:17" x14ac:dyDescent="0.25">
      <c r="A717" s="2">
        <v>41852</v>
      </c>
      <c r="B717" s="2">
        <v>41854</v>
      </c>
      <c r="C717" s="1" t="s">
        <v>107</v>
      </c>
      <c r="D717" s="1" t="s">
        <v>1386</v>
      </c>
      <c r="E717" s="1" t="s">
        <v>19</v>
      </c>
      <c r="F717" s="1" t="s">
        <v>20</v>
      </c>
      <c r="G717" s="1" t="s">
        <v>71</v>
      </c>
      <c r="H717" s="1" t="s">
        <v>30</v>
      </c>
      <c r="I717" s="1" t="s">
        <v>31</v>
      </c>
      <c r="J717" s="1" t="s">
        <v>32</v>
      </c>
      <c r="K717" s="1" t="s">
        <v>52</v>
      </c>
      <c r="L717" s="1" t="s">
        <v>1387</v>
      </c>
      <c r="M717">
        <v>3</v>
      </c>
      <c r="N717">
        <v>0.2</v>
      </c>
      <c r="O717">
        <v>6.9131999999999998</v>
      </c>
      <c r="P717">
        <v>19.751999999999999</v>
      </c>
      <c r="Q717">
        <v>12.838799999999999</v>
      </c>
    </row>
    <row r="718" spans="1:17" x14ac:dyDescent="0.25">
      <c r="A718" s="2">
        <v>42581</v>
      </c>
      <c r="B718" s="2">
        <v>42586</v>
      </c>
      <c r="C718" s="1" t="s">
        <v>35</v>
      </c>
      <c r="D718" s="1" t="s">
        <v>1388</v>
      </c>
      <c r="E718" s="1" t="s">
        <v>55</v>
      </c>
      <c r="F718" s="1" t="s">
        <v>20</v>
      </c>
      <c r="G718" s="1" t="s">
        <v>91</v>
      </c>
      <c r="H718" s="1" t="s">
        <v>57</v>
      </c>
      <c r="I718" s="1" t="s">
        <v>58</v>
      </c>
      <c r="J718" s="1" t="s">
        <v>32</v>
      </c>
      <c r="K718" s="1" t="s">
        <v>52</v>
      </c>
      <c r="L718" s="1" t="s">
        <v>1389</v>
      </c>
      <c r="M718">
        <v>3</v>
      </c>
      <c r="N718">
        <v>0.8</v>
      </c>
      <c r="O718">
        <v>-13.896000000000001</v>
      </c>
      <c r="P718">
        <v>9.2639999999999993</v>
      </c>
      <c r="Q718">
        <v>23.16</v>
      </c>
    </row>
    <row r="719" spans="1:17" x14ac:dyDescent="0.25">
      <c r="A719" s="2">
        <v>42215</v>
      </c>
      <c r="B719" s="2">
        <v>42219</v>
      </c>
      <c r="C719" s="1" t="s">
        <v>17</v>
      </c>
      <c r="D719" s="1" t="s">
        <v>1390</v>
      </c>
      <c r="E719" s="1" t="s">
        <v>28</v>
      </c>
      <c r="F719" s="1" t="s">
        <v>20</v>
      </c>
      <c r="G719" s="1" t="s">
        <v>91</v>
      </c>
      <c r="H719" s="1" t="s">
        <v>57</v>
      </c>
      <c r="I719" s="1" t="s">
        <v>58</v>
      </c>
      <c r="J719" s="1" t="s">
        <v>32</v>
      </c>
      <c r="K719" s="1" t="s">
        <v>64</v>
      </c>
      <c r="L719" s="1" t="s">
        <v>1391</v>
      </c>
      <c r="M719">
        <v>4</v>
      </c>
      <c r="N719">
        <v>0.2</v>
      </c>
      <c r="O719">
        <v>6.1791999999999998</v>
      </c>
      <c r="P719">
        <v>61.792000000000002</v>
      </c>
      <c r="Q719">
        <v>55.6128</v>
      </c>
    </row>
    <row r="720" spans="1:17" x14ac:dyDescent="0.25">
      <c r="A720" s="2">
        <v>42497</v>
      </c>
      <c r="B720" s="2">
        <v>42501</v>
      </c>
      <c r="C720" s="1" t="s">
        <v>35</v>
      </c>
      <c r="D720" s="1" t="s">
        <v>491</v>
      </c>
      <c r="E720" s="1" t="s">
        <v>19</v>
      </c>
      <c r="F720" s="1" t="s">
        <v>20</v>
      </c>
      <c r="G720" s="1" t="s">
        <v>126</v>
      </c>
      <c r="H720" s="1" t="s">
        <v>127</v>
      </c>
      <c r="I720" s="1" t="s">
        <v>81</v>
      </c>
      <c r="J720" s="1" t="s">
        <v>32</v>
      </c>
      <c r="K720" s="1" t="s">
        <v>52</v>
      </c>
      <c r="L720" s="1" t="s">
        <v>1392</v>
      </c>
      <c r="M720">
        <v>7</v>
      </c>
      <c r="N720">
        <v>0.2</v>
      </c>
      <c r="O720">
        <v>30.896599999999999</v>
      </c>
      <c r="P720">
        <v>85.231999999999999</v>
      </c>
      <c r="Q720">
        <v>54.3354</v>
      </c>
    </row>
    <row r="721" spans="1:17" x14ac:dyDescent="0.25">
      <c r="A721" s="2">
        <v>42957</v>
      </c>
      <c r="B721" s="2">
        <v>42962</v>
      </c>
      <c r="C721" s="1" t="s">
        <v>35</v>
      </c>
      <c r="D721" s="1" t="s">
        <v>1386</v>
      </c>
      <c r="E721" s="1" t="s">
        <v>19</v>
      </c>
      <c r="F721" s="1" t="s">
        <v>20</v>
      </c>
      <c r="G721" s="1" t="s">
        <v>213</v>
      </c>
      <c r="H721" s="1" t="s">
        <v>123</v>
      </c>
      <c r="I721" s="1" t="s">
        <v>58</v>
      </c>
      <c r="J721" s="1" t="s">
        <v>32</v>
      </c>
      <c r="K721" s="1" t="s">
        <v>94</v>
      </c>
      <c r="L721" s="1" t="s">
        <v>263</v>
      </c>
      <c r="M721">
        <v>6</v>
      </c>
      <c r="N721">
        <v>0</v>
      </c>
      <c r="O721">
        <v>35.04</v>
      </c>
      <c r="P721">
        <v>70.08</v>
      </c>
      <c r="Q721">
        <v>35.04</v>
      </c>
    </row>
    <row r="722" spans="1:17" x14ac:dyDescent="0.25">
      <c r="A722" s="2">
        <v>42623</v>
      </c>
      <c r="B722" s="2">
        <v>42625</v>
      </c>
      <c r="C722" s="1" t="s">
        <v>17</v>
      </c>
      <c r="D722" s="1" t="s">
        <v>878</v>
      </c>
      <c r="E722" s="1" t="s">
        <v>55</v>
      </c>
      <c r="F722" s="1" t="s">
        <v>20</v>
      </c>
      <c r="G722" s="1" t="s">
        <v>219</v>
      </c>
      <c r="H722" s="1" t="s">
        <v>152</v>
      </c>
      <c r="I722" s="1" t="s">
        <v>23</v>
      </c>
      <c r="J722" s="1" t="s">
        <v>32</v>
      </c>
      <c r="K722" s="1" t="s">
        <v>72</v>
      </c>
      <c r="L722" s="1" t="s">
        <v>1393</v>
      </c>
      <c r="M722">
        <v>3</v>
      </c>
      <c r="N722">
        <v>0.2</v>
      </c>
      <c r="O722">
        <v>8.4450000000000003</v>
      </c>
      <c r="P722">
        <v>67.56</v>
      </c>
      <c r="Q722">
        <v>59.115000000000002</v>
      </c>
    </row>
    <row r="723" spans="1:17" x14ac:dyDescent="0.25">
      <c r="A723" s="2">
        <v>41834</v>
      </c>
      <c r="B723" s="2">
        <v>41840</v>
      </c>
      <c r="C723" s="1" t="s">
        <v>35</v>
      </c>
      <c r="D723" s="1" t="s">
        <v>1394</v>
      </c>
      <c r="E723" s="1" t="s">
        <v>55</v>
      </c>
      <c r="F723" s="1" t="s">
        <v>20</v>
      </c>
      <c r="G723" s="1" t="s">
        <v>197</v>
      </c>
      <c r="H723" s="1" t="s">
        <v>98</v>
      </c>
      <c r="I723" s="1" t="s">
        <v>58</v>
      </c>
      <c r="J723" s="1" t="s">
        <v>32</v>
      </c>
      <c r="K723" s="1" t="s">
        <v>52</v>
      </c>
      <c r="L723" s="1" t="s">
        <v>775</v>
      </c>
      <c r="M723">
        <v>7</v>
      </c>
      <c r="N723">
        <v>0.8</v>
      </c>
      <c r="O723">
        <v>-46.394599999999997</v>
      </c>
      <c r="P723">
        <v>29.931999999999999</v>
      </c>
      <c r="Q723">
        <v>76.326599999999999</v>
      </c>
    </row>
    <row r="724" spans="1:17" x14ac:dyDescent="0.25">
      <c r="A724" s="2">
        <v>42238</v>
      </c>
      <c r="B724" s="2">
        <v>42242</v>
      </c>
      <c r="C724" s="1" t="s">
        <v>35</v>
      </c>
      <c r="D724" s="1" t="s">
        <v>181</v>
      </c>
      <c r="E724" s="1" t="s">
        <v>55</v>
      </c>
      <c r="F724" s="1" t="s">
        <v>20</v>
      </c>
      <c r="G724" s="1" t="s">
        <v>126</v>
      </c>
      <c r="H724" s="1" t="s">
        <v>127</v>
      </c>
      <c r="I724" s="1" t="s">
        <v>81</v>
      </c>
      <c r="J724" s="1" t="s">
        <v>32</v>
      </c>
      <c r="K724" s="1" t="s">
        <v>72</v>
      </c>
      <c r="L724" s="1" t="s">
        <v>1395</v>
      </c>
      <c r="M724">
        <v>4</v>
      </c>
      <c r="N724">
        <v>0</v>
      </c>
      <c r="O724">
        <v>7.5991999999999997</v>
      </c>
      <c r="P724">
        <v>16.52</v>
      </c>
      <c r="Q724">
        <v>8.9207999999999998</v>
      </c>
    </row>
    <row r="725" spans="1:17" x14ac:dyDescent="0.25">
      <c r="A725" s="2">
        <v>41957</v>
      </c>
      <c r="B725" s="2">
        <v>41959</v>
      </c>
      <c r="C725" s="1" t="s">
        <v>17</v>
      </c>
      <c r="D725" s="1" t="s">
        <v>1396</v>
      </c>
      <c r="E725" s="1" t="s">
        <v>19</v>
      </c>
      <c r="F725" s="1" t="s">
        <v>20</v>
      </c>
      <c r="G725" s="1" t="s">
        <v>283</v>
      </c>
      <c r="H725" s="1" t="s">
        <v>284</v>
      </c>
      <c r="I725" s="1" t="s">
        <v>81</v>
      </c>
      <c r="J725" s="1" t="s">
        <v>99</v>
      </c>
      <c r="K725" s="1" t="s">
        <v>100</v>
      </c>
      <c r="L725" s="1" t="s">
        <v>1397</v>
      </c>
      <c r="M725">
        <v>7</v>
      </c>
      <c r="N725">
        <v>0</v>
      </c>
      <c r="O725">
        <v>233.22040000000001</v>
      </c>
      <c r="P725">
        <v>832.93</v>
      </c>
      <c r="Q725">
        <v>599.70959999999991</v>
      </c>
    </row>
    <row r="726" spans="1:17" x14ac:dyDescent="0.25">
      <c r="A726" s="2">
        <v>42701</v>
      </c>
      <c r="B726" s="2">
        <v>42704</v>
      </c>
      <c r="C726" s="1" t="s">
        <v>107</v>
      </c>
      <c r="D726" s="1" t="s">
        <v>428</v>
      </c>
      <c r="E726" s="1" t="s">
        <v>28</v>
      </c>
      <c r="F726" s="1" t="s">
        <v>20</v>
      </c>
      <c r="G726" s="1" t="s">
        <v>1398</v>
      </c>
      <c r="H726" s="1" t="s">
        <v>115</v>
      </c>
      <c r="I726" s="1" t="s">
        <v>58</v>
      </c>
      <c r="J726" s="1" t="s">
        <v>32</v>
      </c>
      <c r="K726" s="1" t="s">
        <v>59</v>
      </c>
      <c r="L726" s="1" t="s">
        <v>1399</v>
      </c>
      <c r="M726">
        <v>6</v>
      </c>
      <c r="N726">
        <v>0.1</v>
      </c>
      <c r="O726">
        <v>29.7408</v>
      </c>
      <c r="P726">
        <v>167.292</v>
      </c>
      <c r="Q726">
        <v>137.55119999999999</v>
      </c>
    </row>
    <row r="727" spans="1:17" x14ac:dyDescent="0.25">
      <c r="A727" s="2">
        <v>43009</v>
      </c>
      <c r="B727" s="2">
        <v>43010</v>
      </c>
      <c r="C727" s="1" t="s">
        <v>107</v>
      </c>
      <c r="D727" s="1" t="s">
        <v>1400</v>
      </c>
      <c r="E727" s="1" t="s">
        <v>19</v>
      </c>
      <c r="F727" s="1" t="s">
        <v>20</v>
      </c>
      <c r="G727" s="1" t="s">
        <v>249</v>
      </c>
      <c r="H727" s="1" t="s">
        <v>30</v>
      </c>
      <c r="I727" s="1" t="s">
        <v>31</v>
      </c>
      <c r="J727" s="1" t="s">
        <v>32</v>
      </c>
      <c r="K727" s="1" t="s">
        <v>52</v>
      </c>
      <c r="L727" s="1" t="s">
        <v>906</v>
      </c>
      <c r="M727">
        <v>1</v>
      </c>
      <c r="N727">
        <v>0.2</v>
      </c>
      <c r="O727">
        <v>0.504</v>
      </c>
      <c r="P727">
        <v>1.44</v>
      </c>
      <c r="Q727">
        <v>0.93599999999999994</v>
      </c>
    </row>
    <row r="728" spans="1:17" x14ac:dyDescent="0.25">
      <c r="A728" s="2">
        <v>42344</v>
      </c>
      <c r="B728" s="2">
        <v>42344</v>
      </c>
      <c r="C728" s="1" t="s">
        <v>434</v>
      </c>
      <c r="D728" s="1" t="s">
        <v>1401</v>
      </c>
      <c r="E728" s="1" t="s">
        <v>19</v>
      </c>
      <c r="F728" s="1" t="s">
        <v>20</v>
      </c>
      <c r="G728" s="1" t="s">
        <v>1402</v>
      </c>
      <c r="H728" s="1" t="s">
        <v>214</v>
      </c>
      <c r="I728" s="1" t="s">
        <v>81</v>
      </c>
      <c r="J728" s="1" t="s">
        <v>99</v>
      </c>
      <c r="K728" s="1" t="s">
        <v>100</v>
      </c>
      <c r="L728" s="1" t="s">
        <v>1403</v>
      </c>
      <c r="M728">
        <v>2</v>
      </c>
      <c r="N728">
        <v>0.4</v>
      </c>
      <c r="O728">
        <v>-89.088999999999999</v>
      </c>
      <c r="P728">
        <v>485.94</v>
      </c>
      <c r="Q728">
        <v>575.029</v>
      </c>
    </row>
    <row r="729" spans="1:17" x14ac:dyDescent="0.25">
      <c r="A729" s="2">
        <v>42947</v>
      </c>
      <c r="B729" s="2">
        <v>42952</v>
      </c>
      <c r="C729" s="1" t="s">
        <v>35</v>
      </c>
      <c r="D729" s="1" t="s">
        <v>334</v>
      </c>
      <c r="E729" s="1" t="s">
        <v>28</v>
      </c>
      <c r="F729" s="1" t="s">
        <v>20</v>
      </c>
      <c r="G729" s="1" t="s">
        <v>79</v>
      </c>
      <c r="H729" s="1" t="s">
        <v>80</v>
      </c>
      <c r="I729" s="1" t="s">
        <v>81</v>
      </c>
      <c r="J729" s="1" t="s">
        <v>32</v>
      </c>
      <c r="K729" s="1" t="s">
        <v>47</v>
      </c>
      <c r="L729" s="1" t="s">
        <v>1404</v>
      </c>
      <c r="M729">
        <v>3</v>
      </c>
      <c r="N729">
        <v>0.2</v>
      </c>
      <c r="O729">
        <v>17.815200000000001</v>
      </c>
      <c r="P729">
        <v>54.816000000000003</v>
      </c>
      <c r="Q729">
        <v>37.000799999999998</v>
      </c>
    </row>
    <row r="730" spans="1:17" x14ac:dyDescent="0.25">
      <c r="A730" s="2">
        <v>42644</v>
      </c>
      <c r="B730" s="2">
        <v>42648</v>
      </c>
      <c r="C730" s="1" t="s">
        <v>35</v>
      </c>
      <c r="D730" s="1" t="s">
        <v>1405</v>
      </c>
      <c r="E730" s="1" t="s">
        <v>19</v>
      </c>
      <c r="F730" s="1" t="s">
        <v>20</v>
      </c>
      <c r="G730" s="1" t="s">
        <v>126</v>
      </c>
      <c r="H730" s="1" t="s">
        <v>127</v>
      </c>
      <c r="I730" s="1" t="s">
        <v>81</v>
      </c>
      <c r="J730" s="1" t="s">
        <v>24</v>
      </c>
      <c r="K730" s="1" t="s">
        <v>39</v>
      </c>
      <c r="L730" s="1" t="s">
        <v>1406</v>
      </c>
      <c r="M730">
        <v>1</v>
      </c>
      <c r="N730">
        <v>0.4</v>
      </c>
      <c r="O730">
        <v>-115.7058</v>
      </c>
      <c r="P730">
        <v>330.58800000000002</v>
      </c>
      <c r="Q730">
        <v>446.29380000000003</v>
      </c>
    </row>
    <row r="731" spans="1:17" x14ac:dyDescent="0.25">
      <c r="A731" s="2">
        <v>41729</v>
      </c>
      <c r="B731" s="2">
        <v>41734</v>
      </c>
      <c r="C731" s="1" t="s">
        <v>35</v>
      </c>
      <c r="D731" s="1" t="s">
        <v>1009</v>
      </c>
      <c r="E731" s="1" t="s">
        <v>19</v>
      </c>
      <c r="F731" s="1" t="s">
        <v>20</v>
      </c>
      <c r="G731" s="1" t="s">
        <v>71</v>
      </c>
      <c r="H731" s="1" t="s">
        <v>30</v>
      </c>
      <c r="I731" s="1" t="s">
        <v>31</v>
      </c>
      <c r="J731" s="1" t="s">
        <v>32</v>
      </c>
      <c r="K731" s="1" t="s">
        <v>52</v>
      </c>
      <c r="L731" s="1" t="s">
        <v>1407</v>
      </c>
      <c r="M731">
        <v>2</v>
      </c>
      <c r="N731">
        <v>0.2</v>
      </c>
      <c r="O731">
        <v>252.58799999999999</v>
      </c>
      <c r="P731">
        <v>673.56799999999998</v>
      </c>
      <c r="Q731">
        <v>420.98</v>
      </c>
    </row>
    <row r="732" spans="1:17" x14ac:dyDescent="0.25">
      <c r="A732" s="2">
        <v>42925</v>
      </c>
      <c r="B732" s="2">
        <v>42930</v>
      </c>
      <c r="C732" s="1" t="s">
        <v>35</v>
      </c>
      <c r="D732" s="1" t="s">
        <v>1384</v>
      </c>
      <c r="E732" s="1" t="s">
        <v>19</v>
      </c>
      <c r="F732" s="1" t="s">
        <v>20</v>
      </c>
      <c r="G732" s="1" t="s">
        <v>136</v>
      </c>
      <c r="H732" s="1" t="s">
        <v>98</v>
      </c>
      <c r="I732" s="1" t="s">
        <v>58</v>
      </c>
      <c r="J732" s="1" t="s">
        <v>32</v>
      </c>
      <c r="K732" s="1" t="s">
        <v>64</v>
      </c>
      <c r="L732" s="1" t="s">
        <v>1408</v>
      </c>
      <c r="M732">
        <v>5</v>
      </c>
      <c r="N732">
        <v>0.2</v>
      </c>
      <c r="O732">
        <v>14.307499999999999</v>
      </c>
      <c r="P732">
        <v>228.92</v>
      </c>
      <c r="Q732">
        <v>214.61249999999998</v>
      </c>
    </row>
    <row r="733" spans="1:17" x14ac:dyDescent="0.25">
      <c r="A733" s="2">
        <v>42262</v>
      </c>
      <c r="B733" s="2">
        <v>42264</v>
      </c>
      <c r="C733" s="1" t="s">
        <v>17</v>
      </c>
      <c r="D733" s="1" t="s">
        <v>1409</v>
      </c>
      <c r="E733" s="1" t="s">
        <v>19</v>
      </c>
      <c r="F733" s="1" t="s">
        <v>20</v>
      </c>
      <c r="G733" s="1" t="s">
        <v>1410</v>
      </c>
      <c r="H733" s="1" t="s">
        <v>123</v>
      </c>
      <c r="I733" s="1" t="s">
        <v>58</v>
      </c>
      <c r="J733" s="1" t="s">
        <v>32</v>
      </c>
      <c r="K733" s="1" t="s">
        <v>64</v>
      </c>
      <c r="L733" s="1" t="s">
        <v>1411</v>
      </c>
      <c r="M733">
        <v>2</v>
      </c>
      <c r="N733">
        <v>0</v>
      </c>
      <c r="O733">
        <v>11.451599999999999</v>
      </c>
      <c r="P733">
        <v>190.86</v>
      </c>
      <c r="Q733">
        <v>179.40840000000003</v>
      </c>
    </row>
    <row r="734" spans="1:17" x14ac:dyDescent="0.25">
      <c r="A734" s="2">
        <v>42845</v>
      </c>
      <c r="B734" s="2">
        <v>42851</v>
      </c>
      <c r="C734" s="1" t="s">
        <v>35</v>
      </c>
      <c r="D734" s="1" t="s">
        <v>828</v>
      </c>
      <c r="E734" s="1" t="s">
        <v>55</v>
      </c>
      <c r="F734" s="1" t="s">
        <v>20</v>
      </c>
      <c r="G734" s="1" t="s">
        <v>136</v>
      </c>
      <c r="H734" s="1" t="s">
        <v>98</v>
      </c>
      <c r="I734" s="1" t="s">
        <v>58</v>
      </c>
      <c r="J734" s="1" t="s">
        <v>24</v>
      </c>
      <c r="K734" s="1" t="s">
        <v>42</v>
      </c>
      <c r="L734" s="1" t="s">
        <v>1412</v>
      </c>
      <c r="M734">
        <v>2</v>
      </c>
      <c r="N734">
        <v>0.6</v>
      </c>
      <c r="O734">
        <v>-52.17</v>
      </c>
      <c r="P734">
        <v>44.4</v>
      </c>
      <c r="Q734">
        <v>96.57</v>
      </c>
    </row>
    <row r="735" spans="1:17" x14ac:dyDescent="0.25">
      <c r="A735" s="2">
        <v>42050</v>
      </c>
      <c r="B735" s="2">
        <v>42053</v>
      </c>
      <c r="C735" s="1" t="s">
        <v>17</v>
      </c>
      <c r="D735" s="1" t="s">
        <v>1413</v>
      </c>
      <c r="E735" s="1" t="s">
        <v>19</v>
      </c>
      <c r="F735" s="1" t="s">
        <v>20</v>
      </c>
      <c r="G735" s="1" t="s">
        <v>29</v>
      </c>
      <c r="H735" s="1" t="s">
        <v>30</v>
      </c>
      <c r="I735" s="1" t="s">
        <v>31</v>
      </c>
      <c r="J735" s="1" t="s">
        <v>32</v>
      </c>
      <c r="K735" s="1" t="s">
        <v>47</v>
      </c>
      <c r="L735" s="1" t="s">
        <v>1414</v>
      </c>
      <c r="M735">
        <v>2</v>
      </c>
      <c r="N735">
        <v>0</v>
      </c>
      <c r="O735">
        <v>6.4127999999999998</v>
      </c>
      <c r="P735">
        <v>13.36</v>
      </c>
      <c r="Q735">
        <v>6.9471999999999996</v>
      </c>
    </row>
    <row r="736" spans="1:17" x14ac:dyDescent="0.25">
      <c r="A736" s="2">
        <v>42275</v>
      </c>
      <c r="B736" s="2">
        <v>42278</v>
      </c>
      <c r="C736" s="1" t="s">
        <v>107</v>
      </c>
      <c r="D736" s="1" t="s">
        <v>1085</v>
      </c>
      <c r="E736" s="1" t="s">
        <v>28</v>
      </c>
      <c r="F736" s="1" t="s">
        <v>20</v>
      </c>
      <c r="G736" s="1" t="s">
        <v>71</v>
      </c>
      <c r="H736" s="1" t="s">
        <v>30</v>
      </c>
      <c r="I736" s="1" t="s">
        <v>31</v>
      </c>
      <c r="J736" s="1" t="s">
        <v>32</v>
      </c>
      <c r="K736" s="1" t="s">
        <v>59</v>
      </c>
      <c r="L736" s="1" t="s">
        <v>1415</v>
      </c>
      <c r="M736">
        <v>3</v>
      </c>
      <c r="N736">
        <v>0</v>
      </c>
      <c r="O736">
        <v>14.2758</v>
      </c>
      <c r="P736">
        <v>43.26</v>
      </c>
      <c r="Q736">
        <v>28.984199999999998</v>
      </c>
    </row>
    <row r="737" spans="1:17" x14ac:dyDescent="0.25">
      <c r="A737" s="2">
        <v>42356</v>
      </c>
      <c r="B737" s="2">
        <v>42356</v>
      </c>
      <c r="C737" s="1" t="s">
        <v>434</v>
      </c>
      <c r="D737" s="1" t="s">
        <v>1416</v>
      </c>
      <c r="E737" s="1" t="s">
        <v>19</v>
      </c>
      <c r="F737" s="1" t="s">
        <v>20</v>
      </c>
      <c r="G737" s="1" t="s">
        <v>126</v>
      </c>
      <c r="H737" s="1" t="s">
        <v>127</v>
      </c>
      <c r="I737" s="1" t="s">
        <v>81</v>
      </c>
      <c r="J737" s="1" t="s">
        <v>99</v>
      </c>
      <c r="K737" s="1" t="s">
        <v>111</v>
      </c>
      <c r="L737" s="1" t="s">
        <v>714</v>
      </c>
      <c r="M737">
        <v>1</v>
      </c>
      <c r="N737">
        <v>0</v>
      </c>
      <c r="O737">
        <v>24.936</v>
      </c>
      <c r="P737">
        <v>166.24</v>
      </c>
      <c r="Q737">
        <v>141.304</v>
      </c>
    </row>
    <row r="738" spans="1:17" x14ac:dyDescent="0.25">
      <c r="A738" s="2">
        <v>42772</v>
      </c>
      <c r="B738" s="2">
        <v>42775</v>
      </c>
      <c r="C738" s="1" t="s">
        <v>107</v>
      </c>
      <c r="D738" s="1" t="s">
        <v>1417</v>
      </c>
      <c r="E738" s="1" t="s">
        <v>19</v>
      </c>
      <c r="F738" s="1" t="s">
        <v>20</v>
      </c>
      <c r="G738" s="1" t="s">
        <v>384</v>
      </c>
      <c r="H738" s="1" t="s">
        <v>144</v>
      </c>
      <c r="I738" s="1" t="s">
        <v>23</v>
      </c>
      <c r="J738" s="1" t="s">
        <v>24</v>
      </c>
      <c r="K738" s="1" t="s">
        <v>25</v>
      </c>
      <c r="L738" s="1" t="s">
        <v>1418</v>
      </c>
      <c r="M738">
        <v>3</v>
      </c>
      <c r="N738">
        <v>0</v>
      </c>
      <c r="O738">
        <v>79.193399999999997</v>
      </c>
      <c r="P738">
        <v>359.97</v>
      </c>
      <c r="Q738">
        <v>280.77660000000003</v>
      </c>
    </row>
    <row r="739" spans="1:17" x14ac:dyDescent="0.25">
      <c r="A739" s="2">
        <v>43020</v>
      </c>
      <c r="B739" s="2">
        <v>43020</v>
      </c>
      <c r="C739" s="1" t="s">
        <v>434</v>
      </c>
      <c r="D739" s="1" t="s">
        <v>1419</v>
      </c>
      <c r="E739" s="1" t="s">
        <v>55</v>
      </c>
      <c r="F739" s="1" t="s">
        <v>20</v>
      </c>
      <c r="G739" s="1" t="s">
        <v>279</v>
      </c>
      <c r="H739" s="1" t="s">
        <v>46</v>
      </c>
      <c r="I739" s="1" t="s">
        <v>23</v>
      </c>
      <c r="J739" s="1" t="s">
        <v>32</v>
      </c>
      <c r="K739" s="1" t="s">
        <v>47</v>
      </c>
      <c r="L739" s="1" t="s">
        <v>1420</v>
      </c>
      <c r="M739">
        <v>2</v>
      </c>
      <c r="N739">
        <v>0.2</v>
      </c>
      <c r="O739">
        <v>2.6892</v>
      </c>
      <c r="P739">
        <v>7.968</v>
      </c>
      <c r="Q739">
        <v>5.2788000000000004</v>
      </c>
    </row>
    <row r="740" spans="1:17" x14ac:dyDescent="0.25">
      <c r="A740" s="2">
        <v>43089</v>
      </c>
      <c r="B740" s="2">
        <v>43095</v>
      </c>
      <c r="C740" s="1" t="s">
        <v>35</v>
      </c>
      <c r="D740" s="1" t="s">
        <v>456</v>
      </c>
      <c r="E740" s="1" t="s">
        <v>28</v>
      </c>
      <c r="F740" s="1" t="s">
        <v>20</v>
      </c>
      <c r="G740" s="1" t="s">
        <v>172</v>
      </c>
      <c r="H740" s="1" t="s">
        <v>127</v>
      </c>
      <c r="I740" s="1" t="s">
        <v>81</v>
      </c>
      <c r="J740" s="1" t="s">
        <v>32</v>
      </c>
      <c r="K740" s="1" t="s">
        <v>47</v>
      </c>
      <c r="L740" s="1" t="s">
        <v>1421</v>
      </c>
      <c r="M740">
        <v>1</v>
      </c>
      <c r="N740">
        <v>0</v>
      </c>
      <c r="O740">
        <v>3.1103999999999998</v>
      </c>
      <c r="P740">
        <v>6.48</v>
      </c>
      <c r="Q740">
        <v>3.3696000000000006</v>
      </c>
    </row>
    <row r="741" spans="1:17" x14ac:dyDescent="0.25">
      <c r="A741" s="2">
        <v>42069</v>
      </c>
      <c r="B741" s="2">
        <v>42074</v>
      </c>
      <c r="C741" s="1" t="s">
        <v>35</v>
      </c>
      <c r="D741" s="1" t="s">
        <v>410</v>
      </c>
      <c r="E741" s="1" t="s">
        <v>19</v>
      </c>
      <c r="F741" s="1" t="s">
        <v>20</v>
      </c>
      <c r="G741" s="1" t="s">
        <v>71</v>
      </c>
      <c r="H741" s="1" t="s">
        <v>30</v>
      </c>
      <c r="I741" s="1" t="s">
        <v>31</v>
      </c>
      <c r="J741" s="1" t="s">
        <v>24</v>
      </c>
      <c r="K741" s="1" t="s">
        <v>42</v>
      </c>
      <c r="L741" s="1" t="s">
        <v>1422</v>
      </c>
      <c r="M741">
        <v>7</v>
      </c>
      <c r="N741">
        <v>0</v>
      </c>
      <c r="O741">
        <v>95.757199999999997</v>
      </c>
      <c r="P741">
        <v>435.26</v>
      </c>
      <c r="Q741">
        <v>339.50279999999998</v>
      </c>
    </row>
    <row r="742" spans="1:17" x14ac:dyDescent="0.25">
      <c r="A742" s="2">
        <v>41817</v>
      </c>
      <c r="B742" s="2">
        <v>41821</v>
      </c>
      <c r="C742" s="1" t="s">
        <v>35</v>
      </c>
      <c r="D742" s="1" t="s">
        <v>605</v>
      </c>
      <c r="E742" s="1" t="s">
        <v>19</v>
      </c>
      <c r="F742" s="1" t="s">
        <v>20</v>
      </c>
      <c r="G742" s="1" t="s">
        <v>1423</v>
      </c>
      <c r="H742" s="1" t="s">
        <v>502</v>
      </c>
      <c r="I742" s="1" t="s">
        <v>23</v>
      </c>
      <c r="J742" s="1" t="s">
        <v>32</v>
      </c>
      <c r="K742" s="1" t="s">
        <v>64</v>
      </c>
      <c r="L742" s="1" t="s">
        <v>1007</v>
      </c>
      <c r="M742">
        <v>5</v>
      </c>
      <c r="N742">
        <v>0</v>
      </c>
      <c r="O742">
        <v>0</v>
      </c>
      <c r="P742">
        <v>306.2</v>
      </c>
      <c r="Q742">
        <v>306.2</v>
      </c>
    </row>
    <row r="743" spans="1:17" x14ac:dyDescent="0.25">
      <c r="A743" s="2">
        <v>42068</v>
      </c>
      <c r="B743" s="2">
        <v>42072</v>
      </c>
      <c r="C743" s="1" t="s">
        <v>35</v>
      </c>
      <c r="D743" s="1" t="s">
        <v>625</v>
      </c>
      <c r="E743" s="1" t="s">
        <v>19</v>
      </c>
      <c r="F743" s="1" t="s">
        <v>20</v>
      </c>
      <c r="G743" s="1" t="s">
        <v>1424</v>
      </c>
      <c r="H743" s="1" t="s">
        <v>123</v>
      </c>
      <c r="I743" s="1" t="s">
        <v>58</v>
      </c>
      <c r="J743" s="1" t="s">
        <v>99</v>
      </c>
      <c r="K743" s="1" t="s">
        <v>100</v>
      </c>
      <c r="L743" s="1" t="s">
        <v>819</v>
      </c>
      <c r="M743">
        <v>2</v>
      </c>
      <c r="N743">
        <v>0</v>
      </c>
      <c r="O743">
        <v>6.6976000000000004</v>
      </c>
      <c r="P743">
        <v>23.92</v>
      </c>
      <c r="Q743">
        <v>17.2224</v>
      </c>
    </row>
    <row r="744" spans="1:17" x14ac:dyDescent="0.25">
      <c r="A744" s="2">
        <v>42887</v>
      </c>
      <c r="B744" s="2">
        <v>42891</v>
      </c>
      <c r="C744" s="1" t="s">
        <v>17</v>
      </c>
      <c r="D744" s="1" t="s">
        <v>685</v>
      </c>
      <c r="E744" s="1" t="s">
        <v>28</v>
      </c>
      <c r="F744" s="1" t="s">
        <v>20</v>
      </c>
      <c r="G744" s="1" t="s">
        <v>958</v>
      </c>
      <c r="H744" s="1" t="s">
        <v>214</v>
      </c>
      <c r="I744" s="1" t="s">
        <v>81</v>
      </c>
      <c r="J744" s="1" t="s">
        <v>32</v>
      </c>
      <c r="K744" s="1" t="s">
        <v>59</v>
      </c>
      <c r="L744" s="1" t="s">
        <v>1425</v>
      </c>
      <c r="M744">
        <v>5</v>
      </c>
      <c r="N744">
        <v>0.2</v>
      </c>
      <c r="O744">
        <v>1.3109999999999999</v>
      </c>
      <c r="P744">
        <v>17.48</v>
      </c>
      <c r="Q744">
        <v>16.169</v>
      </c>
    </row>
    <row r="745" spans="1:17" x14ac:dyDescent="0.25">
      <c r="A745" s="2">
        <v>42743</v>
      </c>
      <c r="B745" s="2">
        <v>42746</v>
      </c>
      <c r="C745" s="1" t="s">
        <v>107</v>
      </c>
      <c r="D745" s="1" t="s">
        <v>1426</v>
      </c>
      <c r="E745" s="1" t="s">
        <v>28</v>
      </c>
      <c r="F745" s="1" t="s">
        <v>20</v>
      </c>
      <c r="G745" s="1" t="s">
        <v>50</v>
      </c>
      <c r="H745" s="1" t="s">
        <v>51</v>
      </c>
      <c r="I745" s="1" t="s">
        <v>31</v>
      </c>
      <c r="J745" s="1" t="s">
        <v>24</v>
      </c>
      <c r="K745" s="1" t="s">
        <v>39</v>
      </c>
      <c r="L745" s="1" t="s">
        <v>1427</v>
      </c>
      <c r="M745">
        <v>2</v>
      </c>
      <c r="N745">
        <v>0</v>
      </c>
      <c r="O745">
        <v>80.368200000000002</v>
      </c>
      <c r="P745">
        <v>892.98</v>
      </c>
      <c r="Q745">
        <v>812.61180000000002</v>
      </c>
    </row>
    <row r="746" spans="1:17" x14ac:dyDescent="0.25">
      <c r="A746" s="2">
        <v>42114</v>
      </c>
      <c r="B746" s="2">
        <v>42119</v>
      </c>
      <c r="C746" s="1" t="s">
        <v>35</v>
      </c>
      <c r="D746" s="1" t="s">
        <v>957</v>
      </c>
      <c r="E746" s="1" t="s">
        <v>28</v>
      </c>
      <c r="F746" s="1" t="s">
        <v>20</v>
      </c>
      <c r="G746" s="1" t="s">
        <v>213</v>
      </c>
      <c r="H746" s="1" t="s">
        <v>429</v>
      </c>
      <c r="I746" s="1" t="s">
        <v>23</v>
      </c>
      <c r="J746" s="1" t="s">
        <v>99</v>
      </c>
      <c r="K746" s="1" t="s">
        <v>100</v>
      </c>
      <c r="L746" s="1" t="s">
        <v>1428</v>
      </c>
      <c r="M746">
        <v>3</v>
      </c>
      <c r="N746">
        <v>0</v>
      </c>
      <c r="O746">
        <v>77.751900000000006</v>
      </c>
      <c r="P746">
        <v>287.97000000000003</v>
      </c>
      <c r="Q746">
        <v>210.21810000000002</v>
      </c>
    </row>
    <row r="747" spans="1:17" x14ac:dyDescent="0.25">
      <c r="A747" s="2">
        <v>42309</v>
      </c>
      <c r="B747" s="2">
        <v>42313</v>
      </c>
      <c r="C747" s="1" t="s">
        <v>35</v>
      </c>
      <c r="D747" s="1" t="s">
        <v>332</v>
      </c>
      <c r="E747" s="1" t="s">
        <v>19</v>
      </c>
      <c r="F747" s="1" t="s">
        <v>20</v>
      </c>
      <c r="G747" s="1" t="s">
        <v>126</v>
      </c>
      <c r="H747" s="1" t="s">
        <v>127</v>
      </c>
      <c r="I747" s="1" t="s">
        <v>81</v>
      </c>
      <c r="J747" s="1" t="s">
        <v>32</v>
      </c>
      <c r="K747" s="1" t="s">
        <v>47</v>
      </c>
      <c r="L747" s="1" t="s">
        <v>1094</v>
      </c>
      <c r="M747">
        <v>4</v>
      </c>
      <c r="N747">
        <v>0</v>
      </c>
      <c r="O747">
        <v>6.2191999999999998</v>
      </c>
      <c r="P747">
        <v>13.52</v>
      </c>
      <c r="Q747">
        <v>7.3007999999999997</v>
      </c>
    </row>
    <row r="748" spans="1:17" x14ac:dyDescent="0.25">
      <c r="A748" s="2">
        <v>42727</v>
      </c>
      <c r="B748" s="2">
        <v>42728</v>
      </c>
      <c r="C748" s="1" t="s">
        <v>107</v>
      </c>
      <c r="D748" s="1" t="s">
        <v>386</v>
      </c>
      <c r="E748" s="1" t="s">
        <v>28</v>
      </c>
      <c r="F748" s="1" t="s">
        <v>20</v>
      </c>
      <c r="G748" s="1" t="s">
        <v>136</v>
      </c>
      <c r="H748" s="1" t="s">
        <v>98</v>
      </c>
      <c r="I748" s="1" t="s">
        <v>58</v>
      </c>
      <c r="J748" s="1" t="s">
        <v>24</v>
      </c>
      <c r="K748" s="1" t="s">
        <v>25</v>
      </c>
      <c r="L748" s="1" t="s">
        <v>863</v>
      </c>
      <c r="M748">
        <v>2</v>
      </c>
      <c r="N748">
        <v>0.3</v>
      </c>
      <c r="O748">
        <v>-14.1372</v>
      </c>
      <c r="P748">
        <v>141.37200000000001</v>
      </c>
      <c r="Q748">
        <v>155.50920000000002</v>
      </c>
    </row>
    <row r="749" spans="1:17" x14ac:dyDescent="0.25">
      <c r="A749" s="2">
        <v>42222</v>
      </c>
      <c r="B749" s="2">
        <v>42224</v>
      </c>
      <c r="C749" s="1" t="s">
        <v>107</v>
      </c>
      <c r="D749" s="1" t="s">
        <v>319</v>
      </c>
      <c r="E749" s="1" t="s">
        <v>28</v>
      </c>
      <c r="F749" s="1" t="s">
        <v>20</v>
      </c>
      <c r="G749" s="1" t="s">
        <v>91</v>
      </c>
      <c r="H749" s="1" t="s">
        <v>57</v>
      </c>
      <c r="I749" s="1" t="s">
        <v>58</v>
      </c>
      <c r="J749" s="1" t="s">
        <v>32</v>
      </c>
      <c r="K749" s="1" t="s">
        <v>47</v>
      </c>
      <c r="L749" s="1" t="s">
        <v>1098</v>
      </c>
      <c r="M749">
        <v>3</v>
      </c>
      <c r="N749">
        <v>0.2</v>
      </c>
      <c r="O749">
        <v>9.8658000000000001</v>
      </c>
      <c r="P749">
        <v>27.216000000000001</v>
      </c>
      <c r="Q749">
        <v>17.350200000000001</v>
      </c>
    </row>
    <row r="750" spans="1:17" x14ac:dyDescent="0.25">
      <c r="A750" s="2">
        <v>43044</v>
      </c>
      <c r="B750" s="2">
        <v>43048</v>
      </c>
      <c r="C750" s="1" t="s">
        <v>35</v>
      </c>
      <c r="D750" s="1" t="s">
        <v>1429</v>
      </c>
      <c r="E750" s="1" t="s">
        <v>19</v>
      </c>
      <c r="F750" s="1" t="s">
        <v>20</v>
      </c>
      <c r="G750" s="1" t="s">
        <v>126</v>
      </c>
      <c r="H750" s="1" t="s">
        <v>127</v>
      </c>
      <c r="I750" s="1" t="s">
        <v>81</v>
      </c>
      <c r="J750" s="1" t="s">
        <v>99</v>
      </c>
      <c r="K750" s="1" t="s">
        <v>111</v>
      </c>
      <c r="L750" s="1" t="s">
        <v>603</v>
      </c>
      <c r="M750">
        <v>5</v>
      </c>
      <c r="N750">
        <v>0</v>
      </c>
      <c r="O750">
        <v>171.93</v>
      </c>
      <c r="P750">
        <v>390.75</v>
      </c>
      <c r="Q750">
        <v>218.82</v>
      </c>
    </row>
    <row r="751" spans="1:17" x14ac:dyDescent="0.25">
      <c r="A751" s="2">
        <v>42369</v>
      </c>
      <c r="B751" s="2">
        <v>42372</v>
      </c>
      <c r="C751" s="1" t="s">
        <v>17</v>
      </c>
      <c r="D751" s="1" t="s">
        <v>884</v>
      </c>
      <c r="E751" s="1" t="s">
        <v>28</v>
      </c>
      <c r="F751" s="1" t="s">
        <v>20</v>
      </c>
      <c r="G751" s="1" t="s">
        <v>21</v>
      </c>
      <c r="H751" s="1" t="s">
        <v>22</v>
      </c>
      <c r="I751" s="1" t="s">
        <v>23</v>
      </c>
      <c r="J751" s="1" t="s">
        <v>32</v>
      </c>
      <c r="K751" s="1" t="s">
        <v>52</v>
      </c>
      <c r="L751" s="1" t="s">
        <v>471</v>
      </c>
      <c r="M751">
        <v>3</v>
      </c>
      <c r="N751">
        <v>0</v>
      </c>
      <c r="O751">
        <v>44.527799999999999</v>
      </c>
      <c r="P751">
        <v>94.74</v>
      </c>
      <c r="Q751">
        <v>50.212199999999996</v>
      </c>
    </row>
    <row r="752" spans="1:17" x14ac:dyDescent="0.25">
      <c r="A752" s="2">
        <v>42637</v>
      </c>
      <c r="B752" s="2">
        <v>42639</v>
      </c>
      <c r="C752" s="1" t="s">
        <v>17</v>
      </c>
      <c r="D752" s="1" t="s">
        <v>451</v>
      </c>
      <c r="E752" s="1" t="s">
        <v>28</v>
      </c>
      <c r="F752" s="1" t="s">
        <v>20</v>
      </c>
      <c r="G752" s="1" t="s">
        <v>29</v>
      </c>
      <c r="H752" s="1" t="s">
        <v>30</v>
      </c>
      <c r="I752" s="1" t="s">
        <v>31</v>
      </c>
      <c r="J752" s="1" t="s">
        <v>32</v>
      </c>
      <c r="K752" s="1" t="s">
        <v>64</v>
      </c>
      <c r="L752" s="1" t="s">
        <v>318</v>
      </c>
      <c r="M752">
        <v>2</v>
      </c>
      <c r="N752">
        <v>0</v>
      </c>
      <c r="O752">
        <v>2.9371999999999998</v>
      </c>
      <c r="P752">
        <v>41.96</v>
      </c>
      <c r="Q752">
        <v>39.022800000000004</v>
      </c>
    </row>
    <row r="753" spans="1:17" x14ac:dyDescent="0.25">
      <c r="A753" s="2">
        <v>41870</v>
      </c>
      <c r="B753" s="2">
        <v>41875</v>
      </c>
      <c r="C753" s="1" t="s">
        <v>35</v>
      </c>
      <c r="D753" s="1" t="s">
        <v>1430</v>
      </c>
      <c r="E753" s="1" t="s">
        <v>19</v>
      </c>
      <c r="F753" s="1" t="s">
        <v>20</v>
      </c>
      <c r="G753" s="1" t="s">
        <v>213</v>
      </c>
      <c r="H753" s="1" t="s">
        <v>214</v>
      </c>
      <c r="I753" s="1" t="s">
        <v>81</v>
      </c>
      <c r="J753" s="1" t="s">
        <v>32</v>
      </c>
      <c r="K753" s="1" t="s">
        <v>72</v>
      </c>
      <c r="L753" s="1" t="s">
        <v>177</v>
      </c>
      <c r="M753">
        <v>2</v>
      </c>
      <c r="N753">
        <v>0.2</v>
      </c>
      <c r="O753">
        <v>1.742</v>
      </c>
      <c r="P753">
        <v>10.72</v>
      </c>
      <c r="Q753">
        <v>8.9780000000000015</v>
      </c>
    </row>
    <row r="754" spans="1:17" x14ac:dyDescent="0.25">
      <c r="A754" s="2">
        <v>42004</v>
      </c>
      <c r="B754" s="2">
        <v>42007</v>
      </c>
      <c r="C754" s="1" t="s">
        <v>107</v>
      </c>
      <c r="D754" s="1" t="s">
        <v>174</v>
      </c>
      <c r="E754" s="1" t="s">
        <v>55</v>
      </c>
      <c r="F754" s="1" t="s">
        <v>20</v>
      </c>
      <c r="G754" s="1" t="s">
        <v>243</v>
      </c>
      <c r="H754" s="1" t="s">
        <v>423</v>
      </c>
      <c r="I754" s="1" t="s">
        <v>81</v>
      </c>
      <c r="J754" s="1" t="s">
        <v>24</v>
      </c>
      <c r="K754" s="1" t="s">
        <v>42</v>
      </c>
      <c r="L754" s="1" t="s">
        <v>1431</v>
      </c>
      <c r="M754">
        <v>5</v>
      </c>
      <c r="N754">
        <v>0</v>
      </c>
      <c r="O754">
        <v>23.384</v>
      </c>
      <c r="P754">
        <v>63.2</v>
      </c>
      <c r="Q754">
        <v>39.816000000000003</v>
      </c>
    </row>
    <row r="755" spans="1:17" x14ac:dyDescent="0.25">
      <c r="A755" s="2">
        <v>41846</v>
      </c>
      <c r="B755" s="2">
        <v>41850</v>
      </c>
      <c r="C755" s="1" t="s">
        <v>17</v>
      </c>
      <c r="D755" s="1" t="s">
        <v>1432</v>
      </c>
      <c r="E755" s="1" t="s">
        <v>19</v>
      </c>
      <c r="F755" s="1" t="s">
        <v>20</v>
      </c>
      <c r="G755" s="1" t="s">
        <v>136</v>
      </c>
      <c r="H755" s="1" t="s">
        <v>98</v>
      </c>
      <c r="I755" s="1" t="s">
        <v>58</v>
      </c>
      <c r="J755" s="1" t="s">
        <v>32</v>
      </c>
      <c r="K755" s="1" t="s">
        <v>64</v>
      </c>
      <c r="L755" s="1" t="s">
        <v>1142</v>
      </c>
      <c r="M755">
        <v>3</v>
      </c>
      <c r="N755">
        <v>0.2</v>
      </c>
      <c r="O755">
        <v>-29.343599999999999</v>
      </c>
      <c r="P755">
        <v>123.55200000000001</v>
      </c>
      <c r="Q755">
        <v>152.8956</v>
      </c>
    </row>
    <row r="756" spans="1:17" x14ac:dyDescent="0.25">
      <c r="A756" s="2">
        <v>42422</v>
      </c>
      <c r="B756" s="2">
        <v>42428</v>
      </c>
      <c r="C756" s="1" t="s">
        <v>35</v>
      </c>
      <c r="D756" s="1" t="s">
        <v>982</v>
      </c>
      <c r="E756" s="1" t="s">
        <v>55</v>
      </c>
      <c r="F756" s="1" t="s">
        <v>20</v>
      </c>
      <c r="G756" s="1" t="s">
        <v>803</v>
      </c>
      <c r="H756" s="1" t="s">
        <v>63</v>
      </c>
      <c r="I756" s="1" t="s">
        <v>58</v>
      </c>
      <c r="J756" s="1" t="s">
        <v>32</v>
      </c>
      <c r="K756" s="1" t="s">
        <v>59</v>
      </c>
      <c r="L756" s="1" t="s">
        <v>1433</v>
      </c>
      <c r="M756">
        <v>9</v>
      </c>
      <c r="N756">
        <v>0</v>
      </c>
      <c r="O756">
        <v>137.28960000000001</v>
      </c>
      <c r="P756">
        <v>490.32</v>
      </c>
      <c r="Q756">
        <v>353.03039999999999</v>
      </c>
    </row>
    <row r="757" spans="1:17" x14ac:dyDescent="0.25">
      <c r="A757" s="2">
        <v>42442</v>
      </c>
      <c r="B757" s="2">
        <v>42447</v>
      </c>
      <c r="C757" s="1" t="s">
        <v>35</v>
      </c>
      <c r="D757" s="1" t="s">
        <v>779</v>
      </c>
      <c r="E757" s="1" t="s">
        <v>19</v>
      </c>
      <c r="F757" s="1" t="s">
        <v>20</v>
      </c>
      <c r="G757" s="1" t="s">
        <v>265</v>
      </c>
      <c r="H757" s="1" t="s">
        <v>57</v>
      </c>
      <c r="I757" s="1" t="s">
        <v>58</v>
      </c>
      <c r="J757" s="1" t="s">
        <v>32</v>
      </c>
      <c r="K757" s="1" t="s">
        <v>47</v>
      </c>
      <c r="L757" s="1" t="s">
        <v>1434</v>
      </c>
      <c r="M757">
        <v>5</v>
      </c>
      <c r="N757">
        <v>0.2</v>
      </c>
      <c r="O757">
        <v>24.527999999999999</v>
      </c>
      <c r="P757">
        <v>70.08</v>
      </c>
      <c r="Q757">
        <v>45.552</v>
      </c>
    </row>
    <row r="758" spans="1:17" x14ac:dyDescent="0.25">
      <c r="A758" s="2">
        <v>42247</v>
      </c>
      <c r="B758" s="2">
        <v>42249</v>
      </c>
      <c r="C758" s="1" t="s">
        <v>107</v>
      </c>
      <c r="D758" s="1" t="s">
        <v>1435</v>
      </c>
      <c r="E758" s="1" t="s">
        <v>28</v>
      </c>
      <c r="F758" s="1" t="s">
        <v>20</v>
      </c>
      <c r="G758" s="1" t="s">
        <v>71</v>
      </c>
      <c r="H758" s="1" t="s">
        <v>30</v>
      </c>
      <c r="I758" s="1" t="s">
        <v>31</v>
      </c>
      <c r="J758" s="1" t="s">
        <v>24</v>
      </c>
      <c r="K758" s="1" t="s">
        <v>25</v>
      </c>
      <c r="L758" s="1" t="s">
        <v>1436</v>
      </c>
      <c r="M758">
        <v>7</v>
      </c>
      <c r="N758">
        <v>0.15</v>
      </c>
      <c r="O758">
        <v>200.9546</v>
      </c>
      <c r="P758">
        <v>1552.8309999999999</v>
      </c>
      <c r="Q758">
        <v>1351.8763999999999</v>
      </c>
    </row>
    <row r="759" spans="1:17" x14ac:dyDescent="0.25">
      <c r="A759" s="2">
        <v>41715</v>
      </c>
      <c r="B759" s="2">
        <v>41719</v>
      </c>
      <c r="C759" s="1" t="s">
        <v>35</v>
      </c>
      <c r="D759" s="1" t="s">
        <v>763</v>
      </c>
      <c r="E759" s="1" t="s">
        <v>28</v>
      </c>
      <c r="F759" s="1" t="s">
        <v>20</v>
      </c>
      <c r="G759" s="1" t="s">
        <v>126</v>
      </c>
      <c r="H759" s="1" t="s">
        <v>127</v>
      </c>
      <c r="I759" s="1" t="s">
        <v>81</v>
      </c>
      <c r="J759" s="1" t="s">
        <v>24</v>
      </c>
      <c r="K759" s="1" t="s">
        <v>39</v>
      </c>
      <c r="L759" s="1" t="s">
        <v>1437</v>
      </c>
      <c r="M759">
        <v>7</v>
      </c>
      <c r="N759">
        <v>0.4</v>
      </c>
      <c r="O759">
        <v>-447.59469999999999</v>
      </c>
      <c r="P759">
        <v>1579.7460000000001</v>
      </c>
      <c r="Q759">
        <v>2027.3407000000002</v>
      </c>
    </row>
    <row r="760" spans="1:17" x14ac:dyDescent="0.25">
      <c r="A760" s="2">
        <v>42776</v>
      </c>
      <c r="B760" s="2">
        <v>42779</v>
      </c>
      <c r="C760" s="1" t="s">
        <v>107</v>
      </c>
      <c r="D760" s="1" t="s">
        <v>1105</v>
      </c>
      <c r="E760" s="1" t="s">
        <v>19</v>
      </c>
      <c r="F760" s="1" t="s">
        <v>20</v>
      </c>
      <c r="G760" s="1" t="s">
        <v>1125</v>
      </c>
      <c r="H760" s="1" t="s">
        <v>1024</v>
      </c>
      <c r="I760" s="1" t="s">
        <v>81</v>
      </c>
      <c r="J760" s="1" t="s">
        <v>32</v>
      </c>
      <c r="K760" s="1" t="s">
        <v>47</v>
      </c>
      <c r="L760" s="1" t="s">
        <v>1438</v>
      </c>
      <c r="M760">
        <v>4</v>
      </c>
      <c r="N760">
        <v>0</v>
      </c>
      <c r="O760">
        <v>11.328799999999999</v>
      </c>
      <c r="P760">
        <v>23.12</v>
      </c>
      <c r="Q760">
        <v>11.791200000000002</v>
      </c>
    </row>
    <row r="761" spans="1:17" x14ac:dyDescent="0.25">
      <c r="A761" s="2">
        <v>42636</v>
      </c>
      <c r="B761" s="2">
        <v>42640</v>
      </c>
      <c r="C761" s="1" t="s">
        <v>35</v>
      </c>
      <c r="D761" s="1" t="s">
        <v>867</v>
      </c>
      <c r="E761" s="1" t="s">
        <v>28</v>
      </c>
      <c r="F761" s="1" t="s">
        <v>20</v>
      </c>
      <c r="G761" s="1" t="s">
        <v>283</v>
      </c>
      <c r="H761" s="1" t="s">
        <v>214</v>
      </c>
      <c r="I761" s="1" t="s">
        <v>81</v>
      </c>
      <c r="J761" s="1" t="s">
        <v>24</v>
      </c>
      <c r="K761" s="1" t="s">
        <v>42</v>
      </c>
      <c r="L761" s="1" t="s">
        <v>1439</v>
      </c>
      <c r="M761">
        <v>6</v>
      </c>
      <c r="N761">
        <v>0.2</v>
      </c>
      <c r="O761">
        <v>-26.635200000000001</v>
      </c>
      <c r="P761">
        <v>532.70399999999995</v>
      </c>
      <c r="Q761">
        <v>559.33920000000001</v>
      </c>
    </row>
    <row r="762" spans="1:17" x14ac:dyDescent="0.25">
      <c r="A762" s="2">
        <v>41870</v>
      </c>
      <c r="B762" s="2">
        <v>41872</v>
      </c>
      <c r="C762" s="1" t="s">
        <v>17</v>
      </c>
      <c r="D762" s="1" t="s">
        <v>1163</v>
      </c>
      <c r="E762" s="1" t="s">
        <v>19</v>
      </c>
      <c r="F762" s="1" t="s">
        <v>20</v>
      </c>
      <c r="G762" s="1" t="s">
        <v>213</v>
      </c>
      <c r="H762" s="1" t="s">
        <v>214</v>
      </c>
      <c r="I762" s="1" t="s">
        <v>81</v>
      </c>
      <c r="J762" s="1" t="s">
        <v>32</v>
      </c>
      <c r="K762" s="1" t="s">
        <v>52</v>
      </c>
      <c r="L762" s="1" t="s">
        <v>1440</v>
      </c>
      <c r="M762">
        <v>4</v>
      </c>
      <c r="N762">
        <v>0.7</v>
      </c>
      <c r="O762">
        <v>-58.861600000000003</v>
      </c>
      <c r="P762">
        <v>76.775999999999996</v>
      </c>
      <c r="Q762">
        <v>135.63759999999999</v>
      </c>
    </row>
    <row r="763" spans="1:17" x14ac:dyDescent="0.25">
      <c r="A763" s="2">
        <v>42496</v>
      </c>
      <c r="B763" s="2">
        <v>42500</v>
      </c>
      <c r="C763" s="1" t="s">
        <v>35</v>
      </c>
      <c r="D763" s="1" t="s">
        <v>1441</v>
      </c>
      <c r="E763" s="1" t="s">
        <v>55</v>
      </c>
      <c r="F763" s="1" t="s">
        <v>20</v>
      </c>
      <c r="G763" s="1" t="s">
        <v>821</v>
      </c>
      <c r="H763" s="1" t="s">
        <v>214</v>
      </c>
      <c r="I763" s="1" t="s">
        <v>81</v>
      </c>
      <c r="J763" s="1" t="s">
        <v>32</v>
      </c>
      <c r="K763" s="1" t="s">
        <v>128</v>
      </c>
      <c r="L763" s="1" t="s">
        <v>1442</v>
      </c>
      <c r="M763">
        <v>2</v>
      </c>
      <c r="N763">
        <v>0.2</v>
      </c>
      <c r="O763">
        <v>1.7138</v>
      </c>
      <c r="P763">
        <v>7.2160000000000002</v>
      </c>
      <c r="Q763">
        <v>5.5022000000000002</v>
      </c>
    </row>
    <row r="764" spans="1:17" x14ac:dyDescent="0.25">
      <c r="A764" s="2">
        <v>42819</v>
      </c>
      <c r="B764" s="2">
        <v>42820</v>
      </c>
      <c r="C764" s="1" t="s">
        <v>107</v>
      </c>
      <c r="D764" s="1" t="s">
        <v>1443</v>
      </c>
      <c r="E764" s="1" t="s">
        <v>19</v>
      </c>
      <c r="F764" s="1" t="s">
        <v>20</v>
      </c>
      <c r="G764" s="1" t="s">
        <v>1047</v>
      </c>
      <c r="H764" s="1" t="s">
        <v>30</v>
      </c>
      <c r="I764" s="1" t="s">
        <v>31</v>
      </c>
      <c r="J764" s="1" t="s">
        <v>32</v>
      </c>
      <c r="K764" s="1" t="s">
        <v>59</v>
      </c>
      <c r="L764" s="1" t="s">
        <v>1444</v>
      </c>
      <c r="M764">
        <v>4</v>
      </c>
      <c r="N764">
        <v>0</v>
      </c>
      <c r="O764">
        <v>45.770400000000002</v>
      </c>
      <c r="P764">
        <v>176.04</v>
      </c>
      <c r="Q764">
        <v>130.2696</v>
      </c>
    </row>
    <row r="765" spans="1:17" x14ac:dyDescent="0.25">
      <c r="A765" s="2">
        <v>42344</v>
      </c>
      <c r="B765" s="2">
        <v>42348</v>
      </c>
      <c r="C765" s="1" t="s">
        <v>35</v>
      </c>
      <c r="D765" s="1" t="s">
        <v>1445</v>
      </c>
      <c r="E765" s="1" t="s">
        <v>19</v>
      </c>
      <c r="F765" s="1" t="s">
        <v>20</v>
      </c>
      <c r="G765" s="1" t="s">
        <v>126</v>
      </c>
      <c r="H765" s="1" t="s">
        <v>127</v>
      </c>
      <c r="I765" s="1" t="s">
        <v>81</v>
      </c>
      <c r="J765" s="1" t="s">
        <v>32</v>
      </c>
      <c r="K765" s="1" t="s">
        <v>47</v>
      </c>
      <c r="L765" s="1" t="s">
        <v>1446</v>
      </c>
      <c r="M765">
        <v>1</v>
      </c>
      <c r="N765">
        <v>0</v>
      </c>
      <c r="O765">
        <v>3.1103999999999998</v>
      </c>
      <c r="P765">
        <v>6.48</v>
      </c>
      <c r="Q765">
        <v>3.3696000000000006</v>
      </c>
    </row>
    <row r="766" spans="1:17" x14ac:dyDescent="0.25">
      <c r="A766" s="2">
        <v>42446</v>
      </c>
      <c r="B766" s="2">
        <v>42452</v>
      </c>
      <c r="C766" s="1" t="s">
        <v>35</v>
      </c>
      <c r="D766" s="1" t="s">
        <v>1055</v>
      </c>
      <c r="E766" s="1" t="s">
        <v>19</v>
      </c>
      <c r="F766" s="1" t="s">
        <v>20</v>
      </c>
      <c r="G766" s="1" t="s">
        <v>1447</v>
      </c>
      <c r="H766" s="1" t="s">
        <v>423</v>
      </c>
      <c r="I766" s="1" t="s">
        <v>81</v>
      </c>
      <c r="J766" s="1" t="s">
        <v>32</v>
      </c>
      <c r="K766" s="1" t="s">
        <v>72</v>
      </c>
      <c r="L766" s="1" t="s">
        <v>527</v>
      </c>
      <c r="M766">
        <v>2</v>
      </c>
      <c r="N766">
        <v>0</v>
      </c>
      <c r="O766">
        <v>10.316800000000001</v>
      </c>
      <c r="P766">
        <v>39.68</v>
      </c>
      <c r="Q766">
        <v>29.363199999999999</v>
      </c>
    </row>
    <row r="767" spans="1:17" x14ac:dyDescent="0.25">
      <c r="A767" s="2">
        <v>42322</v>
      </c>
      <c r="B767" s="2">
        <v>42327</v>
      </c>
      <c r="C767" s="1" t="s">
        <v>35</v>
      </c>
      <c r="D767" s="1" t="s">
        <v>1448</v>
      </c>
      <c r="E767" s="1" t="s">
        <v>28</v>
      </c>
      <c r="F767" s="1" t="s">
        <v>20</v>
      </c>
      <c r="G767" s="1" t="s">
        <v>126</v>
      </c>
      <c r="H767" s="1" t="s">
        <v>127</v>
      </c>
      <c r="I767" s="1" t="s">
        <v>81</v>
      </c>
      <c r="J767" s="1" t="s">
        <v>99</v>
      </c>
      <c r="K767" s="1" t="s">
        <v>111</v>
      </c>
      <c r="L767" s="1" t="s">
        <v>1449</v>
      </c>
      <c r="M767">
        <v>2</v>
      </c>
      <c r="N767">
        <v>0</v>
      </c>
      <c r="O767">
        <v>2.2559999999999998</v>
      </c>
      <c r="P767">
        <v>37.6</v>
      </c>
      <c r="Q767">
        <v>35.344000000000001</v>
      </c>
    </row>
    <row r="768" spans="1:17" x14ac:dyDescent="0.25">
      <c r="A768" s="2">
        <v>42961</v>
      </c>
      <c r="B768" s="2">
        <v>42963</v>
      </c>
      <c r="C768" s="1" t="s">
        <v>17</v>
      </c>
      <c r="D768" s="1" t="s">
        <v>1046</v>
      </c>
      <c r="E768" s="1" t="s">
        <v>19</v>
      </c>
      <c r="F768" s="1" t="s">
        <v>20</v>
      </c>
      <c r="G768" s="1" t="s">
        <v>71</v>
      </c>
      <c r="H768" s="1" t="s">
        <v>30</v>
      </c>
      <c r="I768" s="1" t="s">
        <v>31</v>
      </c>
      <c r="J768" s="1" t="s">
        <v>32</v>
      </c>
      <c r="K768" s="1" t="s">
        <v>33</v>
      </c>
      <c r="L768" s="1" t="s">
        <v>1450</v>
      </c>
      <c r="M768">
        <v>2</v>
      </c>
      <c r="N768">
        <v>0</v>
      </c>
      <c r="O768">
        <v>2.8224</v>
      </c>
      <c r="P768">
        <v>5.76</v>
      </c>
      <c r="Q768">
        <v>2.9375999999999998</v>
      </c>
    </row>
    <row r="769" spans="1:17" x14ac:dyDescent="0.25">
      <c r="A769" s="2">
        <v>42640</v>
      </c>
      <c r="B769" s="2">
        <v>42646</v>
      </c>
      <c r="C769" s="1" t="s">
        <v>35</v>
      </c>
      <c r="D769" s="1" t="s">
        <v>1119</v>
      </c>
      <c r="E769" s="1" t="s">
        <v>28</v>
      </c>
      <c r="F769" s="1" t="s">
        <v>20</v>
      </c>
      <c r="G769" s="1" t="s">
        <v>551</v>
      </c>
      <c r="H769" s="1" t="s">
        <v>57</v>
      </c>
      <c r="I769" s="1" t="s">
        <v>58</v>
      </c>
      <c r="J769" s="1" t="s">
        <v>24</v>
      </c>
      <c r="K769" s="1" t="s">
        <v>25</v>
      </c>
      <c r="L769" s="1" t="s">
        <v>1451</v>
      </c>
      <c r="M769">
        <v>7</v>
      </c>
      <c r="N769">
        <v>0.32</v>
      </c>
      <c r="O769">
        <v>-225.0976</v>
      </c>
      <c r="P769">
        <v>956.66480000000001</v>
      </c>
      <c r="Q769">
        <v>1181.7624000000001</v>
      </c>
    </row>
    <row r="770" spans="1:17" x14ac:dyDescent="0.25">
      <c r="A770" s="2">
        <v>43015</v>
      </c>
      <c r="B770" s="2">
        <v>43019</v>
      </c>
      <c r="C770" s="1" t="s">
        <v>35</v>
      </c>
      <c r="D770" s="1" t="s">
        <v>584</v>
      </c>
      <c r="E770" s="1" t="s">
        <v>19</v>
      </c>
      <c r="F770" s="1" t="s">
        <v>20</v>
      </c>
      <c r="G770" s="1" t="s">
        <v>29</v>
      </c>
      <c r="H770" s="1" t="s">
        <v>30</v>
      </c>
      <c r="I770" s="1" t="s">
        <v>31</v>
      </c>
      <c r="J770" s="1" t="s">
        <v>99</v>
      </c>
      <c r="K770" s="1" t="s">
        <v>111</v>
      </c>
      <c r="L770" s="1" t="s">
        <v>1452</v>
      </c>
      <c r="M770">
        <v>9</v>
      </c>
      <c r="N770">
        <v>0</v>
      </c>
      <c r="O770">
        <v>200.8638</v>
      </c>
      <c r="P770">
        <v>1115.9100000000001</v>
      </c>
      <c r="Q770">
        <v>915.04620000000011</v>
      </c>
    </row>
    <row r="771" spans="1:17" x14ac:dyDescent="0.25">
      <c r="A771" s="2">
        <v>41852</v>
      </c>
      <c r="B771" s="2">
        <v>41857</v>
      </c>
      <c r="C771" s="1" t="s">
        <v>35</v>
      </c>
      <c r="D771" s="1" t="s">
        <v>911</v>
      </c>
      <c r="E771" s="1" t="s">
        <v>55</v>
      </c>
      <c r="F771" s="1" t="s">
        <v>20</v>
      </c>
      <c r="G771" s="1" t="s">
        <v>79</v>
      </c>
      <c r="H771" s="1" t="s">
        <v>80</v>
      </c>
      <c r="I771" s="1" t="s">
        <v>81</v>
      </c>
      <c r="J771" s="1" t="s">
        <v>32</v>
      </c>
      <c r="K771" s="1" t="s">
        <v>128</v>
      </c>
      <c r="L771" s="1" t="s">
        <v>1453</v>
      </c>
      <c r="M771">
        <v>2</v>
      </c>
      <c r="N771">
        <v>0.2</v>
      </c>
      <c r="O771">
        <v>1.917</v>
      </c>
      <c r="P771">
        <v>5.68</v>
      </c>
      <c r="Q771">
        <v>3.7629999999999999</v>
      </c>
    </row>
    <row r="772" spans="1:17" x14ac:dyDescent="0.25">
      <c r="A772" s="2">
        <v>42162</v>
      </c>
      <c r="B772" s="2">
        <v>42164</v>
      </c>
      <c r="C772" s="1" t="s">
        <v>17</v>
      </c>
      <c r="D772" s="1" t="s">
        <v>1454</v>
      </c>
      <c r="E772" s="1" t="s">
        <v>28</v>
      </c>
      <c r="F772" s="1" t="s">
        <v>20</v>
      </c>
      <c r="G772" s="1" t="s">
        <v>29</v>
      </c>
      <c r="H772" s="1" t="s">
        <v>30</v>
      </c>
      <c r="I772" s="1" t="s">
        <v>31</v>
      </c>
      <c r="J772" s="1" t="s">
        <v>32</v>
      </c>
      <c r="K772" s="1" t="s">
        <v>52</v>
      </c>
      <c r="L772" s="1" t="s">
        <v>1455</v>
      </c>
      <c r="M772">
        <v>5</v>
      </c>
      <c r="N772">
        <v>0.2</v>
      </c>
      <c r="O772">
        <v>2.6320000000000001</v>
      </c>
      <c r="P772">
        <v>7.52</v>
      </c>
      <c r="Q772">
        <v>4.8879999999999999</v>
      </c>
    </row>
    <row r="773" spans="1:17" x14ac:dyDescent="0.25">
      <c r="A773" s="2">
        <v>42733</v>
      </c>
      <c r="B773" s="2">
        <v>42737</v>
      </c>
      <c r="C773" s="1" t="s">
        <v>35</v>
      </c>
      <c r="D773" s="1" t="s">
        <v>523</v>
      </c>
      <c r="E773" s="1" t="s">
        <v>19</v>
      </c>
      <c r="F773" s="1" t="s">
        <v>20</v>
      </c>
      <c r="G773" s="1" t="s">
        <v>803</v>
      </c>
      <c r="H773" s="1" t="s">
        <v>63</v>
      </c>
      <c r="I773" s="1" t="s">
        <v>58</v>
      </c>
      <c r="J773" s="1" t="s">
        <v>24</v>
      </c>
      <c r="K773" s="1" t="s">
        <v>82</v>
      </c>
      <c r="L773" s="1" t="s">
        <v>1456</v>
      </c>
      <c r="M773">
        <v>5</v>
      </c>
      <c r="N773">
        <v>0</v>
      </c>
      <c r="O773">
        <v>60.356000000000002</v>
      </c>
      <c r="P773">
        <v>754.45</v>
      </c>
      <c r="Q773">
        <v>694.09400000000005</v>
      </c>
    </row>
    <row r="774" spans="1:17" x14ac:dyDescent="0.25">
      <c r="A774" s="2">
        <v>42191</v>
      </c>
      <c r="B774" s="2">
        <v>42196</v>
      </c>
      <c r="C774" s="1" t="s">
        <v>35</v>
      </c>
      <c r="D774" s="1" t="s">
        <v>1128</v>
      </c>
      <c r="E774" s="1" t="s">
        <v>55</v>
      </c>
      <c r="F774" s="1" t="s">
        <v>20</v>
      </c>
      <c r="G774" s="1" t="s">
        <v>1457</v>
      </c>
      <c r="H774" s="1" t="s">
        <v>423</v>
      </c>
      <c r="I774" s="1" t="s">
        <v>81</v>
      </c>
      <c r="J774" s="1" t="s">
        <v>24</v>
      </c>
      <c r="K774" s="1" t="s">
        <v>25</v>
      </c>
      <c r="L774" s="1" t="s">
        <v>537</v>
      </c>
      <c r="M774">
        <v>2</v>
      </c>
      <c r="N774">
        <v>0</v>
      </c>
      <c r="O774">
        <v>60.392000000000003</v>
      </c>
      <c r="P774">
        <v>301.95999999999998</v>
      </c>
      <c r="Q774">
        <v>241.56799999999998</v>
      </c>
    </row>
    <row r="775" spans="1:17" x14ac:dyDescent="0.25">
      <c r="A775" s="2">
        <v>43048</v>
      </c>
      <c r="B775" s="2">
        <v>43053</v>
      </c>
      <c r="C775" s="1" t="s">
        <v>35</v>
      </c>
      <c r="D775" s="1" t="s">
        <v>1458</v>
      </c>
      <c r="E775" s="1" t="s">
        <v>28</v>
      </c>
      <c r="F775" s="1" t="s">
        <v>20</v>
      </c>
      <c r="G775" s="1" t="s">
        <v>1459</v>
      </c>
      <c r="H775" s="1" t="s">
        <v>30</v>
      </c>
      <c r="I775" s="1" t="s">
        <v>31</v>
      </c>
      <c r="J775" s="1" t="s">
        <v>32</v>
      </c>
      <c r="K775" s="1" t="s">
        <v>64</v>
      </c>
      <c r="L775" s="1" t="s">
        <v>1460</v>
      </c>
      <c r="M775">
        <v>2</v>
      </c>
      <c r="N775">
        <v>0</v>
      </c>
      <c r="O775">
        <v>3.1779999999999999</v>
      </c>
      <c r="P775">
        <v>63.56</v>
      </c>
      <c r="Q775">
        <v>60.382000000000005</v>
      </c>
    </row>
    <row r="776" spans="1:17" x14ac:dyDescent="0.25">
      <c r="A776" s="2">
        <v>42478</v>
      </c>
      <c r="B776" s="2">
        <v>42483</v>
      </c>
      <c r="C776" s="1" t="s">
        <v>35</v>
      </c>
      <c r="D776" s="1" t="s">
        <v>1461</v>
      </c>
      <c r="E776" s="1" t="s">
        <v>55</v>
      </c>
      <c r="F776" s="1" t="s">
        <v>20</v>
      </c>
      <c r="G776" s="1" t="s">
        <v>1462</v>
      </c>
      <c r="H776" s="1" t="s">
        <v>98</v>
      </c>
      <c r="I776" s="1" t="s">
        <v>58</v>
      </c>
      <c r="J776" s="1" t="s">
        <v>32</v>
      </c>
      <c r="K776" s="1" t="s">
        <v>64</v>
      </c>
      <c r="L776" s="1" t="s">
        <v>167</v>
      </c>
      <c r="M776">
        <v>3</v>
      </c>
      <c r="N776">
        <v>0.2</v>
      </c>
      <c r="O776">
        <v>-48.954900000000002</v>
      </c>
      <c r="P776">
        <v>230.376</v>
      </c>
      <c r="Q776">
        <v>279.33089999999999</v>
      </c>
    </row>
    <row r="777" spans="1:17" x14ac:dyDescent="0.25">
      <c r="A777" s="2">
        <v>42868</v>
      </c>
      <c r="B777" s="2">
        <v>42875</v>
      </c>
      <c r="C777" s="1" t="s">
        <v>35</v>
      </c>
      <c r="D777" s="1" t="s">
        <v>511</v>
      </c>
      <c r="E777" s="1" t="s">
        <v>55</v>
      </c>
      <c r="F777" s="1" t="s">
        <v>20</v>
      </c>
      <c r="G777" s="1" t="s">
        <v>71</v>
      </c>
      <c r="H777" s="1" t="s">
        <v>30</v>
      </c>
      <c r="I777" s="1" t="s">
        <v>31</v>
      </c>
      <c r="J777" s="1" t="s">
        <v>32</v>
      </c>
      <c r="K777" s="1" t="s">
        <v>33</v>
      </c>
      <c r="L777" s="1" t="s">
        <v>34</v>
      </c>
      <c r="M777">
        <v>8</v>
      </c>
      <c r="N777">
        <v>0</v>
      </c>
      <c r="O777">
        <v>27.485600000000002</v>
      </c>
      <c r="P777">
        <v>58.48</v>
      </c>
      <c r="Q777">
        <v>30.994399999999995</v>
      </c>
    </row>
    <row r="778" spans="1:17" x14ac:dyDescent="0.25">
      <c r="A778" s="2">
        <v>41723</v>
      </c>
      <c r="B778" s="2">
        <v>41730</v>
      </c>
      <c r="C778" s="1" t="s">
        <v>35</v>
      </c>
      <c r="D778" s="1" t="s">
        <v>1463</v>
      </c>
      <c r="E778" s="1" t="s">
        <v>19</v>
      </c>
      <c r="F778" s="1" t="s">
        <v>20</v>
      </c>
      <c r="G778" s="1" t="s">
        <v>126</v>
      </c>
      <c r="H778" s="1" t="s">
        <v>127</v>
      </c>
      <c r="I778" s="1" t="s">
        <v>81</v>
      </c>
      <c r="J778" s="1" t="s">
        <v>24</v>
      </c>
      <c r="K778" s="1" t="s">
        <v>82</v>
      </c>
      <c r="L778" s="1" t="s">
        <v>1464</v>
      </c>
      <c r="M778">
        <v>7</v>
      </c>
      <c r="N778">
        <v>0.1</v>
      </c>
      <c r="O778">
        <v>65.206400000000002</v>
      </c>
      <c r="P778">
        <v>366.786</v>
      </c>
      <c r="Q778">
        <v>301.57960000000003</v>
      </c>
    </row>
    <row r="779" spans="1:17" x14ac:dyDescent="0.25">
      <c r="A779" s="2">
        <v>42883</v>
      </c>
      <c r="B779" s="2">
        <v>42887</v>
      </c>
      <c r="C779" s="1" t="s">
        <v>35</v>
      </c>
      <c r="D779" s="1" t="s">
        <v>324</v>
      </c>
      <c r="E779" s="1" t="s">
        <v>19</v>
      </c>
      <c r="F779" s="1" t="s">
        <v>20</v>
      </c>
      <c r="G779" s="1" t="s">
        <v>91</v>
      </c>
      <c r="H779" s="1" t="s">
        <v>57</v>
      </c>
      <c r="I779" s="1" t="s">
        <v>58</v>
      </c>
      <c r="J779" s="1" t="s">
        <v>99</v>
      </c>
      <c r="K779" s="1" t="s">
        <v>100</v>
      </c>
      <c r="L779" s="1" t="s">
        <v>1378</v>
      </c>
      <c r="M779">
        <v>4</v>
      </c>
      <c r="N779">
        <v>0.2</v>
      </c>
      <c r="O779">
        <v>4.0776000000000003</v>
      </c>
      <c r="P779">
        <v>54.368000000000002</v>
      </c>
      <c r="Q779">
        <v>50.290400000000005</v>
      </c>
    </row>
    <row r="780" spans="1:17" x14ac:dyDescent="0.25">
      <c r="A780" s="2">
        <v>42919</v>
      </c>
      <c r="B780" s="2">
        <v>42926</v>
      </c>
      <c r="C780" s="1" t="s">
        <v>35</v>
      </c>
      <c r="D780" s="1" t="s">
        <v>658</v>
      </c>
      <c r="E780" s="1" t="s">
        <v>19</v>
      </c>
      <c r="F780" s="1" t="s">
        <v>20</v>
      </c>
      <c r="G780" s="1" t="s">
        <v>880</v>
      </c>
      <c r="H780" s="1" t="s">
        <v>262</v>
      </c>
      <c r="I780" s="1" t="s">
        <v>31</v>
      </c>
      <c r="J780" s="1" t="s">
        <v>24</v>
      </c>
      <c r="K780" s="1" t="s">
        <v>42</v>
      </c>
      <c r="L780" s="1" t="s">
        <v>1465</v>
      </c>
      <c r="M780">
        <v>9</v>
      </c>
      <c r="N780">
        <v>0</v>
      </c>
      <c r="O780">
        <v>114.6285</v>
      </c>
      <c r="P780">
        <v>545.85</v>
      </c>
      <c r="Q780">
        <v>431.22149999999999</v>
      </c>
    </row>
    <row r="781" spans="1:17" x14ac:dyDescent="0.25">
      <c r="A781" s="2">
        <v>41961</v>
      </c>
      <c r="B781" s="2">
        <v>41963</v>
      </c>
      <c r="C781" s="1" t="s">
        <v>17</v>
      </c>
      <c r="D781" s="1" t="s">
        <v>1466</v>
      </c>
      <c r="E781" s="1" t="s">
        <v>19</v>
      </c>
      <c r="F781" s="1" t="s">
        <v>20</v>
      </c>
      <c r="G781" s="1" t="s">
        <v>499</v>
      </c>
      <c r="H781" s="1" t="s">
        <v>198</v>
      </c>
      <c r="I781" s="1" t="s">
        <v>31</v>
      </c>
      <c r="J781" s="1" t="s">
        <v>24</v>
      </c>
      <c r="K781" s="1" t="s">
        <v>39</v>
      </c>
      <c r="L781" s="1" t="s">
        <v>1467</v>
      </c>
      <c r="M781">
        <v>2</v>
      </c>
      <c r="N781">
        <v>0.5</v>
      </c>
      <c r="O781">
        <v>-99.266400000000004</v>
      </c>
      <c r="P781">
        <v>145.97999999999999</v>
      </c>
      <c r="Q781">
        <v>245.24639999999999</v>
      </c>
    </row>
    <row r="782" spans="1:17" x14ac:dyDescent="0.25">
      <c r="A782" s="2">
        <v>42933</v>
      </c>
      <c r="B782" s="2">
        <v>42938</v>
      </c>
      <c r="C782" s="1" t="s">
        <v>35</v>
      </c>
      <c r="D782" s="1" t="s">
        <v>1468</v>
      </c>
      <c r="E782" s="1" t="s">
        <v>19</v>
      </c>
      <c r="F782" s="1" t="s">
        <v>20</v>
      </c>
      <c r="G782" s="1" t="s">
        <v>336</v>
      </c>
      <c r="H782" s="1" t="s">
        <v>38</v>
      </c>
      <c r="I782" s="1" t="s">
        <v>23</v>
      </c>
      <c r="J782" s="1" t="s">
        <v>24</v>
      </c>
      <c r="K782" s="1" t="s">
        <v>42</v>
      </c>
      <c r="L782" s="1" t="s">
        <v>1469</v>
      </c>
      <c r="M782">
        <v>2</v>
      </c>
      <c r="N782">
        <v>0.2</v>
      </c>
      <c r="O782">
        <v>2.1736</v>
      </c>
      <c r="P782">
        <v>7.9039999999999999</v>
      </c>
      <c r="Q782">
        <v>5.7303999999999995</v>
      </c>
    </row>
    <row r="783" spans="1:17" x14ac:dyDescent="0.25">
      <c r="A783" s="2">
        <v>42674</v>
      </c>
      <c r="B783" s="2">
        <v>42680</v>
      </c>
      <c r="C783" s="1" t="s">
        <v>35</v>
      </c>
      <c r="D783" s="1" t="s">
        <v>610</v>
      </c>
      <c r="E783" s="1" t="s">
        <v>19</v>
      </c>
      <c r="F783" s="1" t="s">
        <v>20</v>
      </c>
      <c r="G783" s="1" t="s">
        <v>79</v>
      </c>
      <c r="H783" s="1" t="s">
        <v>80</v>
      </c>
      <c r="I783" s="1" t="s">
        <v>81</v>
      </c>
      <c r="J783" s="1" t="s">
        <v>24</v>
      </c>
      <c r="K783" s="1" t="s">
        <v>82</v>
      </c>
      <c r="L783" s="1" t="s">
        <v>1289</v>
      </c>
      <c r="M783">
        <v>5</v>
      </c>
      <c r="N783">
        <v>0.3</v>
      </c>
      <c r="O783">
        <v>-14.081</v>
      </c>
      <c r="P783">
        <v>492.83499999999998</v>
      </c>
      <c r="Q783">
        <v>506.916</v>
      </c>
    </row>
    <row r="784" spans="1:17" x14ac:dyDescent="0.25">
      <c r="A784" s="2">
        <v>42811</v>
      </c>
      <c r="B784" s="2">
        <v>42816</v>
      </c>
      <c r="C784" s="1" t="s">
        <v>17</v>
      </c>
      <c r="D784" s="1" t="s">
        <v>1470</v>
      </c>
      <c r="E784" s="1" t="s">
        <v>19</v>
      </c>
      <c r="F784" s="1" t="s">
        <v>20</v>
      </c>
      <c r="G784" s="1" t="s">
        <v>126</v>
      </c>
      <c r="H784" s="1" t="s">
        <v>127</v>
      </c>
      <c r="I784" s="1" t="s">
        <v>81</v>
      </c>
      <c r="J784" s="1" t="s">
        <v>32</v>
      </c>
      <c r="K784" s="1" t="s">
        <v>33</v>
      </c>
      <c r="L784" s="1" t="s">
        <v>1471</v>
      </c>
      <c r="M784">
        <v>5</v>
      </c>
      <c r="N784">
        <v>0</v>
      </c>
      <c r="O784">
        <v>9</v>
      </c>
      <c r="P784">
        <v>18.75</v>
      </c>
      <c r="Q784">
        <v>9.75</v>
      </c>
    </row>
    <row r="785" spans="1:17" x14ac:dyDescent="0.25">
      <c r="A785" s="2">
        <v>42962</v>
      </c>
      <c r="B785" s="2">
        <v>42968</v>
      </c>
      <c r="C785" s="1" t="s">
        <v>35</v>
      </c>
      <c r="D785" s="1" t="s">
        <v>1472</v>
      </c>
      <c r="E785" s="1" t="s">
        <v>19</v>
      </c>
      <c r="F785" s="1" t="s">
        <v>20</v>
      </c>
      <c r="G785" s="1" t="s">
        <v>681</v>
      </c>
      <c r="H785" s="1" t="s">
        <v>298</v>
      </c>
      <c r="I785" s="1" t="s">
        <v>81</v>
      </c>
      <c r="J785" s="1" t="s">
        <v>32</v>
      </c>
      <c r="K785" s="1" t="s">
        <v>59</v>
      </c>
      <c r="L785" s="1" t="s">
        <v>1473</v>
      </c>
      <c r="M785">
        <v>2</v>
      </c>
      <c r="N785">
        <v>0</v>
      </c>
      <c r="O785">
        <v>25.438400000000001</v>
      </c>
      <c r="P785">
        <v>97.84</v>
      </c>
      <c r="Q785">
        <v>72.401600000000002</v>
      </c>
    </row>
    <row r="786" spans="1:17" x14ac:dyDescent="0.25">
      <c r="A786" s="2">
        <v>43072</v>
      </c>
      <c r="B786" s="2">
        <v>43078</v>
      </c>
      <c r="C786" s="1" t="s">
        <v>35</v>
      </c>
      <c r="D786" s="1" t="s">
        <v>1082</v>
      </c>
      <c r="E786" s="1" t="s">
        <v>19</v>
      </c>
      <c r="F786" s="1" t="s">
        <v>20</v>
      </c>
      <c r="G786" s="1" t="s">
        <v>126</v>
      </c>
      <c r="H786" s="1" t="s">
        <v>127</v>
      </c>
      <c r="I786" s="1" t="s">
        <v>81</v>
      </c>
      <c r="J786" s="1" t="s">
        <v>32</v>
      </c>
      <c r="K786" s="1" t="s">
        <v>52</v>
      </c>
      <c r="L786" s="1" t="s">
        <v>962</v>
      </c>
      <c r="M786">
        <v>5</v>
      </c>
      <c r="N786">
        <v>0.2</v>
      </c>
      <c r="O786">
        <v>29.372</v>
      </c>
      <c r="P786">
        <v>83.92</v>
      </c>
      <c r="Q786">
        <v>54.548000000000002</v>
      </c>
    </row>
    <row r="787" spans="1:17" x14ac:dyDescent="0.25">
      <c r="A787" s="2">
        <v>42859</v>
      </c>
      <c r="B787" s="2">
        <v>42863</v>
      </c>
      <c r="C787" s="1" t="s">
        <v>35</v>
      </c>
      <c r="D787" s="1" t="s">
        <v>515</v>
      </c>
      <c r="E787" s="1" t="s">
        <v>19</v>
      </c>
      <c r="F787" s="1" t="s">
        <v>20</v>
      </c>
      <c r="G787" s="1" t="s">
        <v>1474</v>
      </c>
      <c r="H787" s="1" t="s">
        <v>144</v>
      </c>
      <c r="I787" s="1" t="s">
        <v>23</v>
      </c>
      <c r="J787" s="1" t="s">
        <v>32</v>
      </c>
      <c r="K787" s="1" t="s">
        <v>47</v>
      </c>
      <c r="L787" s="1" t="s">
        <v>1475</v>
      </c>
      <c r="M787">
        <v>1</v>
      </c>
      <c r="N787">
        <v>0</v>
      </c>
      <c r="O787">
        <v>4.0994999999999999</v>
      </c>
      <c r="P787">
        <v>9.11</v>
      </c>
      <c r="Q787">
        <v>5.0104999999999995</v>
      </c>
    </row>
    <row r="788" spans="1:17" x14ac:dyDescent="0.25">
      <c r="A788" s="2">
        <v>43093</v>
      </c>
      <c r="B788" s="2">
        <v>43100</v>
      </c>
      <c r="C788" s="1" t="s">
        <v>35</v>
      </c>
      <c r="D788" s="1" t="s">
        <v>358</v>
      </c>
      <c r="E788" s="1" t="s">
        <v>19</v>
      </c>
      <c r="F788" s="1" t="s">
        <v>20</v>
      </c>
      <c r="G788" s="1" t="s">
        <v>50</v>
      </c>
      <c r="H788" s="1" t="s">
        <v>51</v>
      </c>
      <c r="I788" s="1" t="s">
        <v>31</v>
      </c>
      <c r="J788" s="1" t="s">
        <v>32</v>
      </c>
      <c r="K788" s="1" t="s">
        <v>64</v>
      </c>
      <c r="L788" s="1" t="s">
        <v>1476</v>
      </c>
      <c r="M788">
        <v>6</v>
      </c>
      <c r="N788">
        <v>0</v>
      </c>
      <c r="O788">
        <v>0</v>
      </c>
      <c r="P788">
        <v>1003.62</v>
      </c>
      <c r="Q788">
        <v>1003.62</v>
      </c>
    </row>
    <row r="789" spans="1:17" x14ac:dyDescent="0.25">
      <c r="A789" s="2">
        <v>42975</v>
      </c>
      <c r="B789" s="2">
        <v>42981</v>
      </c>
      <c r="C789" s="1" t="s">
        <v>35</v>
      </c>
      <c r="D789" s="1" t="s">
        <v>1477</v>
      </c>
      <c r="E789" s="1" t="s">
        <v>55</v>
      </c>
      <c r="F789" s="1" t="s">
        <v>20</v>
      </c>
      <c r="G789" s="1" t="s">
        <v>50</v>
      </c>
      <c r="H789" s="1" t="s">
        <v>51</v>
      </c>
      <c r="I789" s="1" t="s">
        <v>31</v>
      </c>
      <c r="J789" s="1" t="s">
        <v>99</v>
      </c>
      <c r="K789" s="1" t="s">
        <v>100</v>
      </c>
      <c r="L789" s="1" t="s">
        <v>1478</v>
      </c>
      <c r="M789">
        <v>4</v>
      </c>
      <c r="N789">
        <v>0.2</v>
      </c>
      <c r="O789">
        <v>11.429600000000001</v>
      </c>
      <c r="P789">
        <v>35.167999999999999</v>
      </c>
      <c r="Q789">
        <v>23.738399999999999</v>
      </c>
    </row>
    <row r="790" spans="1:17" x14ac:dyDescent="0.25">
      <c r="A790" s="2">
        <v>41962</v>
      </c>
      <c r="B790" s="2">
        <v>41966</v>
      </c>
      <c r="C790" s="1" t="s">
        <v>35</v>
      </c>
      <c r="D790" s="1" t="s">
        <v>1479</v>
      </c>
      <c r="E790" s="1" t="s">
        <v>19</v>
      </c>
      <c r="F790" s="1" t="s">
        <v>20</v>
      </c>
      <c r="G790" s="1" t="s">
        <v>1480</v>
      </c>
      <c r="H790" s="1" t="s">
        <v>127</v>
      </c>
      <c r="I790" s="1" t="s">
        <v>81</v>
      </c>
      <c r="J790" s="1" t="s">
        <v>99</v>
      </c>
      <c r="K790" s="1" t="s">
        <v>100</v>
      </c>
      <c r="L790" s="1" t="s">
        <v>1282</v>
      </c>
      <c r="M790">
        <v>7</v>
      </c>
      <c r="N790">
        <v>0</v>
      </c>
      <c r="O790">
        <v>1228.1786999999999</v>
      </c>
      <c r="P790">
        <v>4548.8100000000004</v>
      </c>
      <c r="Q790">
        <v>3320.6313000000005</v>
      </c>
    </row>
    <row r="791" spans="1:17" x14ac:dyDescent="0.25">
      <c r="A791" s="2">
        <v>41806</v>
      </c>
      <c r="B791" s="2">
        <v>41812</v>
      </c>
      <c r="C791" s="1" t="s">
        <v>35</v>
      </c>
      <c r="D791" s="1" t="s">
        <v>1481</v>
      </c>
      <c r="E791" s="1" t="s">
        <v>19</v>
      </c>
      <c r="F791" s="1" t="s">
        <v>20</v>
      </c>
      <c r="G791" s="1" t="s">
        <v>1482</v>
      </c>
      <c r="H791" s="1" t="s">
        <v>123</v>
      </c>
      <c r="I791" s="1" t="s">
        <v>58</v>
      </c>
      <c r="J791" s="1" t="s">
        <v>24</v>
      </c>
      <c r="K791" s="1" t="s">
        <v>82</v>
      </c>
      <c r="L791" s="1" t="s">
        <v>531</v>
      </c>
      <c r="M791">
        <v>8</v>
      </c>
      <c r="N791">
        <v>0</v>
      </c>
      <c r="O791">
        <v>32.392000000000003</v>
      </c>
      <c r="P791">
        <v>647.84</v>
      </c>
      <c r="Q791">
        <v>615.44799999999998</v>
      </c>
    </row>
    <row r="792" spans="1:17" x14ac:dyDescent="0.25">
      <c r="A792" s="2">
        <v>42187</v>
      </c>
      <c r="B792" s="2">
        <v>42187</v>
      </c>
      <c r="C792" s="1" t="s">
        <v>434</v>
      </c>
      <c r="D792" s="1" t="s">
        <v>1483</v>
      </c>
      <c r="E792" s="1" t="s">
        <v>19</v>
      </c>
      <c r="F792" s="1" t="s">
        <v>20</v>
      </c>
      <c r="G792" s="1" t="s">
        <v>91</v>
      </c>
      <c r="H792" s="1" t="s">
        <v>57</v>
      </c>
      <c r="I792" s="1" t="s">
        <v>58</v>
      </c>
      <c r="J792" s="1" t="s">
        <v>32</v>
      </c>
      <c r="K792" s="1" t="s">
        <v>59</v>
      </c>
      <c r="L792" s="1" t="s">
        <v>1484</v>
      </c>
      <c r="M792">
        <v>4</v>
      </c>
      <c r="N792">
        <v>0.8</v>
      </c>
      <c r="O792">
        <v>-85.238399999999999</v>
      </c>
      <c r="P792">
        <v>32.783999999999999</v>
      </c>
      <c r="Q792">
        <v>118.0224</v>
      </c>
    </row>
    <row r="793" spans="1:17" x14ac:dyDescent="0.25">
      <c r="A793" s="2">
        <v>42692</v>
      </c>
      <c r="B793" s="2">
        <v>42697</v>
      </c>
      <c r="C793" s="1" t="s">
        <v>35</v>
      </c>
      <c r="D793" s="1" t="s">
        <v>1394</v>
      </c>
      <c r="E793" s="1" t="s">
        <v>55</v>
      </c>
      <c r="F793" s="1" t="s">
        <v>20</v>
      </c>
      <c r="G793" s="1" t="s">
        <v>1485</v>
      </c>
      <c r="H793" s="1" t="s">
        <v>256</v>
      </c>
      <c r="I793" s="1" t="s">
        <v>58</v>
      </c>
      <c r="J793" s="1" t="s">
        <v>32</v>
      </c>
      <c r="K793" s="1" t="s">
        <v>64</v>
      </c>
      <c r="L793" s="1" t="s">
        <v>1486</v>
      </c>
      <c r="M793">
        <v>4</v>
      </c>
      <c r="N793">
        <v>0</v>
      </c>
      <c r="O793">
        <v>55.896000000000001</v>
      </c>
      <c r="P793">
        <v>1117.92</v>
      </c>
      <c r="Q793">
        <v>1062.0240000000001</v>
      </c>
    </row>
    <row r="794" spans="1:17" x14ac:dyDescent="0.25">
      <c r="A794" s="2">
        <v>43071</v>
      </c>
      <c r="B794" s="2">
        <v>43075</v>
      </c>
      <c r="C794" s="1" t="s">
        <v>35</v>
      </c>
      <c r="D794" s="1" t="s">
        <v>1487</v>
      </c>
      <c r="E794" s="1" t="s">
        <v>55</v>
      </c>
      <c r="F794" s="1" t="s">
        <v>20</v>
      </c>
      <c r="G794" s="1" t="s">
        <v>336</v>
      </c>
      <c r="H794" s="1" t="s">
        <v>38</v>
      </c>
      <c r="I794" s="1" t="s">
        <v>23</v>
      </c>
      <c r="J794" s="1" t="s">
        <v>32</v>
      </c>
      <c r="K794" s="1" t="s">
        <v>52</v>
      </c>
      <c r="L794" s="1" t="s">
        <v>597</v>
      </c>
      <c r="M794">
        <v>5</v>
      </c>
      <c r="N794">
        <v>0.7</v>
      </c>
      <c r="O794">
        <v>-33.484000000000002</v>
      </c>
      <c r="P794">
        <v>45.66</v>
      </c>
      <c r="Q794">
        <v>79.144000000000005</v>
      </c>
    </row>
    <row r="795" spans="1:17" x14ac:dyDescent="0.25">
      <c r="A795" s="2">
        <v>41887</v>
      </c>
      <c r="B795" s="2">
        <v>41892</v>
      </c>
      <c r="C795" s="1" t="s">
        <v>35</v>
      </c>
      <c r="D795" s="1" t="s">
        <v>1046</v>
      </c>
      <c r="E795" s="1" t="s">
        <v>19</v>
      </c>
      <c r="F795" s="1" t="s">
        <v>20</v>
      </c>
      <c r="G795" s="1" t="s">
        <v>1288</v>
      </c>
      <c r="H795" s="1" t="s">
        <v>214</v>
      </c>
      <c r="I795" s="1" t="s">
        <v>81</v>
      </c>
      <c r="J795" s="1" t="s">
        <v>32</v>
      </c>
      <c r="K795" s="1" t="s">
        <v>64</v>
      </c>
      <c r="L795" s="1" t="s">
        <v>677</v>
      </c>
      <c r="M795">
        <v>2</v>
      </c>
      <c r="N795">
        <v>0.2</v>
      </c>
      <c r="O795">
        <v>19.824000000000002</v>
      </c>
      <c r="P795">
        <v>264.32</v>
      </c>
      <c r="Q795">
        <v>244.49599999999998</v>
      </c>
    </row>
    <row r="796" spans="1:17" x14ac:dyDescent="0.25">
      <c r="A796" s="2">
        <v>41958</v>
      </c>
      <c r="B796" s="2">
        <v>41965</v>
      </c>
      <c r="C796" s="1" t="s">
        <v>35</v>
      </c>
      <c r="D796" s="1" t="s">
        <v>751</v>
      </c>
      <c r="E796" s="1" t="s">
        <v>19</v>
      </c>
      <c r="F796" s="1" t="s">
        <v>20</v>
      </c>
      <c r="G796" s="1" t="s">
        <v>91</v>
      </c>
      <c r="H796" s="1" t="s">
        <v>57</v>
      </c>
      <c r="I796" s="1" t="s">
        <v>58</v>
      </c>
      <c r="J796" s="1" t="s">
        <v>32</v>
      </c>
      <c r="K796" s="1" t="s">
        <v>94</v>
      </c>
      <c r="L796" s="1" t="s">
        <v>1488</v>
      </c>
      <c r="M796">
        <v>9</v>
      </c>
      <c r="N796">
        <v>0.2</v>
      </c>
      <c r="O796">
        <v>204.07140000000001</v>
      </c>
      <c r="P796">
        <v>604.65599999999995</v>
      </c>
      <c r="Q796">
        <v>400.58459999999991</v>
      </c>
    </row>
    <row r="797" spans="1:17" x14ac:dyDescent="0.25">
      <c r="A797" s="2">
        <v>42857</v>
      </c>
      <c r="B797" s="2">
        <v>42862</v>
      </c>
      <c r="C797" s="1" t="s">
        <v>35</v>
      </c>
      <c r="D797" s="1" t="s">
        <v>226</v>
      </c>
      <c r="E797" s="1" t="s">
        <v>28</v>
      </c>
      <c r="F797" s="1" t="s">
        <v>20</v>
      </c>
      <c r="G797" s="1" t="s">
        <v>297</v>
      </c>
      <c r="H797" s="1" t="s">
        <v>298</v>
      </c>
      <c r="I797" s="1" t="s">
        <v>81</v>
      </c>
      <c r="J797" s="1" t="s">
        <v>24</v>
      </c>
      <c r="K797" s="1" t="s">
        <v>42</v>
      </c>
      <c r="L797" s="1" t="s">
        <v>940</v>
      </c>
      <c r="M797">
        <v>3</v>
      </c>
      <c r="N797">
        <v>0</v>
      </c>
      <c r="O797">
        <v>12.993</v>
      </c>
      <c r="P797">
        <v>129.93</v>
      </c>
      <c r="Q797">
        <v>116.93700000000001</v>
      </c>
    </row>
    <row r="798" spans="1:17" x14ac:dyDescent="0.25">
      <c r="A798" s="2">
        <v>41936</v>
      </c>
      <c r="B798" s="2">
        <v>41941</v>
      </c>
      <c r="C798" s="1" t="s">
        <v>35</v>
      </c>
      <c r="D798" s="1" t="s">
        <v>1487</v>
      </c>
      <c r="E798" s="1" t="s">
        <v>55</v>
      </c>
      <c r="F798" s="1" t="s">
        <v>20</v>
      </c>
      <c r="G798" s="1" t="s">
        <v>37</v>
      </c>
      <c r="H798" s="1" t="s">
        <v>38</v>
      </c>
      <c r="I798" s="1" t="s">
        <v>23</v>
      </c>
      <c r="J798" s="1" t="s">
        <v>32</v>
      </c>
      <c r="K798" s="1" t="s">
        <v>47</v>
      </c>
      <c r="L798" s="1" t="s">
        <v>1489</v>
      </c>
      <c r="M798">
        <v>2</v>
      </c>
      <c r="N798">
        <v>0.2</v>
      </c>
      <c r="O798">
        <v>3.6288</v>
      </c>
      <c r="P798">
        <v>10.368</v>
      </c>
      <c r="Q798">
        <v>6.7392000000000003</v>
      </c>
    </row>
    <row r="799" spans="1:17" x14ac:dyDescent="0.25">
      <c r="A799" s="2">
        <v>42962</v>
      </c>
      <c r="B799" s="2">
        <v>42965</v>
      </c>
      <c r="C799" s="1" t="s">
        <v>17</v>
      </c>
      <c r="D799" s="1" t="s">
        <v>988</v>
      </c>
      <c r="E799" s="1" t="s">
        <v>28</v>
      </c>
      <c r="F799" s="1" t="s">
        <v>20</v>
      </c>
      <c r="G799" s="1" t="s">
        <v>79</v>
      </c>
      <c r="H799" s="1" t="s">
        <v>80</v>
      </c>
      <c r="I799" s="1" t="s">
        <v>81</v>
      </c>
      <c r="J799" s="1" t="s">
        <v>32</v>
      </c>
      <c r="K799" s="1" t="s">
        <v>64</v>
      </c>
      <c r="L799" s="1" t="s">
        <v>1490</v>
      </c>
      <c r="M799">
        <v>6</v>
      </c>
      <c r="N799">
        <v>0.2</v>
      </c>
      <c r="O799">
        <v>-337.80599999999998</v>
      </c>
      <c r="P799">
        <v>1801.6320000000001</v>
      </c>
      <c r="Q799">
        <v>2139.4380000000001</v>
      </c>
    </row>
    <row r="800" spans="1:17" x14ac:dyDescent="0.25">
      <c r="A800" s="2">
        <v>42031</v>
      </c>
      <c r="B800" s="2">
        <v>42033</v>
      </c>
      <c r="C800" s="1" t="s">
        <v>17</v>
      </c>
      <c r="D800" s="1" t="s">
        <v>730</v>
      </c>
      <c r="E800" s="1" t="s">
        <v>19</v>
      </c>
      <c r="F800" s="1" t="s">
        <v>20</v>
      </c>
      <c r="G800" s="1" t="s">
        <v>1220</v>
      </c>
      <c r="H800" s="1" t="s">
        <v>214</v>
      </c>
      <c r="I800" s="1" t="s">
        <v>81</v>
      </c>
      <c r="J800" s="1" t="s">
        <v>24</v>
      </c>
      <c r="K800" s="1" t="s">
        <v>82</v>
      </c>
      <c r="L800" s="1" t="s">
        <v>153</v>
      </c>
      <c r="M800">
        <v>2</v>
      </c>
      <c r="N800">
        <v>0.3</v>
      </c>
      <c r="O800">
        <v>-54.595799999999997</v>
      </c>
      <c r="P800">
        <v>181.98599999999999</v>
      </c>
      <c r="Q800">
        <v>236.58179999999999</v>
      </c>
    </row>
    <row r="801" spans="1:17" x14ac:dyDescent="0.25">
      <c r="A801" s="2">
        <v>42201</v>
      </c>
      <c r="B801" s="2">
        <v>42201</v>
      </c>
      <c r="C801" s="1" t="s">
        <v>434</v>
      </c>
      <c r="D801" s="1" t="s">
        <v>1454</v>
      </c>
      <c r="E801" s="1" t="s">
        <v>28</v>
      </c>
      <c r="F801" s="1" t="s">
        <v>20</v>
      </c>
      <c r="G801" s="1" t="s">
        <v>71</v>
      </c>
      <c r="H801" s="1" t="s">
        <v>30</v>
      </c>
      <c r="I801" s="1" t="s">
        <v>31</v>
      </c>
      <c r="J801" s="1" t="s">
        <v>24</v>
      </c>
      <c r="K801" s="1" t="s">
        <v>82</v>
      </c>
      <c r="L801" s="1" t="s">
        <v>1491</v>
      </c>
      <c r="M801">
        <v>6</v>
      </c>
      <c r="N801">
        <v>0.2</v>
      </c>
      <c r="O801">
        <v>-219.1644</v>
      </c>
      <c r="P801">
        <v>1348.704</v>
      </c>
      <c r="Q801">
        <v>1567.8683999999998</v>
      </c>
    </row>
    <row r="802" spans="1:17" x14ac:dyDescent="0.25">
      <c r="A802" s="2">
        <v>42232</v>
      </c>
      <c r="B802" s="2">
        <v>42238</v>
      </c>
      <c r="C802" s="1" t="s">
        <v>35</v>
      </c>
      <c r="D802" s="1" t="s">
        <v>1479</v>
      </c>
      <c r="E802" s="1" t="s">
        <v>19</v>
      </c>
      <c r="F802" s="1" t="s">
        <v>20</v>
      </c>
      <c r="G802" s="1" t="s">
        <v>894</v>
      </c>
      <c r="H802" s="1" t="s">
        <v>140</v>
      </c>
      <c r="I802" s="1" t="s">
        <v>31</v>
      </c>
      <c r="J802" s="1" t="s">
        <v>32</v>
      </c>
      <c r="K802" s="1" t="s">
        <v>72</v>
      </c>
      <c r="L802" s="1" t="s">
        <v>1492</v>
      </c>
      <c r="M802">
        <v>1</v>
      </c>
      <c r="N802">
        <v>0.2</v>
      </c>
      <c r="O802">
        <v>0.25919999999999999</v>
      </c>
      <c r="P802">
        <v>2.3039999999999998</v>
      </c>
      <c r="Q802">
        <v>2.0448</v>
      </c>
    </row>
    <row r="803" spans="1:17" x14ac:dyDescent="0.25">
      <c r="A803" s="2">
        <v>42627</v>
      </c>
      <c r="B803" s="2">
        <v>42631</v>
      </c>
      <c r="C803" s="1" t="s">
        <v>35</v>
      </c>
      <c r="D803" s="1" t="s">
        <v>185</v>
      </c>
      <c r="E803" s="1" t="s">
        <v>55</v>
      </c>
      <c r="F803" s="1" t="s">
        <v>20</v>
      </c>
      <c r="G803" s="1" t="s">
        <v>168</v>
      </c>
      <c r="H803" s="1" t="s">
        <v>169</v>
      </c>
      <c r="I803" s="1" t="s">
        <v>23</v>
      </c>
      <c r="J803" s="1" t="s">
        <v>32</v>
      </c>
      <c r="K803" s="1" t="s">
        <v>47</v>
      </c>
      <c r="L803" s="1" t="s">
        <v>973</v>
      </c>
      <c r="M803">
        <v>4</v>
      </c>
      <c r="N803">
        <v>0</v>
      </c>
      <c r="O803">
        <v>12.441599999999999</v>
      </c>
      <c r="P803">
        <v>25.92</v>
      </c>
      <c r="Q803">
        <v>13.478400000000002</v>
      </c>
    </row>
    <row r="804" spans="1:17" x14ac:dyDescent="0.25">
      <c r="A804" s="2">
        <v>42651</v>
      </c>
      <c r="B804" s="2">
        <v>42657</v>
      </c>
      <c r="C804" s="1" t="s">
        <v>35</v>
      </c>
      <c r="D804" s="1" t="s">
        <v>802</v>
      </c>
      <c r="E804" s="1" t="s">
        <v>28</v>
      </c>
      <c r="F804" s="1" t="s">
        <v>20</v>
      </c>
      <c r="G804" s="1" t="s">
        <v>91</v>
      </c>
      <c r="H804" s="1" t="s">
        <v>57</v>
      </c>
      <c r="I804" s="1" t="s">
        <v>58</v>
      </c>
      <c r="J804" s="1" t="s">
        <v>24</v>
      </c>
      <c r="K804" s="1" t="s">
        <v>42</v>
      </c>
      <c r="L804" s="1" t="s">
        <v>1493</v>
      </c>
      <c r="M804">
        <v>8</v>
      </c>
      <c r="N804">
        <v>0.6</v>
      </c>
      <c r="O804">
        <v>-32.32</v>
      </c>
      <c r="P804">
        <v>51.712000000000003</v>
      </c>
      <c r="Q804">
        <v>84.032000000000011</v>
      </c>
    </row>
    <row r="805" spans="1:17" x14ac:dyDescent="0.25">
      <c r="A805" s="2">
        <v>42087</v>
      </c>
      <c r="B805" s="2">
        <v>42093</v>
      </c>
      <c r="C805" s="1" t="s">
        <v>35</v>
      </c>
      <c r="D805" s="1" t="s">
        <v>386</v>
      </c>
      <c r="E805" s="1" t="s">
        <v>28</v>
      </c>
      <c r="F805" s="1" t="s">
        <v>20</v>
      </c>
      <c r="G805" s="1" t="s">
        <v>1031</v>
      </c>
      <c r="H805" s="1" t="s">
        <v>38</v>
      </c>
      <c r="I805" s="1" t="s">
        <v>23</v>
      </c>
      <c r="J805" s="1" t="s">
        <v>32</v>
      </c>
      <c r="K805" s="1" t="s">
        <v>59</v>
      </c>
      <c r="L805" s="1" t="s">
        <v>1425</v>
      </c>
      <c r="M805">
        <v>2</v>
      </c>
      <c r="N805">
        <v>0.2</v>
      </c>
      <c r="O805">
        <v>0.52439999999999998</v>
      </c>
      <c r="P805">
        <v>6.992</v>
      </c>
      <c r="Q805">
        <v>6.4676</v>
      </c>
    </row>
    <row r="806" spans="1:17" x14ac:dyDescent="0.25">
      <c r="A806" s="2">
        <v>42932</v>
      </c>
      <c r="B806" s="2">
        <v>42937</v>
      </c>
      <c r="C806" s="1" t="s">
        <v>35</v>
      </c>
      <c r="D806" s="1" t="s">
        <v>296</v>
      </c>
      <c r="E806" s="1" t="s">
        <v>55</v>
      </c>
      <c r="F806" s="1" t="s">
        <v>20</v>
      </c>
      <c r="G806" s="1" t="s">
        <v>1494</v>
      </c>
      <c r="H806" s="1" t="s">
        <v>98</v>
      </c>
      <c r="I806" s="1" t="s">
        <v>58</v>
      </c>
      <c r="J806" s="1" t="s">
        <v>32</v>
      </c>
      <c r="K806" s="1" t="s">
        <v>72</v>
      </c>
      <c r="L806" s="1" t="s">
        <v>1495</v>
      </c>
      <c r="M806">
        <v>2</v>
      </c>
      <c r="N806">
        <v>0.2</v>
      </c>
      <c r="O806">
        <v>0.91</v>
      </c>
      <c r="P806">
        <v>2.9119999999999999</v>
      </c>
      <c r="Q806">
        <v>2.0019999999999998</v>
      </c>
    </row>
    <row r="807" spans="1:17" x14ac:dyDescent="0.25">
      <c r="A807" s="2">
        <v>42594</v>
      </c>
      <c r="B807" s="2">
        <v>42597</v>
      </c>
      <c r="C807" s="1" t="s">
        <v>17</v>
      </c>
      <c r="D807" s="1" t="s">
        <v>1496</v>
      </c>
      <c r="E807" s="1" t="s">
        <v>19</v>
      </c>
      <c r="F807" s="1" t="s">
        <v>20</v>
      </c>
      <c r="G807" s="1" t="s">
        <v>1329</v>
      </c>
      <c r="H807" s="1" t="s">
        <v>57</v>
      </c>
      <c r="I807" s="1" t="s">
        <v>58</v>
      </c>
      <c r="J807" s="1" t="s">
        <v>99</v>
      </c>
      <c r="K807" s="1" t="s">
        <v>111</v>
      </c>
      <c r="L807" s="1" t="s">
        <v>1497</v>
      </c>
      <c r="M807">
        <v>7</v>
      </c>
      <c r="N807">
        <v>0.2</v>
      </c>
      <c r="O807">
        <v>52.497900000000001</v>
      </c>
      <c r="P807">
        <v>1399.944</v>
      </c>
      <c r="Q807">
        <v>1347.4460999999999</v>
      </c>
    </row>
    <row r="808" spans="1:17" x14ac:dyDescent="0.25">
      <c r="A808" s="2">
        <v>41665</v>
      </c>
      <c r="B808" s="2">
        <v>41670</v>
      </c>
      <c r="C808" s="1" t="s">
        <v>35</v>
      </c>
      <c r="D808" s="1" t="s">
        <v>506</v>
      </c>
      <c r="E808" s="1" t="s">
        <v>55</v>
      </c>
      <c r="F808" s="1" t="s">
        <v>20</v>
      </c>
      <c r="G808" s="1" t="s">
        <v>870</v>
      </c>
      <c r="H808" s="1" t="s">
        <v>144</v>
      </c>
      <c r="I808" s="1" t="s">
        <v>23</v>
      </c>
      <c r="J808" s="1" t="s">
        <v>24</v>
      </c>
      <c r="K808" s="1" t="s">
        <v>42</v>
      </c>
      <c r="L808" s="1" t="s">
        <v>1498</v>
      </c>
      <c r="M808">
        <v>3</v>
      </c>
      <c r="N808">
        <v>0</v>
      </c>
      <c r="O808">
        <v>30.7818</v>
      </c>
      <c r="P808">
        <v>62.82</v>
      </c>
      <c r="Q808">
        <v>32.038200000000003</v>
      </c>
    </row>
    <row r="809" spans="1:17" x14ac:dyDescent="0.25">
      <c r="A809" s="2">
        <v>42495</v>
      </c>
      <c r="B809" s="2">
        <v>42499</v>
      </c>
      <c r="C809" s="1" t="s">
        <v>35</v>
      </c>
      <c r="D809" s="1" t="s">
        <v>1499</v>
      </c>
      <c r="E809" s="1" t="s">
        <v>55</v>
      </c>
      <c r="F809" s="1" t="s">
        <v>20</v>
      </c>
      <c r="G809" s="1" t="s">
        <v>29</v>
      </c>
      <c r="H809" s="1" t="s">
        <v>30</v>
      </c>
      <c r="I809" s="1" t="s">
        <v>31</v>
      </c>
      <c r="J809" s="1" t="s">
        <v>32</v>
      </c>
      <c r="K809" s="1" t="s">
        <v>64</v>
      </c>
      <c r="L809" s="1" t="s">
        <v>1500</v>
      </c>
      <c r="M809">
        <v>1</v>
      </c>
      <c r="N809">
        <v>0</v>
      </c>
      <c r="O809">
        <v>1.0165999999999999</v>
      </c>
      <c r="P809">
        <v>5.98</v>
      </c>
      <c r="Q809">
        <v>4.9634</v>
      </c>
    </row>
    <row r="810" spans="1:17" x14ac:dyDescent="0.25">
      <c r="A810" s="2">
        <v>42868</v>
      </c>
      <c r="B810" s="2">
        <v>42872</v>
      </c>
      <c r="C810" s="1" t="s">
        <v>35</v>
      </c>
      <c r="D810" s="1" t="s">
        <v>814</v>
      </c>
      <c r="E810" s="1" t="s">
        <v>28</v>
      </c>
      <c r="F810" s="1" t="s">
        <v>20</v>
      </c>
      <c r="G810" s="1" t="s">
        <v>213</v>
      </c>
      <c r="H810" s="1" t="s">
        <v>123</v>
      </c>
      <c r="I810" s="1" t="s">
        <v>58</v>
      </c>
      <c r="J810" s="1" t="s">
        <v>32</v>
      </c>
      <c r="K810" s="1" t="s">
        <v>94</v>
      </c>
      <c r="L810" s="1" t="s">
        <v>1501</v>
      </c>
      <c r="M810">
        <v>2</v>
      </c>
      <c r="N810">
        <v>0</v>
      </c>
      <c r="O810">
        <v>81.432000000000002</v>
      </c>
      <c r="P810">
        <v>180.96</v>
      </c>
      <c r="Q810">
        <v>99.528000000000006</v>
      </c>
    </row>
    <row r="811" spans="1:17" x14ac:dyDescent="0.25">
      <c r="A811" s="2">
        <v>42848</v>
      </c>
      <c r="B811" s="2">
        <v>42854</v>
      </c>
      <c r="C811" s="1" t="s">
        <v>35</v>
      </c>
      <c r="D811" s="1" t="s">
        <v>282</v>
      </c>
      <c r="E811" s="1" t="s">
        <v>19</v>
      </c>
      <c r="F811" s="1" t="s">
        <v>20</v>
      </c>
      <c r="G811" s="1" t="s">
        <v>126</v>
      </c>
      <c r="H811" s="1" t="s">
        <v>127</v>
      </c>
      <c r="I811" s="1" t="s">
        <v>81</v>
      </c>
      <c r="J811" s="1" t="s">
        <v>32</v>
      </c>
      <c r="K811" s="1" t="s">
        <v>59</v>
      </c>
      <c r="L811" s="1" t="s">
        <v>1502</v>
      </c>
      <c r="M811">
        <v>2</v>
      </c>
      <c r="N811">
        <v>0</v>
      </c>
      <c r="O811">
        <v>35.3626</v>
      </c>
      <c r="P811">
        <v>121.94</v>
      </c>
      <c r="Q811">
        <v>86.577399999999997</v>
      </c>
    </row>
    <row r="812" spans="1:17" x14ac:dyDescent="0.25">
      <c r="A812" s="2">
        <v>42433</v>
      </c>
      <c r="B812" s="2">
        <v>42439</v>
      </c>
      <c r="C812" s="1" t="s">
        <v>35</v>
      </c>
      <c r="D812" s="1" t="s">
        <v>1124</v>
      </c>
      <c r="E812" s="1" t="s">
        <v>55</v>
      </c>
      <c r="F812" s="1" t="s">
        <v>20</v>
      </c>
      <c r="G812" s="1" t="s">
        <v>345</v>
      </c>
      <c r="H812" s="1" t="s">
        <v>30</v>
      </c>
      <c r="I812" s="1" t="s">
        <v>31</v>
      </c>
      <c r="J812" s="1" t="s">
        <v>32</v>
      </c>
      <c r="K812" s="1" t="s">
        <v>72</v>
      </c>
      <c r="L812" s="1" t="s">
        <v>1503</v>
      </c>
      <c r="M812">
        <v>1</v>
      </c>
      <c r="N812">
        <v>0</v>
      </c>
      <c r="O812">
        <v>4.9271000000000003</v>
      </c>
      <c r="P812">
        <v>16.989999999999998</v>
      </c>
      <c r="Q812">
        <v>12.062899999999999</v>
      </c>
    </row>
    <row r="813" spans="1:17" x14ac:dyDescent="0.25">
      <c r="A813" s="2">
        <v>42231</v>
      </c>
      <c r="B813" s="2">
        <v>42235</v>
      </c>
      <c r="C813" s="1" t="s">
        <v>35</v>
      </c>
      <c r="D813" s="1" t="s">
        <v>1504</v>
      </c>
      <c r="E813" s="1" t="s">
        <v>28</v>
      </c>
      <c r="F813" s="1" t="s">
        <v>20</v>
      </c>
      <c r="G813" s="1" t="s">
        <v>29</v>
      </c>
      <c r="H813" s="1" t="s">
        <v>30</v>
      </c>
      <c r="I813" s="1" t="s">
        <v>31</v>
      </c>
      <c r="J813" s="1" t="s">
        <v>32</v>
      </c>
      <c r="K813" s="1" t="s">
        <v>64</v>
      </c>
      <c r="L813" s="1" t="s">
        <v>924</v>
      </c>
      <c r="M813">
        <v>2</v>
      </c>
      <c r="N813">
        <v>0</v>
      </c>
      <c r="O813">
        <v>61.389000000000003</v>
      </c>
      <c r="P813">
        <v>323.10000000000002</v>
      </c>
      <c r="Q813">
        <v>261.71100000000001</v>
      </c>
    </row>
    <row r="814" spans="1:17" x14ac:dyDescent="0.25">
      <c r="A814" s="2">
        <v>42898</v>
      </c>
      <c r="B814" s="2">
        <v>42904</v>
      </c>
      <c r="C814" s="1" t="s">
        <v>35</v>
      </c>
      <c r="D814" s="1" t="s">
        <v>1505</v>
      </c>
      <c r="E814" s="1" t="s">
        <v>19</v>
      </c>
      <c r="F814" s="1" t="s">
        <v>20</v>
      </c>
      <c r="G814" s="1" t="s">
        <v>126</v>
      </c>
      <c r="H814" s="1" t="s">
        <v>127</v>
      </c>
      <c r="I814" s="1" t="s">
        <v>81</v>
      </c>
      <c r="J814" s="1" t="s">
        <v>32</v>
      </c>
      <c r="K814" s="1" t="s">
        <v>47</v>
      </c>
      <c r="L814" s="1" t="s">
        <v>1506</v>
      </c>
      <c r="M814">
        <v>4</v>
      </c>
      <c r="N814">
        <v>0</v>
      </c>
      <c r="O814">
        <v>9.3295999999999992</v>
      </c>
      <c r="P814">
        <v>19.04</v>
      </c>
      <c r="Q814">
        <v>9.7103999999999999</v>
      </c>
    </row>
    <row r="815" spans="1:17" x14ac:dyDescent="0.25">
      <c r="A815" s="2">
        <v>42055</v>
      </c>
      <c r="B815" s="2">
        <v>42060</v>
      </c>
      <c r="C815" s="1" t="s">
        <v>35</v>
      </c>
      <c r="D815" s="1" t="s">
        <v>605</v>
      </c>
      <c r="E815" s="1" t="s">
        <v>19</v>
      </c>
      <c r="F815" s="1" t="s">
        <v>20</v>
      </c>
      <c r="G815" s="1" t="s">
        <v>1507</v>
      </c>
      <c r="H815" s="1" t="s">
        <v>899</v>
      </c>
      <c r="I815" s="1" t="s">
        <v>23</v>
      </c>
      <c r="J815" s="1" t="s">
        <v>99</v>
      </c>
      <c r="K815" s="1" t="s">
        <v>111</v>
      </c>
      <c r="L815" s="1" t="s">
        <v>854</v>
      </c>
      <c r="M815">
        <v>1</v>
      </c>
      <c r="N815">
        <v>0</v>
      </c>
      <c r="O815">
        <v>2.9990000000000001</v>
      </c>
      <c r="P815">
        <v>29.99</v>
      </c>
      <c r="Q815">
        <v>26.991</v>
      </c>
    </row>
    <row r="816" spans="1:17" x14ac:dyDescent="0.25">
      <c r="A816" s="2">
        <v>42995</v>
      </c>
      <c r="B816" s="2">
        <v>42999</v>
      </c>
      <c r="C816" s="1" t="s">
        <v>17</v>
      </c>
      <c r="D816" s="1" t="s">
        <v>379</v>
      </c>
      <c r="E816" s="1" t="s">
        <v>28</v>
      </c>
      <c r="F816" s="1" t="s">
        <v>20</v>
      </c>
      <c r="G816" s="1" t="s">
        <v>1508</v>
      </c>
      <c r="H816" s="1" t="s">
        <v>68</v>
      </c>
      <c r="I816" s="1" t="s">
        <v>31</v>
      </c>
      <c r="J816" s="1" t="s">
        <v>32</v>
      </c>
      <c r="K816" s="1" t="s">
        <v>52</v>
      </c>
      <c r="L816" s="1" t="s">
        <v>985</v>
      </c>
      <c r="M816">
        <v>3</v>
      </c>
      <c r="N816">
        <v>0.2</v>
      </c>
      <c r="O816">
        <v>3.5022000000000002</v>
      </c>
      <c r="P816">
        <v>10.776</v>
      </c>
      <c r="Q816">
        <v>7.2737999999999996</v>
      </c>
    </row>
    <row r="817" spans="1:17" x14ac:dyDescent="0.25">
      <c r="A817" s="2">
        <v>42241</v>
      </c>
      <c r="B817" s="2">
        <v>42246</v>
      </c>
      <c r="C817" s="1" t="s">
        <v>35</v>
      </c>
      <c r="D817" s="1" t="s">
        <v>1509</v>
      </c>
      <c r="E817" s="1" t="s">
        <v>55</v>
      </c>
      <c r="F817" s="1" t="s">
        <v>20</v>
      </c>
      <c r="G817" s="1" t="s">
        <v>29</v>
      </c>
      <c r="H817" s="1" t="s">
        <v>30</v>
      </c>
      <c r="I817" s="1" t="s">
        <v>31</v>
      </c>
      <c r="J817" s="1" t="s">
        <v>24</v>
      </c>
      <c r="K817" s="1" t="s">
        <v>82</v>
      </c>
      <c r="L817" s="1" t="s">
        <v>83</v>
      </c>
      <c r="M817">
        <v>1</v>
      </c>
      <c r="N817">
        <v>0.2</v>
      </c>
      <c r="O817">
        <v>4.5881999999999996</v>
      </c>
      <c r="P817">
        <v>40.783999999999999</v>
      </c>
      <c r="Q817">
        <v>36.195799999999998</v>
      </c>
    </row>
    <row r="818" spans="1:17" x14ac:dyDescent="0.25">
      <c r="A818" s="2">
        <v>42586</v>
      </c>
      <c r="B818" s="2">
        <v>42587</v>
      </c>
      <c r="C818" s="1" t="s">
        <v>107</v>
      </c>
      <c r="D818" s="1" t="s">
        <v>1510</v>
      </c>
      <c r="E818" s="1" t="s">
        <v>19</v>
      </c>
      <c r="F818" s="1" t="s">
        <v>20</v>
      </c>
      <c r="G818" s="1" t="s">
        <v>466</v>
      </c>
      <c r="H818" s="1" t="s">
        <v>98</v>
      </c>
      <c r="I818" s="1" t="s">
        <v>58</v>
      </c>
      <c r="J818" s="1" t="s">
        <v>32</v>
      </c>
      <c r="K818" s="1" t="s">
        <v>52</v>
      </c>
      <c r="L818" s="1" t="s">
        <v>1511</v>
      </c>
      <c r="M818">
        <v>5</v>
      </c>
      <c r="N818">
        <v>0.8</v>
      </c>
      <c r="O818">
        <v>-6.5670000000000002</v>
      </c>
      <c r="P818">
        <v>3.98</v>
      </c>
      <c r="Q818">
        <v>10.547000000000001</v>
      </c>
    </row>
    <row r="819" spans="1:17" x14ac:dyDescent="0.25">
      <c r="A819" s="2">
        <v>42407</v>
      </c>
      <c r="B819" s="2">
        <v>42409</v>
      </c>
      <c r="C819" s="1" t="s">
        <v>107</v>
      </c>
      <c r="D819" s="1" t="s">
        <v>1512</v>
      </c>
      <c r="E819" s="1" t="s">
        <v>19</v>
      </c>
      <c r="F819" s="1" t="s">
        <v>20</v>
      </c>
      <c r="G819" s="1" t="s">
        <v>777</v>
      </c>
      <c r="H819" s="1" t="s">
        <v>214</v>
      </c>
      <c r="I819" s="1" t="s">
        <v>81</v>
      </c>
      <c r="J819" s="1" t="s">
        <v>32</v>
      </c>
      <c r="K819" s="1" t="s">
        <v>47</v>
      </c>
      <c r="L819" s="1" t="s">
        <v>1513</v>
      </c>
      <c r="M819">
        <v>2</v>
      </c>
      <c r="N819">
        <v>0.2</v>
      </c>
      <c r="O819">
        <v>10.623200000000001</v>
      </c>
      <c r="P819">
        <v>30.352</v>
      </c>
      <c r="Q819">
        <v>19.7288</v>
      </c>
    </row>
    <row r="820" spans="1:17" x14ac:dyDescent="0.25">
      <c r="A820" s="2">
        <v>41716</v>
      </c>
      <c r="B820" s="2">
        <v>41721</v>
      </c>
      <c r="C820" s="1" t="s">
        <v>35</v>
      </c>
      <c r="D820" s="1" t="s">
        <v>1419</v>
      </c>
      <c r="E820" s="1" t="s">
        <v>55</v>
      </c>
      <c r="F820" s="1" t="s">
        <v>20</v>
      </c>
      <c r="G820" s="1" t="s">
        <v>516</v>
      </c>
      <c r="H820" s="1" t="s">
        <v>38</v>
      </c>
      <c r="I820" s="1" t="s">
        <v>23</v>
      </c>
      <c r="J820" s="1" t="s">
        <v>99</v>
      </c>
      <c r="K820" s="1" t="s">
        <v>354</v>
      </c>
      <c r="L820" s="1" t="s">
        <v>1514</v>
      </c>
      <c r="M820">
        <v>4</v>
      </c>
      <c r="N820">
        <v>0.5</v>
      </c>
      <c r="O820">
        <v>-16.425999999999998</v>
      </c>
      <c r="P820">
        <v>821.3</v>
      </c>
      <c r="Q820">
        <v>837.726</v>
      </c>
    </row>
    <row r="821" spans="1:17" x14ac:dyDescent="0.25">
      <c r="A821" s="2">
        <v>42034</v>
      </c>
      <c r="B821" s="2">
        <v>42041</v>
      </c>
      <c r="C821" s="1" t="s">
        <v>35</v>
      </c>
      <c r="D821" s="1" t="s">
        <v>632</v>
      </c>
      <c r="E821" s="1" t="s">
        <v>19</v>
      </c>
      <c r="F821" s="1" t="s">
        <v>20</v>
      </c>
      <c r="G821" s="1" t="s">
        <v>29</v>
      </c>
      <c r="H821" s="1" t="s">
        <v>30</v>
      </c>
      <c r="I821" s="1" t="s">
        <v>31</v>
      </c>
      <c r="J821" s="1" t="s">
        <v>24</v>
      </c>
      <c r="K821" s="1" t="s">
        <v>42</v>
      </c>
      <c r="L821" s="1" t="s">
        <v>1515</v>
      </c>
      <c r="M821">
        <v>7</v>
      </c>
      <c r="N821">
        <v>0</v>
      </c>
      <c r="O821">
        <v>81.849599999999995</v>
      </c>
      <c r="P821">
        <v>227.36</v>
      </c>
      <c r="Q821">
        <v>145.5104</v>
      </c>
    </row>
    <row r="822" spans="1:17" x14ac:dyDescent="0.25">
      <c r="A822" s="2">
        <v>41977</v>
      </c>
      <c r="B822" s="2">
        <v>41981</v>
      </c>
      <c r="C822" s="1" t="s">
        <v>35</v>
      </c>
      <c r="D822" s="1" t="s">
        <v>1097</v>
      </c>
      <c r="E822" s="1" t="s">
        <v>28</v>
      </c>
      <c r="F822" s="1" t="s">
        <v>20</v>
      </c>
      <c r="G822" s="1" t="s">
        <v>126</v>
      </c>
      <c r="H822" s="1" t="s">
        <v>127</v>
      </c>
      <c r="I822" s="1" t="s">
        <v>81</v>
      </c>
      <c r="J822" s="1" t="s">
        <v>99</v>
      </c>
      <c r="K822" s="1" t="s">
        <v>100</v>
      </c>
      <c r="L822" s="1" t="s">
        <v>1516</v>
      </c>
      <c r="M822">
        <v>2</v>
      </c>
      <c r="N822">
        <v>0</v>
      </c>
      <c r="O822">
        <v>62.3904</v>
      </c>
      <c r="P822">
        <v>129.97999999999999</v>
      </c>
      <c r="Q822">
        <v>67.58959999999999</v>
      </c>
    </row>
    <row r="823" spans="1:17" x14ac:dyDescent="0.25">
      <c r="A823" s="2">
        <v>41947</v>
      </c>
      <c r="B823" s="2">
        <v>41951</v>
      </c>
      <c r="C823" s="1" t="s">
        <v>17</v>
      </c>
      <c r="D823" s="1" t="s">
        <v>108</v>
      </c>
      <c r="E823" s="1" t="s">
        <v>28</v>
      </c>
      <c r="F823" s="1" t="s">
        <v>20</v>
      </c>
      <c r="G823" s="1" t="s">
        <v>1517</v>
      </c>
      <c r="H823" s="1" t="s">
        <v>46</v>
      </c>
      <c r="I823" s="1" t="s">
        <v>23</v>
      </c>
      <c r="J823" s="1" t="s">
        <v>32</v>
      </c>
      <c r="K823" s="1" t="s">
        <v>128</v>
      </c>
      <c r="L823" s="1" t="s">
        <v>328</v>
      </c>
      <c r="M823">
        <v>3</v>
      </c>
      <c r="N823">
        <v>0.2</v>
      </c>
      <c r="O823">
        <v>2.7222</v>
      </c>
      <c r="P823">
        <v>8.3759999999999994</v>
      </c>
      <c r="Q823">
        <v>5.6537999999999995</v>
      </c>
    </row>
    <row r="824" spans="1:17" x14ac:dyDescent="0.25">
      <c r="A824" s="2">
        <v>42779</v>
      </c>
      <c r="B824" s="2">
        <v>42785</v>
      </c>
      <c r="C824" s="1" t="s">
        <v>35</v>
      </c>
      <c r="D824" s="1" t="s">
        <v>1518</v>
      </c>
      <c r="E824" s="1" t="s">
        <v>19</v>
      </c>
      <c r="F824" s="1" t="s">
        <v>20</v>
      </c>
      <c r="G824" s="1" t="s">
        <v>50</v>
      </c>
      <c r="H824" s="1" t="s">
        <v>51</v>
      </c>
      <c r="I824" s="1" t="s">
        <v>31</v>
      </c>
      <c r="J824" s="1" t="s">
        <v>32</v>
      </c>
      <c r="K824" s="1" t="s">
        <v>72</v>
      </c>
      <c r="L824" s="1" t="s">
        <v>252</v>
      </c>
      <c r="M824">
        <v>3</v>
      </c>
      <c r="N824">
        <v>0</v>
      </c>
      <c r="O824">
        <v>1.7901</v>
      </c>
      <c r="P824">
        <v>6.63</v>
      </c>
      <c r="Q824">
        <v>4.8399000000000001</v>
      </c>
    </row>
    <row r="825" spans="1:17" x14ac:dyDescent="0.25">
      <c r="A825" s="2">
        <v>42056</v>
      </c>
      <c r="B825" s="2">
        <v>42058</v>
      </c>
      <c r="C825" s="1" t="s">
        <v>17</v>
      </c>
      <c r="D825" s="1" t="s">
        <v>1519</v>
      </c>
      <c r="E825" s="1" t="s">
        <v>19</v>
      </c>
      <c r="F825" s="1" t="s">
        <v>20</v>
      </c>
      <c r="G825" s="1" t="s">
        <v>1520</v>
      </c>
      <c r="H825" s="1" t="s">
        <v>262</v>
      </c>
      <c r="I825" s="1" t="s">
        <v>31</v>
      </c>
      <c r="J825" s="1" t="s">
        <v>32</v>
      </c>
      <c r="K825" s="1" t="s">
        <v>47</v>
      </c>
      <c r="L825" s="1" t="s">
        <v>92</v>
      </c>
      <c r="M825">
        <v>4</v>
      </c>
      <c r="N825">
        <v>0</v>
      </c>
      <c r="O825">
        <v>23.086400000000001</v>
      </c>
      <c r="P825">
        <v>49.12</v>
      </c>
      <c r="Q825">
        <v>26.033599999999996</v>
      </c>
    </row>
    <row r="826" spans="1:17" x14ac:dyDescent="0.25">
      <c r="A826" s="2">
        <v>42425</v>
      </c>
      <c r="B826" s="2">
        <v>42427</v>
      </c>
      <c r="C826" s="1" t="s">
        <v>17</v>
      </c>
      <c r="D826" s="1" t="s">
        <v>636</v>
      </c>
      <c r="E826" s="1" t="s">
        <v>19</v>
      </c>
      <c r="F826" s="1" t="s">
        <v>20</v>
      </c>
      <c r="G826" s="1" t="s">
        <v>240</v>
      </c>
      <c r="H826" s="1" t="s">
        <v>214</v>
      </c>
      <c r="I826" s="1" t="s">
        <v>81</v>
      </c>
      <c r="J826" s="1" t="s">
        <v>32</v>
      </c>
      <c r="K826" s="1" t="s">
        <v>94</v>
      </c>
      <c r="L826" s="1" t="s">
        <v>263</v>
      </c>
      <c r="M826">
        <v>5</v>
      </c>
      <c r="N826">
        <v>0.2</v>
      </c>
      <c r="O826">
        <v>17.52</v>
      </c>
      <c r="P826">
        <v>46.72</v>
      </c>
      <c r="Q826">
        <v>29.2</v>
      </c>
    </row>
    <row r="827" spans="1:17" x14ac:dyDescent="0.25">
      <c r="A827" s="2">
        <v>42954</v>
      </c>
      <c r="B827" s="2">
        <v>42958</v>
      </c>
      <c r="C827" s="1" t="s">
        <v>17</v>
      </c>
      <c r="D827" s="1" t="s">
        <v>1521</v>
      </c>
      <c r="E827" s="1" t="s">
        <v>19</v>
      </c>
      <c r="F827" s="1" t="s">
        <v>20</v>
      </c>
      <c r="G827" s="1" t="s">
        <v>516</v>
      </c>
      <c r="H827" s="1" t="s">
        <v>46</v>
      </c>
      <c r="I827" s="1" t="s">
        <v>23</v>
      </c>
      <c r="J827" s="1" t="s">
        <v>99</v>
      </c>
      <c r="K827" s="1" t="s">
        <v>111</v>
      </c>
      <c r="L827" s="1" t="s">
        <v>1522</v>
      </c>
      <c r="M827">
        <v>1</v>
      </c>
      <c r="N827">
        <v>0.2</v>
      </c>
      <c r="O827">
        <v>21.997800000000002</v>
      </c>
      <c r="P827">
        <v>79.992000000000004</v>
      </c>
      <c r="Q827">
        <v>57.994200000000006</v>
      </c>
    </row>
    <row r="828" spans="1:17" x14ac:dyDescent="0.25">
      <c r="A828" s="2">
        <v>41859</v>
      </c>
      <c r="B828" s="2">
        <v>41862</v>
      </c>
      <c r="C828" s="1" t="s">
        <v>17</v>
      </c>
      <c r="D828" s="1" t="s">
        <v>1523</v>
      </c>
      <c r="E828" s="1" t="s">
        <v>19</v>
      </c>
      <c r="F828" s="1" t="s">
        <v>20</v>
      </c>
      <c r="G828" s="1" t="s">
        <v>1524</v>
      </c>
      <c r="H828" s="1" t="s">
        <v>30</v>
      </c>
      <c r="I828" s="1" t="s">
        <v>31</v>
      </c>
      <c r="J828" s="1" t="s">
        <v>32</v>
      </c>
      <c r="K828" s="1" t="s">
        <v>64</v>
      </c>
      <c r="L828" s="1" t="s">
        <v>1525</v>
      </c>
      <c r="M828">
        <v>11</v>
      </c>
      <c r="N828">
        <v>0</v>
      </c>
      <c r="O828">
        <v>110.0528</v>
      </c>
      <c r="P828">
        <v>423.28</v>
      </c>
      <c r="Q828">
        <v>313.22719999999998</v>
      </c>
    </row>
    <row r="829" spans="1:17" x14ac:dyDescent="0.25">
      <c r="A829" s="2">
        <v>42750</v>
      </c>
      <c r="B829" s="2">
        <v>42753</v>
      </c>
      <c r="C829" s="1" t="s">
        <v>107</v>
      </c>
      <c r="D829" s="1" t="s">
        <v>907</v>
      </c>
      <c r="E829" s="1" t="s">
        <v>19</v>
      </c>
      <c r="F829" s="1" t="s">
        <v>20</v>
      </c>
      <c r="G829" s="1" t="s">
        <v>79</v>
      </c>
      <c r="H829" s="1" t="s">
        <v>80</v>
      </c>
      <c r="I829" s="1" t="s">
        <v>81</v>
      </c>
      <c r="J829" s="1" t="s">
        <v>32</v>
      </c>
      <c r="K829" s="1" t="s">
        <v>59</v>
      </c>
      <c r="L829" s="1" t="s">
        <v>1526</v>
      </c>
      <c r="M829">
        <v>1</v>
      </c>
      <c r="N829">
        <v>0.2</v>
      </c>
      <c r="O829">
        <v>3.8681999999999999</v>
      </c>
      <c r="P829">
        <v>34.384</v>
      </c>
      <c r="Q829">
        <v>30.515799999999999</v>
      </c>
    </row>
    <row r="830" spans="1:17" x14ac:dyDescent="0.25">
      <c r="A830" s="2">
        <v>42096</v>
      </c>
      <c r="B830" s="2">
        <v>42101</v>
      </c>
      <c r="C830" s="1" t="s">
        <v>35</v>
      </c>
      <c r="D830" s="1" t="s">
        <v>1527</v>
      </c>
      <c r="E830" s="1" t="s">
        <v>19</v>
      </c>
      <c r="F830" s="1" t="s">
        <v>20</v>
      </c>
      <c r="G830" s="1" t="s">
        <v>309</v>
      </c>
      <c r="H830" s="1" t="s">
        <v>57</v>
      </c>
      <c r="I830" s="1" t="s">
        <v>58</v>
      </c>
      <c r="J830" s="1" t="s">
        <v>32</v>
      </c>
      <c r="K830" s="1" t="s">
        <v>59</v>
      </c>
      <c r="L830" s="1" t="s">
        <v>1528</v>
      </c>
      <c r="M830">
        <v>2</v>
      </c>
      <c r="N830">
        <v>0.8</v>
      </c>
      <c r="O830">
        <v>-80.48</v>
      </c>
      <c r="P830">
        <v>32.192</v>
      </c>
      <c r="Q830">
        <v>112.672</v>
      </c>
    </row>
    <row r="831" spans="1:17" x14ac:dyDescent="0.25">
      <c r="A831" s="2">
        <v>42664</v>
      </c>
      <c r="B831" s="2">
        <v>42668</v>
      </c>
      <c r="C831" s="1" t="s">
        <v>35</v>
      </c>
      <c r="D831" s="1" t="s">
        <v>150</v>
      </c>
      <c r="E831" s="1" t="s">
        <v>19</v>
      </c>
      <c r="F831" s="1" t="s">
        <v>20</v>
      </c>
      <c r="G831" s="1" t="s">
        <v>345</v>
      </c>
      <c r="H831" s="1" t="s">
        <v>30</v>
      </c>
      <c r="I831" s="1" t="s">
        <v>31</v>
      </c>
      <c r="J831" s="1" t="s">
        <v>32</v>
      </c>
      <c r="K831" s="1" t="s">
        <v>64</v>
      </c>
      <c r="L831" s="1" t="s">
        <v>1142</v>
      </c>
      <c r="M831">
        <v>3</v>
      </c>
      <c r="N831">
        <v>0</v>
      </c>
      <c r="O831">
        <v>1.5444</v>
      </c>
      <c r="P831">
        <v>154.44</v>
      </c>
      <c r="Q831">
        <v>152.8956</v>
      </c>
    </row>
    <row r="832" spans="1:17" x14ac:dyDescent="0.25">
      <c r="A832" s="2">
        <v>42202</v>
      </c>
      <c r="B832" s="2">
        <v>42204</v>
      </c>
      <c r="C832" s="1" t="s">
        <v>17</v>
      </c>
      <c r="D832" s="1" t="s">
        <v>874</v>
      </c>
      <c r="E832" s="1" t="s">
        <v>19</v>
      </c>
      <c r="F832" s="1" t="s">
        <v>20</v>
      </c>
      <c r="G832" s="1" t="s">
        <v>1529</v>
      </c>
      <c r="H832" s="1" t="s">
        <v>30</v>
      </c>
      <c r="I832" s="1" t="s">
        <v>31</v>
      </c>
      <c r="J832" s="1" t="s">
        <v>24</v>
      </c>
      <c r="K832" s="1" t="s">
        <v>25</v>
      </c>
      <c r="L832" s="1" t="s">
        <v>1530</v>
      </c>
      <c r="M832">
        <v>2</v>
      </c>
      <c r="N832">
        <v>0.15</v>
      </c>
      <c r="O832">
        <v>-13.797599999999999</v>
      </c>
      <c r="P832">
        <v>195.46600000000001</v>
      </c>
      <c r="Q832">
        <v>209.2636</v>
      </c>
    </row>
    <row r="833" spans="1:17" x14ac:dyDescent="0.25">
      <c r="A833" s="2">
        <v>42652</v>
      </c>
      <c r="B833" s="2">
        <v>42658</v>
      </c>
      <c r="C833" s="1" t="s">
        <v>35</v>
      </c>
      <c r="D833" s="1" t="s">
        <v>737</v>
      </c>
      <c r="E833" s="1" t="s">
        <v>28</v>
      </c>
      <c r="F833" s="1" t="s">
        <v>20</v>
      </c>
      <c r="G833" s="1" t="s">
        <v>131</v>
      </c>
      <c r="H833" s="1" t="s">
        <v>214</v>
      </c>
      <c r="I833" s="1" t="s">
        <v>81</v>
      </c>
      <c r="J833" s="1" t="s">
        <v>99</v>
      </c>
      <c r="K833" s="1" t="s">
        <v>100</v>
      </c>
      <c r="L833" s="1" t="s">
        <v>1271</v>
      </c>
      <c r="M833">
        <v>4</v>
      </c>
      <c r="N833">
        <v>0.4</v>
      </c>
      <c r="O833">
        <v>-15.5844</v>
      </c>
      <c r="P833">
        <v>23.975999999999999</v>
      </c>
      <c r="Q833">
        <v>39.560400000000001</v>
      </c>
    </row>
    <row r="834" spans="1:17" x14ac:dyDescent="0.25">
      <c r="A834" s="2">
        <v>42268</v>
      </c>
      <c r="B834" s="2">
        <v>42270</v>
      </c>
      <c r="C834" s="1" t="s">
        <v>107</v>
      </c>
      <c r="D834" s="1" t="s">
        <v>1531</v>
      </c>
      <c r="E834" s="1" t="s">
        <v>55</v>
      </c>
      <c r="F834" s="1" t="s">
        <v>20</v>
      </c>
      <c r="G834" s="1" t="s">
        <v>29</v>
      </c>
      <c r="H834" s="1" t="s">
        <v>30</v>
      </c>
      <c r="I834" s="1" t="s">
        <v>31</v>
      </c>
      <c r="J834" s="1" t="s">
        <v>24</v>
      </c>
      <c r="K834" s="1" t="s">
        <v>82</v>
      </c>
      <c r="L834" s="1" t="s">
        <v>1532</v>
      </c>
      <c r="M834">
        <v>4</v>
      </c>
      <c r="N834">
        <v>0.2</v>
      </c>
      <c r="O834">
        <v>0</v>
      </c>
      <c r="P834">
        <v>601.53599999999994</v>
      </c>
      <c r="Q834">
        <v>601.53599999999994</v>
      </c>
    </row>
    <row r="835" spans="1:17" x14ac:dyDescent="0.25">
      <c r="A835" s="2">
        <v>41903</v>
      </c>
      <c r="B835" s="2">
        <v>41904</v>
      </c>
      <c r="C835" s="1" t="s">
        <v>107</v>
      </c>
      <c r="D835" s="1" t="s">
        <v>814</v>
      </c>
      <c r="E835" s="1" t="s">
        <v>28</v>
      </c>
      <c r="F835" s="1" t="s">
        <v>20</v>
      </c>
      <c r="G835" s="1" t="s">
        <v>1533</v>
      </c>
      <c r="H835" s="1" t="s">
        <v>76</v>
      </c>
      <c r="I835" s="1" t="s">
        <v>58</v>
      </c>
      <c r="J835" s="1" t="s">
        <v>32</v>
      </c>
      <c r="K835" s="1" t="s">
        <v>59</v>
      </c>
      <c r="L835" s="1" t="s">
        <v>191</v>
      </c>
      <c r="M835">
        <v>2</v>
      </c>
      <c r="N835">
        <v>0</v>
      </c>
      <c r="O835">
        <v>7.5284000000000004</v>
      </c>
      <c r="P835">
        <v>25.96</v>
      </c>
      <c r="Q835">
        <v>18.4316</v>
      </c>
    </row>
    <row r="836" spans="1:17" x14ac:dyDescent="0.25">
      <c r="A836" s="2">
        <v>43042</v>
      </c>
      <c r="B836" s="2">
        <v>43047</v>
      </c>
      <c r="C836" s="1" t="s">
        <v>35</v>
      </c>
      <c r="D836" s="1" t="s">
        <v>1534</v>
      </c>
      <c r="E836" s="1" t="s">
        <v>19</v>
      </c>
      <c r="F836" s="1" t="s">
        <v>20</v>
      </c>
      <c r="G836" s="1" t="s">
        <v>1520</v>
      </c>
      <c r="H836" s="1" t="s">
        <v>262</v>
      </c>
      <c r="I836" s="1" t="s">
        <v>31</v>
      </c>
      <c r="J836" s="1" t="s">
        <v>24</v>
      </c>
      <c r="K836" s="1" t="s">
        <v>42</v>
      </c>
      <c r="L836" s="1" t="s">
        <v>186</v>
      </c>
      <c r="M836">
        <v>3</v>
      </c>
      <c r="N836">
        <v>0</v>
      </c>
      <c r="O836">
        <v>17.375399999999999</v>
      </c>
      <c r="P836">
        <v>41.37</v>
      </c>
      <c r="Q836">
        <v>23.994599999999998</v>
      </c>
    </row>
    <row r="837" spans="1:17" x14ac:dyDescent="0.25">
      <c r="A837" s="2">
        <v>42254</v>
      </c>
      <c r="B837" s="2">
        <v>42258</v>
      </c>
      <c r="C837" s="1" t="s">
        <v>35</v>
      </c>
      <c r="D837" s="1" t="s">
        <v>632</v>
      </c>
      <c r="E837" s="1" t="s">
        <v>19</v>
      </c>
      <c r="F837" s="1" t="s">
        <v>20</v>
      </c>
      <c r="G837" s="1" t="s">
        <v>1201</v>
      </c>
      <c r="H837" s="1" t="s">
        <v>57</v>
      </c>
      <c r="I837" s="1" t="s">
        <v>58</v>
      </c>
      <c r="J837" s="1" t="s">
        <v>24</v>
      </c>
      <c r="K837" s="1" t="s">
        <v>82</v>
      </c>
      <c r="L837" s="1" t="s">
        <v>1535</v>
      </c>
      <c r="M837">
        <v>2</v>
      </c>
      <c r="N837">
        <v>0.3</v>
      </c>
      <c r="O837">
        <v>-2.0364</v>
      </c>
      <c r="P837">
        <v>47.515999999999998</v>
      </c>
      <c r="Q837">
        <v>49.552399999999999</v>
      </c>
    </row>
    <row r="838" spans="1:17" x14ac:dyDescent="0.25">
      <c r="A838" s="2">
        <v>42210</v>
      </c>
      <c r="B838" s="2">
        <v>42212</v>
      </c>
      <c r="C838" s="1" t="s">
        <v>17</v>
      </c>
      <c r="D838" s="1" t="s">
        <v>1536</v>
      </c>
      <c r="E838" s="1" t="s">
        <v>19</v>
      </c>
      <c r="F838" s="1" t="s">
        <v>20</v>
      </c>
      <c r="G838" s="1" t="s">
        <v>50</v>
      </c>
      <c r="H838" s="1" t="s">
        <v>51</v>
      </c>
      <c r="I838" s="1" t="s">
        <v>31</v>
      </c>
      <c r="J838" s="1" t="s">
        <v>32</v>
      </c>
      <c r="K838" s="1" t="s">
        <v>128</v>
      </c>
      <c r="L838" s="1" t="s">
        <v>1537</v>
      </c>
      <c r="M838">
        <v>2</v>
      </c>
      <c r="N838">
        <v>0</v>
      </c>
      <c r="O838">
        <v>0.47099999999999997</v>
      </c>
      <c r="P838">
        <v>9.42</v>
      </c>
      <c r="Q838">
        <v>8.9489999999999998</v>
      </c>
    </row>
    <row r="839" spans="1:17" x14ac:dyDescent="0.25">
      <c r="A839" s="2">
        <v>42324</v>
      </c>
      <c r="B839" s="2">
        <v>42326</v>
      </c>
      <c r="C839" s="1" t="s">
        <v>17</v>
      </c>
      <c r="D839" s="1" t="s">
        <v>1538</v>
      </c>
      <c r="E839" s="1" t="s">
        <v>55</v>
      </c>
      <c r="F839" s="1" t="s">
        <v>20</v>
      </c>
      <c r="G839" s="1" t="s">
        <v>803</v>
      </c>
      <c r="H839" s="1" t="s">
        <v>63</v>
      </c>
      <c r="I839" s="1" t="s">
        <v>58</v>
      </c>
      <c r="J839" s="1" t="s">
        <v>32</v>
      </c>
      <c r="K839" s="1" t="s">
        <v>47</v>
      </c>
      <c r="L839" s="1" t="s">
        <v>490</v>
      </c>
      <c r="M839">
        <v>9</v>
      </c>
      <c r="N839">
        <v>0</v>
      </c>
      <c r="O839">
        <v>84.5154</v>
      </c>
      <c r="P839">
        <v>179.82</v>
      </c>
      <c r="Q839">
        <v>95.304599999999994</v>
      </c>
    </row>
    <row r="840" spans="1:17" x14ac:dyDescent="0.25">
      <c r="A840" s="2">
        <v>42735</v>
      </c>
      <c r="B840" s="2">
        <v>42740</v>
      </c>
      <c r="C840" s="1" t="s">
        <v>35</v>
      </c>
      <c r="D840" s="1" t="s">
        <v>1539</v>
      </c>
      <c r="E840" s="1" t="s">
        <v>19</v>
      </c>
      <c r="F840" s="1" t="s">
        <v>20</v>
      </c>
      <c r="G840" s="1" t="s">
        <v>613</v>
      </c>
      <c r="H840" s="1" t="s">
        <v>30</v>
      </c>
      <c r="I840" s="1" t="s">
        <v>31</v>
      </c>
      <c r="J840" s="1" t="s">
        <v>99</v>
      </c>
      <c r="K840" s="1" t="s">
        <v>100</v>
      </c>
      <c r="L840" s="1" t="s">
        <v>1540</v>
      </c>
      <c r="M840">
        <v>3</v>
      </c>
      <c r="N840">
        <v>0.2</v>
      </c>
      <c r="O840">
        <v>22.6782</v>
      </c>
      <c r="P840">
        <v>302.37599999999998</v>
      </c>
      <c r="Q840">
        <v>279.69779999999997</v>
      </c>
    </row>
    <row r="841" spans="1:17" x14ac:dyDescent="0.25">
      <c r="A841" s="2">
        <v>41907</v>
      </c>
      <c r="B841" s="2">
        <v>41912</v>
      </c>
      <c r="C841" s="1" t="s">
        <v>35</v>
      </c>
      <c r="D841" s="1" t="s">
        <v>546</v>
      </c>
      <c r="E841" s="1" t="s">
        <v>55</v>
      </c>
      <c r="F841" s="1" t="s">
        <v>20</v>
      </c>
      <c r="G841" s="1" t="s">
        <v>91</v>
      </c>
      <c r="H841" s="1" t="s">
        <v>57</v>
      </c>
      <c r="I841" s="1" t="s">
        <v>58</v>
      </c>
      <c r="J841" s="1" t="s">
        <v>32</v>
      </c>
      <c r="K841" s="1" t="s">
        <v>47</v>
      </c>
      <c r="L841" s="1" t="s">
        <v>1541</v>
      </c>
      <c r="M841">
        <v>8</v>
      </c>
      <c r="N841">
        <v>0.2</v>
      </c>
      <c r="O841">
        <v>10.56</v>
      </c>
      <c r="P841">
        <v>33.792000000000002</v>
      </c>
      <c r="Q841">
        <v>23.231999999999999</v>
      </c>
    </row>
    <row r="842" spans="1:17" x14ac:dyDescent="0.25">
      <c r="A842" s="2">
        <v>41944</v>
      </c>
      <c r="B842" s="2">
        <v>41948</v>
      </c>
      <c r="C842" s="1" t="s">
        <v>35</v>
      </c>
      <c r="D842" s="1" t="s">
        <v>1238</v>
      </c>
      <c r="E842" s="1" t="s">
        <v>19</v>
      </c>
      <c r="F842" s="1" t="s">
        <v>20</v>
      </c>
      <c r="G842" s="1" t="s">
        <v>182</v>
      </c>
      <c r="H842" s="1" t="s">
        <v>183</v>
      </c>
      <c r="I842" s="1" t="s">
        <v>31</v>
      </c>
      <c r="J842" s="1" t="s">
        <v>32</v>
      </c>
      <c r="K842" s="1" t="s">
        <v>64</v>
      </c>
      <c r="L842" s="1" t="s">
        <v>1542</v>
      </c>
      <c r="M842">
        <v>5</v>
      </c>
      <c r="N842">
        <v>0.2</v>
      </c>
      <c r="O842">
        <v>-94.332999999999998</v>
      </c>
      <c r="P842">
        <v>443.92</v>
      </c>
      <c r="Q842">
        <v>538.25300000000004</v>
      </c>
    </row>
    <row r="843" spans="1:17" x14ac:dyDescent="0.25">
      <c r="A843" s="2">
        <v>42530</v>
      </c>
      <c r="B843" s="2">
        <v>42533</v>
      </c>
      <c r="C843" s="1" t="s">
        <v>107</v>
      </c>
      <c r="D843" s="1" t="s">
        <v>1543</v>
      </c>
      <c r="E843" s="1" t="s">
        <v>19</v>
      </c>
      <c r="F843" s="1" t="s">
        <v>20</v>
      </c>
      <c r="G843" s="1" t="s">
        <v>1544</v>
      </c>
      <c r="H843" s="1" t="s">
        <v>38</v>
      </c>
      <c r="I843" s="1" t="s">
        <v>23</v>
      </c>
      <c r="J843" s="1" t="s">
        <v>99</v>
      </c>
      <c r="K843" s="1" t="s">
        <v>354</v>
      </c>
      <c r="L843" s="1" t="s">
        <v>1110</v>
      </c>
      <c r="M843">
        <v>2</v>
      </c>
      <c r="N843">
        <v>0.5</v>
      </c>
      <c r="O843">
        <v>-27.827999999999999</v>
      </c>
      <c r="P843">
        <v>695.7</v>
      </c>
      <c r="Q843">
        <v>723.52800000000002</v>
      </c>
    </row>
    <row r="844" spans="1:17" x14ac:dyDescent="0.25">
      <c r="A844" s="2">
        <v>42978</v>
      </c>
      <c r="B844" s="2">
        <v>42982</v>
      </c>
      <c r="C844" s="1" t="s">
        <v>17</v>
      </c>
      <c r="D844" s="1" t="s">
        <v>590</v>
      </c>
      <c r="E844" s="1" t="s">
        <v>19</v>
      </c>
      <c r="F844" s="1" t="s">
        <v>20</v>
      </c>
      <c r="G844" s="1" t="s">
        <v>898</v>
      </c>
      <c r="H844" s="1" t="s">
        <v>46</v>
      </c>
      <c r="I844" s="1" t="s">
        <v>23</v>
      </c>
      <c r="J844" s="1" t="s">
        <v>32</v>
      </c>
      <c r="K844" s="1" t="s">
        <v>47</v>
      </c>
      <c r="L844" s="1" t="s">
        <v>1545</v>
      </c>
      <c r="M844">
        <v>7</v>
      </c>
      <c r="N844">
        <v>0.2</v>
      </c>
      <c r="O844">
        <v>83.209699999999998</v>
      </c>
      <c r="P844">
        <v>229.54400000000001</v>
      </c>
      <c r="Q844">
        <v>146.33430000000001</v>
      </c>
    </row>
    <row r="845" spans="1:17" x14ac:dyDescent="0.25">
      <c r="A845" s="2">
        <v>42873</v>
      </c>
      <c r="B845" s="2">
        <v>42877</v>
      </c>
      <c r="C845" s="1" t="s">
        <v>35</v>
      </c>
      <c r="D845" s="1" t="s">
        <v>41</v>
      </c>
      <c r="E845" s="1" t="s">
        <v>19</v>
      </c>
      <c r="F845" s="1" t="s">
        <v>20</v>
      </c>
      <c r="G845" s="1" t="s">
        <v>79</v>
      </c>
      <c r="H845" s="1" t="s">
        <v>80</v>
      </c>
      <c r="I845" s="1" t="s">
        <v>81</v>
      </c>
      <c r="J845" s="1" t="s">
        <v>99</v>
      </c>
      <c r="K845" s="1" t="s">
        <v>111</v>
      </c>
      <c r="L845" s="1" t="s">
        <v>1546</v>
      </c>
      <c r="M845">
        <v>3</v>
      </c>
      <c r="N845">
        <v>0.2</v>
      </c>
      <c r="O845">
        <v>-0.9012</v>
      </c>
      <c r="P845">
        <v>36.048000000000002</v>
      </c>
      <c r="Q845">
        <v>36.949200000000005</v>
      </c>
    </row>
    <row r="846" spans="1:17" x14ac:dyDescent="0.25">
      <c r="A846" s="2">
        <v>42731</v>
      </c>
      <c r="B846" s="2">
        <v>42735</v>
      </c>
      <c r="C846" s="1" t="s">
        <v>35</v>
      </c>
      <c r="D846" s="1" t="s">
        <v>1056</v>
      </c>
      <c r="E846" s="1" t="s">
        <v>28</v>
      </c>
      <c r="F846" s="1" t="s">
        <v>20</v>
      </c>
      <c r="G846" s="1" t="s">
        <v>1494</v>
      </c>
      <c r="H846" s="1" t="s">
        <v>98</v>
      </c>
      <c r="I846" s="1" t="s">
        <v>58</v>
      </c>
      <c r="J846" s="1" t="s">
        <v>24</v>
      </c>
      <c r="K846" s="1" t="s">
        <v>82</v>
      </c>
      <c r="L846" s="1" t="s">
        <v>662</v>
      </c>
      <c r="M846">
        <v>8</v>
      </c>
      <c r="N846">
        <v>0.3</v>
      </c>
      <c r="O846">
        <v>-12.0784</v>
      </c>
      <c r="P846">
        <v>845.48800000000006</v>
      </c>
      <c r="Q846">
        <v>857.56640000000004</v>
      </c>
    </row>
    <row r="847" spans="1:17" x14ac:dyDescent="0.25">
      <c r="A847" s="2">
        <v>42702</v>
      </c>
      <c r="B847" s="2">
        <v>42707</v>
      </c>
      <c r="C847" s="1" t="s">
        <v>35</v>
      </c>
      <c r="D847" s="1" t="s">
        <v>1547</v>
      </c>
      <c r="E847" s="1" t="s">
        <v>28</v>
      </c>
      <c r="F847" s="1" t="s">
        <v>20</v>
      </c>
      <c r="G847" s="1" t="s">
        <v>724</v>
      </c>
      <c r="H847" s="1" t="s">
        <v>38</v>
      </c>
      <c r="I847" s="1" t="s">
        <v>23</v>
      </c>
      <c r="J847" s="1" t="s">
        <v>32</v>
      </c>
      <c r="K847" s="1" t="s">
        <v>52</v>
      </c>
      <c r="L847" s="1" t="s">
        <v>1019</v>
      </c>
      <c r="M847">
        <v>6</v>
      </c>
      <c r="N847">
        <v>0.7</v>
      </c>
      <c r="O847">
        <v>-5.6993999999999998</v>
      </c>
      <c r="P847">
        <v>7.4340000000000002</v>
      </c>
      <c r="Q847">
        <v>13.1334</v>
      </c>
    </row>
    <row r="848" spans="1:17" x14ac:dyDescent="0.25">
      <c r="A848" s="2">
        <v>42523</v>
      </c>
      <c r="B848" s="2">
        <v>42526</v>
      </c>
      <c r="C848" s="1" t="s">
        <v>107</v>
      </c>
      <c r="D848" s="1" t="s">
        <v>884</v>
      </c>
      <c r="E848" s="1" t="s">
        <v>28</v>
      </c>
      <c r="F848" s="1" t="s">
        <v>20</v>
      </c>
      <c r="G848" s="1" t="s">
        <v>79</v>
      </c>
      <c r="H848" s="1" t="s">
        <v>80</v>
      </c>
      <c r="I848" s="1" t="s">
        <v>81</v>
      </c>
      <c r="J848" s="1" t="s">
        <v>32</v>
      </c>
      <c r="K848" s="1" t="s">
        <v>64</v>
      </c>
      <c r="L848" s="1" t="s">
        <v>1548</v>
      </c>
      <c r="M848">
        <v>1</v>
      </c>
      <c r="N848">
        <v>0.2</v>
      </c>
      <c r="O848">
        <v>-12.956799999999999</v>
      </c>
      <c r="P848">
        <v>64.784000000000006</v>
      </c>
      <c r="Q848">
        <v>77.740800000000007</v>
      </c>
    </row>
    <row r="849" spans="1:17" x14ac:dyDescent="0.25">
      <c r="A849" s="2">
        <v>43086</v>
      </c>
      <c r="B849" s="2">
        <v>43091</v>
      </c>
      <c r="C849" s="1" t="s">
        <v>35</v>
      </c>
      <c r="D849" s="1" t="s">
        <v>1549</v>
      </c>
      <c r="E849" s="1" t="s">
        <v>55</v>
      </c>
      <c r="F849" s="1" t="s">
        <v>20</v>
      </c>
      <c r="G849" s="1" t="s">
        <v>213</v>
      </c>
      <c r="H849" s="1" t="s">
        <v>123</v>
      </c>
      <c r="I849" s="1" t="s">
        <v>58</v>
      </c>
      <c r="J849" s="1" t="s">
        <v>32</v>
      </c>
      <c r="K849" s="1" t="s">
        <v>47</v>
      </c>
      <c r="L849" s="1" t="s">
        <v>879</v>
      </c>
      <c r="M849">
        <v>4</v>
      </c>
      <c r="N849">
        <v>0</v>
      </c>
      <c r="O849">
        <v>13.235200000000001</v>
      </c>
      <c r="P849">
        <v>28.16</v>
      </c>
      <c r="Q849">
        <v>14.924799999999999</v>
      </c>
    </row>
    <row r="850" spans="1:17" x14ac:dyDescent="0.25">
      <c r="A850" s="2">
        <v>42967</v>
      </c>
      <c r="B850" s="2">
        <v>42967</v>
      </c>
      <c r="C850" s="1" t="s">
        <v>434</v>
      </c>
      <c r="D850" s="1" t="s">
        <v>1454</v>
      </c>
      <c r="E850" s="1" t="s">
        <v>28</v>
      </c>
      <c r="F850" s="1" t="s">
        <v>20</v>
      </c>
      <c r="G850" s="1" t="s">
        <v>243</v>
      </c>
      <c r="H850" s="1" t="s">
        <v>423</v>
      </c>
      <c r="I850" s="1" t="s">
        <v>81</v>
      </c>
      <c r="J850" s="1" t="s">
        <v>32</v>
      </c>
      <c r="K850" s="1" t="s">
        <v>64</v>
      </c>
      <c r="L850" s="1" t="s">
        <v>1184</v>
      </c>
      <c r="M850">
        <v>3</v>
      </c>
      <c r="N850">
        <v>0</v>
      </c>
      <c r="O850">
        <v>10.4754</v>
      </c>
      <c r="P850">
        <v>40.29</v>
      </c>
      <c r="Q850">
        <v>29.814599999999999</v>
      </c>
    </row>
    <row r="851" spans="1:17" x14ac:dyDescent="0.25">
      <c r="A851" s="2">
        <v>42941</v>
      </c>
      <c r="B851" s="2">
        <v>42947</v>
      </c>
      <c r="C851" s="1" t="s">
        <v>35</v>
      </c>
      <c r="D851" s="1" t="s">
        <v>525</v>
      </c>
      <c r="E851" s="1" t="s">
        <v>19</v>
      </c>
      <c r="F851" s="1" t="s">
        <v>20</v>
      </c>
      <c r="G851" s="1" t="s">
        <v>1550</v>
      </c>
      <c r="H851" s="1" t="s">
        <v>1551</v>
      </c>
      <c r="I851" s="1" t="s">
        <v>58</v>
      </c>
      <c r="J851" s="1" t="s">
        <v>32</v>
      </c>
      <c r="K851" s="1" t="s">
        <v>33</v>
      </c>
      <c r="L851" s="1" t="s">
        <v>1552</v>
      </c>
      <c r="M851">
        <v>7</v>
      </c>
      <c r="N851">
        <v>0</v>
      </c>
      <c r="O851">
        <v>9.5081000000000007</v>
      </c>
      <c r="P851">
        <v>20.23</v>
      </c>
      <c r="Q851">
        <v>10.7219</v>
      </c>
    </row>
    <row r="852" spans="1:17" x14ac:dyDescent="0.25">
      <c r="A852" s="2">
        <v>42959</v>
      </c>
      <c r="B852" s="2">
        <v>42964</v>
      </c>
      <c r="C852" s="1" t="s">
        <v>35</v>
      </c>
      <c r="D852" s="1" t="s">
        <v>1324</v>
      </c>
      <c r="E852" s="1" t="s">
        <v>19</v>
      </c>
      <c r="F852" s="1" t="s">
        <v>20</v>
      </c>
      <c r="G852" s="1" t="s">
        <v>1553</v>
      </c>
      <c r="H852" s="1" t="s">
        <v>38</v>
      </c>
      <c r="I852" s="1" t="s">
        <v>23</v>
      </c>
      <c r="J852" s="1" t="s">
        <v>32</v>
      </c>
      <c r="K852" s="1" t="s">
        <v>47</v>
      </c>
      <c r="L852" s="1" t="s">
        <v>1554</v>
      </c>
      <c r="M852">
        <v>4</v>
      </c>
      <c r="N852">
        <v>0.2</v>
      </c>
      <c r="O852">
        <v>7.2576000000000001</v>
      </c>
      <c r="P852">
        <v>20.736000000000001</v>
      </c>
      <c r="Q852">
        <v>13.478400000000001</v>
      </c>
    </row>
    <row r="853" spans="1:17" x14ac:dyDescent="0.25">
      <c r="A853" s="2">
        <v>42960</v>
      </c>
      <c r="B853" s="2">
        <v>42960</v>
      </c>
      <c r="C853" s="1" t="s">
        <v>434</v>
      </c>
      <c r="D853" s="1" t="s">
        <v>718</v>
      </c>
      <c r="E853" s="1" t="s">
        <v>19</v>
      </c>
      <c r="F853" s="1" t="s">
        <v>20</v>
      </c>
      <c r="G853" s="1" t="s">
        <v>71</v>
      </c>
      <c r="H853" s="1" t="s">
        <v>30</v>
      </c>
      <c r="I853" s="1" t="s">
        <v>31</v>
      </c>
      <c r="J853" s="1" t="s">
        <v>32</v>
      </c>
      <c r="K853" s="1" t="s">
        <v>64</v>
      </c>
      <c r="L853" s="1" t="s">
        <v>595</v>
      </c>
      <c r="M853">
        <v>3</v>
      </c>
      <c r="N853">
        <v>0</v>
      </c>
      <c r="O853">
        <v>8.4887999999999995</v>
      </c>
      <c r="P853">
        <v>31.44</v>
      </c>
      <c r="Q853">
        <v>22.9512</v>
      </c>
    </row>
    <row r="854" spans="1:17" x14ac:dyDescent="0.25">
      <c r="A854" s="2">
        <v>42390</v>
      </c>
      <c r="B854" s="2">
        <v>42392</v>
      </c>
      <c r="C854" s="1" t="s">
        <v>17</v>
      </c>
      <c r="D854" s="1" t="s">
        <v>421</v>
      </c>
      <c r="E854" s="1" t="s">
        <v>19</v>
      </c>
      <c r="F854" s="1" t="s">
        <v>20</v>
      </c>
      <c r="G854" s="1" t="s">
        <v>345</v>
      </c>
      <c r="H854" s="1" t="s">
        <v>30</v>
      </c>
      <c r="I854" s="1" t="s">
        <v>31</v>
      </c>
      <c r="J854" s="1" t="s">
        <v>24</v>
      </c>
      <c r="K854" s="1" t="s">
        <v>82</v>
      </c>
      <c r="L854" s="1" t="s">
        <v>1555</v>
      </c>
      <c r="M854">
        <v>2</v>
      </c>
      <c r="N854">
        <v>0.2</v>
      </c>
      <c r="O854">
        <v>-5.7587999999999999</v>
      </c>
      <c r="P854">
        <v>153.56800000000001</v>
      </c>
      <c r="Q854">
        <v>159.32680000000002</v>
      </c>
    </row>
    <row r="855" spans="1:17" x14ac:dyDescent="0.25">
      <c r="A855" s="2">
        <v>42384</v>
      </c>
      <c r="B855" s="2">
        <v>42388</v>
      </c>
      <c r="C855" s="1" t="s">
        <v>35</v>
      </c>
      <c r="D855" s="1" t="s">
        <v>1556</v>
      </c>
      <c r="E855" s="1" t="s">
        <v>55</v>
      </c>
      <c r="F855" s="1" t="s">
        <v>20</v>
      </c>
      <c r="G855" s="1" t="s">
        <v>297</v>
      </c>
      <c r="H855" s="1" t="s">
        <v>298</v>
      </c>
      <c r="I855" s="1" t="s">
        <v>81</v>
      </c>
      <c r="J855" s="1" t="s">
        <v>32</v>
      </c>
      <c r="K855" s="1" t="s">
        <v>94</v>
      </c>
      <c r="L855" s="1" t="s">
        <v>1557</v>
      </c>
      <c r="M855">
        <v>2</v>
      </c>
      <c r="N855">
        <v>0</v>
      </c>
      <c r="O855">
        <v>24.599799999999998</v>
      </c>
      <c r="P855">
        <v>52.34</v>
      </c>
      <c r="Q855">
        <v>27.740200000000005</v>
      </c>
    </row>
    <row r="856" spans="1:17" x14ac:dyDescent="0.25">
      <c r="A856" s="2">
        <v>41691</v>
      </c>
      <c r="B856" s="2">
        <v>41695</v>
      </c>
      <c r="C856" s="1" t="s">
        <v>35</v>
      </c>
      <c r="D856" s="1" t="s">
        <v>1523</v>
      </c>
      <c r="E856" s="1" t="s">
        <v>19</v>
      </c>
      <c r="F856" s="1" t="s">
        <v>20</v>
      </c>
      <c r="G856" s="1" t="s">
        <v>1494</v>
      </c>
      <c r="H856" s="1" t="s">
        <v>98</v>
      </c>
      <c r="I856" s="1" t="s">
        <v>58</v>
      </c>
      <c r="J856" s="1" t="s">
        <v>32</v>
      </c>
      <c r="K856" s="1" t="s">
        <v>52</v>
      </c>
      <c r="L856" s="1" t="s">
        <v>1361</v>
      </c>
      <c r="M856">
        <v>5</v>
      </c>
      <c r="N856">
        <v>0.8</v>
      </c>
      <c r="O856">
        <v>-13.717499999999999</v>
      </c>
      <c r="P856">
        <v>8.85</v>
      </c>
      <c r="Q856">
        <v>22.567499999999999</v>
      </c>
    </row>
    <row r="857" spans="1:17" x14ac:dyDescent="0.25">
      <c r="A857" s="2">
        <v>42399</v>
      </c>
      <c r="B857" s="2">
        <v>42403</v>
      </c>
      <c r="C857" s="1" t="s">
        <v>35</v>
      </c>
      <c r="D857" s="1" t="s">
        <v>619</v>
      </c>
      <c r="E857" s="1" t="s">
        <v>19</v>
      </c>
      <c r="F857" s="1" t="s">
        <v>20</v>
      </c>
      <c r="G857" s="1" t="s">
        <v>71</v>
      </c>
      <c r="H857" s="1" t="s">
        <v>30</v>
      </c>
      <c r="I857" s="1" t="s">
        <v>31</v>
      </c>
      <c r="J857" s="1" t="s">
        <v>32</v>
      </c>
      <c r="K857" s="1" t="s">
        <v>52</v>
      </c>
      <c r="L857" s="1" t="s">
        <v>778</v>
      </c>
      <c r="M857">
        <v>2</v>
      </c>
      <c r="N857">
        <v>0.2</v>
      </c>
      <c r="O857">
        <v>5.8914</v>
      </c>
      <c r="P857">
        <v>17.456</v>
      </c>
      <c r="Q857">
        <v>11.564599999999999</v>
      </c>
    </row>
    <row r="858" spans="1:17" x14ac:dyDescent="0.25">
      <c r="A858" s="2">
        <v>42661</v>
      </c>
      <c r="B858" s="2">
        <v>42665</v>
      </c>
      <c r="C858" s="1" t="s">
        <v>35</v>
      </c>
      <c r="D858" s="1" t="s">
        <v>596</v>
      </c>
      <c r="E858" s="1" t="s">
        <v>19</v>
      </c>
      <c r="F858" s="1" t="s">
        <v>20</v>
      </c>
      <c r="G858" s="1" t="s">
        <v>1183</v>
      </c>
      <c r="H858" s="1" t="s">
        <v>140</v>
      </c>
      <c r="I858" s="1" t="s">
        <v>31</v>
      </c>
      <c r="J858" s="1" t="s">
        <v>24</v>
      </c>
      <c r="K858" s="1" t="s">
        <v>82</v>
      </c>
      <c r="L858" s="1" t="s">
        <v>522</v>
      </c>
      <c r="M858">
        <v>5</v>
      </c>
      <c r="N858">
        <v>0.2</v>
      </c>
      <c r="O858">
        <v>-34.640999999999998</v>
      </c>
      <c r="P858">
        <v>307.92</v>
      </c>
      <c r="Q858">
        <v>342.56100000000004</v>
      </c>
    </row>
    <row r="859" spans="1:17" x14ac:dyDescent="0.25">
      <c r="A859" s="2">
        <v>43087</v>
      </c>
      <c r="B859" s="2">
        <v>43088</v>
      </c>
      <c r="C859" s="1" t="s">
        <v>107</v>
      </c>
      <c r="D859" s="1" t="s">
        <v>596</v>
      </c>
      <c r="E859" s="1" t="s">
        <v>19</v>
      </c>
      <c r="F859" s="1" t="s">
        <v>20</v>
      </c>
      <c r="G859" s="1" t="s">
        <v>29</v>
      </c>
      <c r="H859" s="1" t="s">
        <v>30</v>
      </c>
      <c r="I859" s="1" t="s">
        <v>31</v>
      </c>
      <c r="J859" s="1" t="s">
        <v>32</v>
      </c>
      <c r="K859" s="1" t="s">
        <v>72</v>
      </c>
      <c r="L859" s="1" t="s">
        <v>570</v>
      </c>
      <c r="M859">
        <v>3</v>
      </c>
      <c r="N859">
        <v>0</v>
      </c>
      <c r="O859">
        <v>1.7901</v>
      </c>
      <c r="P859">
        <v>6.63</v>
      </c>
      <c r="Q859">
        <v>4.8399000000000001</v>
      </c>
    </row>
    <row r="860" spans="1:17" x14ac:dyDescent="0.25">
      <c r="A860" s="2">
        <v>41758</v>
      </c>
      <c r="B860" s="2">
        <v>41760</v>
      </c>
      <c r="C860" s="1" t="s">
        <v>17</v>
      </c>
      <c r="D860" s="1" t="s">
        <v>1558</v>
      </c>
      <c r="E860" s="1" t="s">
        <v>19</v>
      </c>
      <c r="F860" s="1" t="s">
        <v>20</v>
      </c>
      <c r="G860" s="1" t="s">
        <v>1559</v>
      </c>
      <c r="H860" s="1" t="s">
        <v>280</v>
      </c>
      <c r="I860" s="1" t="s">
        <v>23</v>
      </c>
      <c r="J860" s="1" t="s">
        <v>24</v>
      </c>
      <c r="K860" s="1" t="s">
        <v>82</v>
      </c>
      <c r="L860" s="1" t="s">
        <v>948</v>
      </c>
      <c r="M860">
        <v>2</v>
      </c>
      <c r="N860">
        <v>0</v>
      </c>
      <c r="O860">
        <v>12.99</v>
      </c>
      <c r="P860">
        <v>51.96</v>
      </c>
      <c r="Q860">
        <v>38.97</v>
      </c>
    </row>
    <row r="861" spans="1:17" x14ac:dyDescent="0.25">
      <c r="A861" s="2">
        <v>43031</v>
      </c>
      <c r="B861" s="2">
        <v>43037</v>
      </c>
      <c r="C861" s="1" t="s">
        <v>35</v>
      </c>
      <c r="D861" s="1" t="s">
        <v>163</v>
      </c>
      <c r="E861" s="1" t="s">
        <v>28</v>
      </c>
      <c r="F861" s="1" t="s">
        <v>20</v>
      </c>
      <c r="G861" s="1" t="s">
        <v>172</v>
      </c>
      <c r="H861" s="1" t="s">
        <v>127</v>
      </c>
      <c r="I861" s="1" t="s">
        <v>81</v>
      </c>
      <c r="J861" s="1" t="s">
        <v>32</v>
      </c>
      <c r="K861" s="1" t="s">
        <v>47</v>
      </c>
      <c r="L861" s="1" t="s">
        <v>1560</v>
      </c>
      <c r="M861">
        <v>2</v>
      </c>
      <c r="N861">
        <v>0</v>
      </c>
      <c r="O861">
        <v>5.6643999999999997</v>
      </c>
      <c r="P861">
        <v>11.56</v>
      </c>
      <c r="Q861">
        <v>5.8956000000000008</v>
      </c>
    </row>
    <row r="862" spans="1:17" x14ac:dyDescent="0.25">
      <c r="A862" s="2">
        <v>41728</v>
      </c>
      <c r="B862" s="2">
        <v>41732</v>
      </c>
      <c r="C862" s="1" t="s">
        <v>35</v>
      </c>
      <c r="D862" s="1" t="s">
        <v>133</v>
      </c>
      <c r="E862" s="1" t="s">
        <v>19</v>
      </c>
      <c r="F862" s="1" t="s">
        <v>20</v>
      </c>
      <c r="G862" s="1" t="s">
        <v>400</v>
      </c>
      <c r="H862" s="1" t="s">
        <v>127</v>
      </c>
      <c r="I862" s="1" t="s">
        <v>81</v>
      </c>
      <c r="J862" s="1" t="s">
        <v>32</v>
      </c>
      <c r="K862" s="1" t="s">
        <v>72</v>
      </c>
      <c r="L862" s="1" t="s">
        <v>1561</v>
      </c>
      <c r="M862">
        <v>5</v>
      </c>
      <c r="N862">
        <v>0</v>
      </c>
      <c r="O862">
        <v>20.853000000000002</v>
      </c>
      <c r="P862">
        <v>49.65</v>
      </c>
      <c r="Q862">
        <v>28.796999999999997</v>
      </c>
    </row>
    <row r="863" spans="1:17" x14ac:dyDescent="0.25">
      <c r="A863" s="2">
        <v>42373</v>
      </c>
      <c r="B863" s="2">
        <v>42378</v>
      </c>
      <c r="C863" s="1" t="s">
        <v>35</v>
      </c>
      <c r="D863" s="1" t="s">
        <v>1562</v>
      </c>
      <c r="E863" s="1" t="s">
        <v>28</v>
      </c>
      <c r="F863" s="1" t="s">
        <v>20</v>
      </c>
      <c r="G863" s="1" t="s">
        <v>201</v>
      </c>
      <c r="H863" s="1" t="s">
        <v>46</v>
      </c>
      <c r="I863" s="1" t="s">
        <v>23</v>
      </c>
      <c r="J863" s="1" t="s">
        <v>99</v>
      </c>
      <c r="K863" s="1" t="s">
        <v>573</v>
      </c>
      <c r="L863" s="1" t="s">
        <v>1563</v>
      </c>
      <c r="M863">
        <v>4</v>
      </c>
      <c r="N863">
        <v>0.2</v>
      </c>
      <c r="O863">
        <v>119.996</v>
      </c>
      <c r="P863">
        <v>959.96799999999996</v>
      </c>
      <c r="Q863">
        <v>839.97199999999998</v>
      </c>
    </row>
    <row r="864" spans="1:17" x14ac:dyDescent="0.25">
      <c r="A864" s="2">
        <v>42120</v>
      </c>
      <c r="B864" s="2">
        <v>42124</v>
      </c>
      <c r="C864" s="1" t="s">
        <v>35</v>
      </c>
      <c r="D864" s="1" t="s">
        <v>1466</v>
      </c>
      <c r="E864" s="1" t="s">
        <v>19</v>
      </c>
      <c r="F864" s="1" t="s">
        <v>20</v>
      </c>
      <c r="G864" s="1" t="s">
        <v>91</v>
      </c>
      <c r="H864" s="1" t="s">
        <v>57</v>
      </c>
      <c r="I864" s="1" t="s">
        <v>58</v>
      </c>
      <c r="J864" s="1" t="s">
        <v>24</v>
      </c>
      <c r="K864" s="1" t="s">
        <v>82</v>
      </c>
      <c r="L864" s="1" t="s">
        <v>915</v>
      </c>
      <c r="M864">
        <v>2</v>
      </c>
      <c r="N864">
        <v>0.3</v>
      </c>
      <c r="O864">
        <v>-5.8346</v>
      </c>
      <c r="P864">
        <v>408.42200000000003</v>
      </c>
      <c r="Q864">
        <v>414.25660000000005</v>
      </c>
    </row>
    <row r="865" spans="1:17" x14ac:dyDescent="0.25">
      <c r="A865" s="2">
        <v>42548</v>
      </c>
      <c r="B865" s="2">
        <v>42552</v>
      </c>
      <c r="C865" s="1" t="s">
        <v>35</v>
      </c>
      <c r="D865" s="1" t="s">
        <v>1287</v>
      </c>
      <c r="E865" s="1" t="s">
        <v>28</v>
      </c>
      <c r="F865" s="1" t="s">
        <v>20</v>
      </c>
      <c r="G865" s="1" t="s">
        <v>1564</v>
      </c>
      <c r="H865" s="1" t="s">
        <v>98</v>
      </c>
      <c r="I865" s="1" t="s">
        <v>58</v>
      </c>
      <c r="J865" s="1" t="s">
        <v>32</v>
      </c>
      <c r="K865" s="1" t="s">
        <v>47</v>
      </c>
      <c r="L865" s="1" t="s">
        <v>1565</v>
      </c>
      <c r="M865">
        <v>7</v>
      </c>
      <c r="N865">
        <v>0.2</v>
      </c>
      <c r="O865">
        <v>12.175800000000001</v>
      </c>
      <c r="P865">
        <v>37.463999999999999</v>
      </c>
      <c r="Q865">
        <v>25.288199999999996</v>
      </c>
    </row>
    <row r="866" spans="1:17" x14ac:dyDescent="0.25">
      <c r="A866" s="2">
        <v>41818</v>
      </c>
      <c r="B866" s="2">
        <v>41824</v>
      </c>
      <c r="C866" s="1" t="s">
        <v>35</v>
      </c>
      <c r="D866" s="1" t="s">
        <v>869</v>
      </c>
      <c r="E866" s="1" t="s">
        <v>28</v>
      </c>
      <c r="F866" s="1" t="s">
        <v>20</v>
      </c>
      <c r="G866" s="1" t="s">
        <v>330</v>
      </c>
      <c r="H866" s="1" t="s">
        <v>115</v>
      </c>
      <c r="I866" s="1" t="s">
        <v>58</v>
      </c>
      <c r="J866" s="1" t="s">
        <v>32</v>
      </c>
      <c r="K866" s="1" t="s">
        <v>128</v>
      </c>
      <c r="L866" s="1" t="s">
        <v>580</v>
      </c>
      <c r="M866">
        <v>1</v>
      </c>
      <c r="N866">
        <v>0</v>
      </c>
      <c r="O866">
        <v>3.04</v>
      </c>
      <c r="P866">
        <v>6.08</v>
      </c>
      <c r="Q866">
        <v>3.04</v>
      </c>
    </row>
    <row r="867" spans="1:17" x14ac:dyDescent="0.25">
      <c r="A867" s="2">
        <v>43057</v>
      </c>
      <c r="B867" s="2">
        <v>43063</v>
      </c>
      <c r="C867" s="1" t="s">
        <v>35</v>
      </c>
      <c r="D867" s="1" t="s">
        <v>1566</v>
      </c>
      <c r="E867" s="1" t="s">
        <v>55</v>
      </c>
      <c r="F867" s="1" t="s">
        <v>20</v>
      </c>
      <c r="G867" s="1" t="s">
        <v>317</v>
      </c>
      <c r="H867" s="1" t="s">
        <v>115</v>
      </c>
      <c r="I867" s="1" t="s">
        <v>58</v>
      </c>
      <c r="J867" s="1" t="s">
        <v>24</v>
      </c>
      <c r="K867" s="1" t="s">
        <v>42</v>
      </c>
      <c r="L867" s="1" t="s">
        <v>1469</v>
      </c>
      <c r="M867">
        <v>4</v>
      </c>
      <c r="N867">
        <v>0</v>
      </c>
      <c r="O867">
        <v>8.2992000000000008</v>
      </c>
      <c r="P867">
        <v>19.760000000000002</v>
      </c>
      <c r="Q867">
        <v>11.460800000000001</v>
      </c>
    </row>
    <row r="868" spans="1:17" x14ac:dyDescent="0.25">
      <c r="A868" s="2">
        <v>42819</v>
      </c>
      <c r="B868" s="2">
        <v>42825</v>
      </c>
      <c r="C868" s="1" t="s">
        <v>35</v>
      </c>
      <c r="D868" s="1" t="s">
        <v>673</v>
      </c>
      <c r="E868" s="1" t="s">
        <v>28</v>
      </c>
      <c r="F868" s="1" t="s">
        <v>20</v>
      </c>
      <c r="G868" s="1" t="s">
        <v>803</v>
      </c>
      <c r="H868" s="1" t="s">
        <v>63</v>
      </c>
      <c r="I868" s="1" t="s">
        <v>58</v>
      </c>
      <c r="J868" s="1" t="s">
        <v>24</v>
      </c>
      <c r="K868" s="1" t="s">
        <v>82</v>
      </c>
      <c r="L868" s="1" t="s">
        <v>1567</v>
      </c>
      <c r="M868">
        <v>1</v>
      </c>
      <c r="N868">
        <v>0</v>
      </c>
      <c r="O868">
        <v>14.558400000000001</v>
      </c>
      <c r="P868">
        <v>90.99</v>
      </c>
      <c r="Q868">
        <v>76.431599999999989</v>
      </c>
    </row>
    <row r="869" spans="1:17" x14ac:dyDescent="0.25">
      <c r="A869" s="2">
        <v>43083</v>
      </c>
      <c r="B869" s="2">
        <v>43087</v>
      </c>
      <c r="C869" s="1" t="s">
        <v>35</v>
      </c>
      <c r="D869" s="1" t="s">
        <v>1538</v>
      </c>
      <c r="E869" s="1" t="s">
        <v>55</v>
      </c>
      <c r="F869" s="1" t="s">
        <v>20</v>
      </c>
      <c r="G869" s="1" t="s">
        <v>345</v>
      </c>
      <c r="H869" s="1" t="s">
        <v>30</v>
      </c>
      <c r="I869" s="1" t="s">
        <v>31</v>
      </c>
      <c r="J869" s="1" t="s">
        <v>24</v>
      </c>
      <c r="K869" s="1" t="s">
        <v>42</v>
      </c>
      <c r="L869" s="1" t="s">
        <v>1568</v>
      </c>
      <c r="M869">
        <v>3</v>
      </c>
      <c r="N869">
        <v>0</v>
      </c>
      <c r="O869">
        <v>11.025</v>
      </c>
      <c r="P869">
        <v>26.25</v>
      </c>
      <c r="Q869">
        <v>15.225</v>
      </c>
    </row>
    <row r="870" spans="1:17" x14ac:dyDescent="0.25">
      <c r="A870" s="2">
        <v>42600</v>
      </c>
      <c r="B870" s="2">
        <v>42606</v>
      </c>
      <c r="C870" s="1" t="s">
        <v>35</v>
      </c>
      <c r="D870" s="1" t="s">
        <v>218</v>
      </c>
      <c r="E870" s="1" t="s">
        <v>28</v>
      </c>
      <c r="F870" s="1" t="s">
        <v>20</v>
      </c>
      <c r="G870" s="1" t="s">
        <v>126</v>
      </c>
      <c r="H870" s="1" t="s">
        <v>127</v>
      </c>
      <c r="I870" s="1" t="s">
        <v>81</v>
      </c>
      <c r="J870" s="1" t="s">
        <v>99</v>
      </c>
      <c r="K870" s="1" t="s">
        <v>100</v>
      </c>
      <c r="L870" s="1" t="s">
        <v>1569</v>
      </c>
      <c r="M870">
        <v>1</v>
      </c>
      <c r="N870">
        <v>0</v>
      </c>
      <c r="O870">
        <v>11.597099999999999</v>
      </c>
      <c r="P870">
        <v>39.99</v>
      </c>
      <c r="Q870">
        <v>28.392900000000004</v>
      </c>
    </row>
    <row r="871" spans="1:17" x14ac:dyDescent="0.25">
      <c r="A871" s="2">
        <v>42851</v>
      </c>
      <c r="B871" s="2">
        <v>42856</v>
      </c>
      <c r="C871" s="1" t="s">
        <v>35</v>
      </c>
      <c r="D871" s="1" t="s">
        <v>518</v>
      </c>
      <c r="E871" s="1" t="s">
        <v>55</v>
      </c>
      <c r="F871" s="1" t="s">
        <v>20</v>
      </c>
      <c r="G871" s="1" t="s">
        <v>50</v>
      </c>
      <c r="H871" s="1" t="s">
        <v>51</v>
      </c>
      <c r="I871" s="1" t="s">
        <v>31</v>
      </c>
      <c r="J871" s="1" t="s">
        <v>32</v>
      </c>
      <c r="K871" s="1" t="s">
        <v>47</v>
      </c>
      <c r="L871" s="1" t="s">
        <v>1137</v>
      </c>
      <c r="M871">
        <v>3</v>
      </c>
      <c r="N871">
        <v>0</v>
      </c>
      <c r="O871">
        <v>9.3564000000000007</v>
      </c>
      <c r="P871">
        <v>20.34</v>
      </c>
      <c r="Q871">
        <v>10.983599999999999</v>
      </c>
    </row>
    <row r="872" spans="1:17" x14ac:dyDescent="0.25">
      <c r="A872" s="2">
        <v>41652</v>
      </c>
      <c r="B872" s="2">
        <v>41655</v>
      </c>
      <c r="C872" s="1" t="s">
        <v>17</v>
      </c>
      <c r="D872" s="1" t="s">
        <v>1238</v>
      </c>
      <c r="E872" s="1" t="s">
        <v>19</v>
      </c>
      <c r="F872" s="1" t="s">
        <v>20</v>
      </c>
      <c r="G872" s="1" t="s">
        <v>1570</v>
      </c>
      <c r="H872" s="1" t="s">
        <v>169</v>
      </c>
      <c r="I872" s="1" t="s">
        <v>23</v>
      </c>
      <c r="J872" s="1" t="s">
        <v>24</v>
      </c>
      <c r="K872" s="1" t="s">
        <v>82</v>
      </c>
      <c r="L872" s="1" t="s">
        <v>1567</v>
      </c>
      <c r="M872">
        <v>6</v>
      </c>
      <c r="N872">
        <v>0</v>
      </c>
      <c r="O872">
        <v>87.350399999999993</v>
      </c>
      <c r="P872">
        <v>545.94000000000005</v>
      </c>
      <c r="Q872">
        <v>458.58960000000008</v>
      </c>
    </row>
    <row r="873" spans="1:17" x14ac:dyDescent="0.25">
      <c r="A873" s="2">
        <v>42167</v>
      </c>
      <c r="B873" s="2">
        <v>42172</v>
      </c>
      <c r="C873" s="1" t="s">
        <v>35</v>
      </c>
      <c r="D873" s="1" t="s">
        <v>1571</v>
      </c>
      <c r="E873" s="1" t="s">
        <v>19</v>
      </c>
      <c r="F873" s="1" t="s">
        <v>20</v>
      </c>
      <c r="G873" s="1" t="s">
        <v>79</v>
      </c>
      <c r="H873" s="1" t="s">
        <v>80</v>
      </c>
      <c r="I873" s="1" t="s">
        <v>81</v>
      </c>
      <c r="J873" s="1" t="s">
        <v>32</v>
      </c>
      <c r="K873" s="1" t="s">
        <v>47</v>
      </c>
      <c r="L873" s="1" t="s">
        <v>1572</v>
      </c>
      <c r="M873">
        <v>4</v>
      </c>
      <c r="N873">
        <v>0.2</v>
      </c>
      <c r="O873">
        <v>7.2576000000000001</v>
      </c>
      <c r="P873">
        <v>20.736000000000001</v>
      </c>
      <c r="Q873">
        <v>13.478400000000001</v>
      </c>
    </row>
    <row r="874" spans="1:17" x14ac:dyDescent="0.25">
      <c r="A874" s="2">
        <v>41979</v>
      </c>
      <c r="B874" s="2">
        <v>41984</v>
      </c>
      <c r="C874" s="1" t="s">
        <v>17</v>
      </c>
      <c r="D874" s="1" t="s">
        <v>212</v>
      </c>
      <c r="E874" s="1" t="s">
        <v>19</v>
      </c>
      <c r="F874" s="1" t="s">
        <v>20</v>
      </c>
      <c r="G874" s="1" t="s">
        <v>143</v>
      </c>
      <c r="H874" s="1" t="s">
        <v>183</v>
      </c>
      <c r="I874" s="1" t="s">
        <v>31</v>
      </c>
      <c r="J874" s="1" t="s">
        <v>32</v>
      </c>
      <c r="K874" s="1" t="s">
        <v>64</v>
      </c>
      <c r="L874" s="1" t="s">
        <v>856</v>
      </c>
      <c r="M874">
        <v>3</v>
      </c>
      <c r="N874">
        <v>0.2</v>
      </c>
      <c r="O874">
        <v>4.6745999999999999</v>
      </c>
      <c r="P874">
        <v>53.423999999999999</v>
      </c>
      <c r="Q874">
        <v>48.749400000000001</v>
      </c>
    </row>
    <row r="875" spans="1:17" x14ac:dyDescent="0.25">
      <c r="A875" s="2">
        <v>42515</v>
      </c>
      <c r="B875" s="2">
        <v>42520</v>
      </c>
      <c r="C875" s="1" t="s">
        <v>35</v>
      </c>
      <c r="D875" s="1" t="s">
        <v>1573</v>
      </c>
      <c r="E875" s="1" t="s">
        <v>55</v>
      </c>
      <c r="F875" s="1" t="s">
        <v>20</v>
      </c>
      <c r="G875" s="1" t="s">
        <v>213</v>
      </c>
      <c r="H875" s="1" t="s">
        <v>429</v>
      </c>
      <c r="I875" s="1" t="s">
        <v>23</v>
      </c>
      <c r="J875" s="1" t="s">
        <v>24</v>
      </c>
      <c r="K875" s="1" t="s">
        <v>42</v>
      </c>
      <c r="L875" s="1" t="s">
        <v>1574</v>
      </c>
      <c r="M875">
        <v>4</v>
      </c>
      <c r="N875">
        <v>0</v>
      </c>
      <c r="O875">
        <v>6.24</v>
      </c>
      <c r="P875">
        <v>24.96</v>
      </c>
      <c r="Q875">
        <v>18.72</v>
      </c>
    </row>
    <row r="876" spans="1:17" x14ac:dyDescent="0.25">
      <c r="A876" s="2">
        <v>42421</v>
      </c>
      <c r="B876" s="2">
        <v>42426</v>
      </c>
      <c r="C876" s="1" t="s">
        <v>17</v>
      </c>
      <c r="D876" s="1" t="s">
        <v>1575</v>
      </c>
      <c r="E876" s="1" t="s">
        <v>28</v>
      </c>
      <c r="F876" s="1" t="s">
        <v>20</v>
      </c>
      <c r="G876" s="1" t="s">
        <v>29</v>
      </c>
      <c r="H876" s="1" t="s">
        <v>30</v>
      </c>
      <c r="I876" s="1" t="s">
        <v>31</v>
      </c>
      <c r="J876" s="1" t="s">
        <v>99</v>
      </c>
      <c r="K876" s="1" t="s">
        <v>111</v>
      </c>
      <c r="L876" s="1" t="s">
        <v>1576</v>
      </c>
      <c r="M876">
        <v>1</v>
      </c>
      <c r="N876">
        <v>0</v>
      </c>
      <c r="O876">
        <v>0.77939999999999998</v>
      </c>
      <c r="P876">
        <v>12.99</v>
      </c>
      <c r="Q876">
        <v>12.210599999999999</v>
      </c>
    </row>
    <row r="877" spans="1:17" x14ac:dyDescent="0.25">
      <c r="A877" s="2">
        <v>42805</v>
      </c>
      <c r="B877" s="2">
        <v>42811</v>
      </c>
      <c r="C877" s="1" t="s">
        <v>35</v>
      </c>
      <c r="D877" s="1" t="s">
        <v>1577</v>
      </c>
      <c r="E877" s="1" t="s">
        <v>19</v>
      </c>
      <c r="F877" s="1" t="s">
        <v>20</v>
      </c>
      <c r="G877" s="1" t="s">
        <v>330</v>
      </c>
      <c r="H877" s="1" t="s">
        <v>115</v>
      </c>
      <c r="I877" s="1" t="s">
        <v>58</v>
      </c>
      <c r="J877" s="1" t="s">
        <v>32</v>
      </c>
      <c r="K877" s="1" t="s">
        <v>52</v>
      </c>
      <c r="L877" s="1" t="s">
        <v>1320</v>
      </c>
      <c r="M877">
        <v>4</v>
      </c>
      <c r="N877">
        <v>0</v>
      </c>
      <c r="O877">
        <v>421.08240000000001</v>
      </c>
      <c r="P877">
        <v>895.92</v>
      </c>
      <c r="Q877">
        <v>474.83759999999995</v>
      </c>
    </row>
    <row r="878" spans="1:17" x14ac:dyDescent="0.25">
      <c r="A878" s="2">
        <v>41834</v>
      </c>
      <c r="B878" s="2">
        <v>41841</v>
      </c>
      <c r="C878" s="1" t="s">
        <v>35</v>
      </c>
      <c r="D878" s="1" t="s">
        <v>494</v>
      </c>
      <c r="E878" s="1" t="s">
        <v>19</v>
      </c>
      <c r="F878" s="1" t="s">
        <v>20</v>
      </c>
      <c r="G878" s="1" t="s">
        <v>894</v>
      </c>
      <c r="H878" s="1" t="s">
        <v>140</v>
      </c>
      <c r="I878" s="1" t="s">
        <v>31</v>
      </c>
      <c r="J878" s="1" t="s">
        <v>32</v>
      </c>
      <c r="K878" s="1" t="s">
        <v>64</v>
      </c>
      <c r="L878" s="1" t="s">
        <v>1578</v>
      </c>
      <c r="M878">
        <v>5</v>
      </c>
      <c r="N878">
        <v>0.2</v>
      </c>
      <c r="O878">
        <v>6.2910000000000004</v>
      </c>
      <c r="P878">
        <v>55.92</v>
      </c>
      <c r="Q878">
        <v>49.629000000000005</v>
      </c>
    </row>
    <row r="879" spans="1:17" x14ac:dyDescent="0.25">
      <c r="A879" s="2">
        <v>41776</v>
      </c>
      <c r="B879" s="2">
        <v>41780</v>
      </c>
      <c r="C879" s="1" t="s">
        <v>35</v>
      </c>
      <c r="D879" s="1" t="s">
        <v>203</v>
      </c>
      <c r="E879" s="1" t="s">
        <v>55</v>
      </c>
      <c r="F879" s="1" t="s">
        <v>20</v>
      </c>
      <c r="G879" s="1" t="s">
        <v>1579</v>
      </c>
      <c r="H879" s="1" t="s">
        <v>63</v>
      </c>
      <c r="I879" s="1" t="s">
        <v>58</v>
      </c>
      <c r="J879" s="1" t="s">
        <v>32</v>
      </c>
      <c r="K879" s="1" t="s">
        <v>52</v>
      </c>
      <c r="L879" s="1" t="s">
        <v>1580</v>
      </c>
      <c r="M879">
        <v>3</v>
      </c>
      <c r="N879">
        <v>0</v>
      </c>
      <c r="O879">
        <v>45.84</v>
      </c>
      <c r="P879">
        <v>91.68</v>
      </c>
      <c r="Q879">
        <v>45.84</v>
      </c>
    </row>
    <row r="880" spans="1:17" x14ac:dyDescent="0.25">
      <c r="A880" s="2">
        <v>43021</v>
      </c>
      <c r="B880" s="2">
        <v>43023</v>
      </c>
      <c r="C880" s="1" t="s">
        <v>107</v>
      </c>
      <c r="D880" s="1" t="s">
        <v>691</v>
      </c>
      <c r="E880" s="1" t="s">
        <v>19</v>
      </c>
      <c r="F880" s="1" t="s">
        <v>20</v>
      </c>
      <c r="G880" s="1" t="s">
        <v>126</v>
      </c>
      <c r="H880" s="1" t="s">
        <v>127</v>
      </c>
      <c r="I880" s="1" t="s">
        <v>81</v>
      </c>
      <c r="J880" s="1" t="s">
        <v>32</v>
      </c>
      <c r="K880" s="1" t="s">
        <v>59</v>
      </c>
      <c r="L880" s="1" t="s">
        <v>1242</v>
      </c>
      <c r="M880">
        <v>5</v>
      </c>
      <c r="N880">
        <v>0</v>
      </c>
      <c r="O880">
        <v>253.37200000000001</v>
      </c>
      <c r="P880">
        <v>904.9</v>
      </c>
      <c r="Q880">
        <v>651.52800000000002</v>
      </c>
    </row>
    <row r="881" spans="1:17" x14ac:dyDescent="0.25">
      <c r="A881" s="2">
        <v>42576</v>
      </c>
      <c r="B881" s="2">
        <v>42580</v>
      </c>
      <c r="C881" s="1" t="s">
        <v>35</v>
      </c>
      <c r="D881" s="1" t="s">
        <v>1581</v>
      </c>
      <c r="E881" s="1" t="s">
        <v>28</v>
      </c>
      <c r="F881" s="1" t="s">
        <v>20</v>
      </c>
      <c r="G881" s="1" t="s">
        <v>958</v>
      </c>
      <c r="H881" s="1" t="s">
        <v>214</v>
      </c>
      <c r="I881" s="1" t="s">
        <v>81</v>
      </c>
      <c r="J881" s="1" t="s">
        <v>32</v>
      </c>
      <c r="K881" s="1" t="s">
        <v>59</v>
      </c>
      <c r="L881" s="1" t="s">
        <v>1502</v>
      </c>
      <c r="M881">
        <v>5</v>
      </c>
      <c r="N881">
        <v>0.2</v>
      </c>
      <c r="O881">
        <v>27.436499999999999</v>
      </c>
      <c r="P881">
        <v>243.88</v>
      </c>
      <c r="Q881">
        <v>216.4435</v>
      </c>
    </row>
    <row r="882" spans="1:17" x14ac:dyDescent="0.25">
      <c r="A882" s="2">
        <v>42842</v>
      </c>
      <c r="B882" s="2">
        <v>42848</v>
      </c>
      <c r="C882" s="1" t="s">
        <v>35</v>
      </c>
      <c r="D882" s="1" t="s">
        <v>1582</v>
      </c>
      <c r="E882" s="1" t="s">
        <v>55</v>
      </c>
      <c r="F882" s="1" t="s">
        <v>20</v>
      </c>
      <c r="G882" s="1" t="s">
        <v>499</v>
      </c>
      <c r="H882" s="1" t="s">
        <v>198</v>
      </c>
      <c r="I882" s="1" t="s">
        <v>31</v>
      </c>
      <c r="J882" s="1" t="s">
        <v>32</v>
      </c>
      <c r="K882" s="1" t="s">
        <v>52</v>
      </c>
      <c r="L882" s="1" t="s">
        <v>517</v>
      </c>
      <c r="M882">
        <v>5</v>
      </c>
      <c r="N882">
        <v>0.7</v>
      </c>
      <c r="O882">
        <v>-9.2230000000000008</v>
      </c>
      <c r="P882">
        <v>12.03</v>
      </c>
      <c r="Q882">
        <v>21.253</v>
      </c>
    </row>
    <row r="883" spans="1:17" x14ac:dyDescent="0.25">
      <c r="A883" s="2">
        <v>42605</v>
      </c>
      <c r="B883" s="2">
        <v>42612</v>
      </c>
      <c r="C883" s="1" t="s">
        <v>35</v>
      </c>
      <c r="D883" s="1" t="s">
        <v>1050</v>
      </c>
      <c r="E883" s="1" t="s">
        <v>55</v>
      </c>
      <c r="F883" s="1" t="s">
        <v>20</v>
      </c>
      <c r="G883" s="1" t="s">
        <v>1583</v>
      </c>
      <c r="H883" s="1" t="s">
        <v>57</v>
      </c>
      <c r="I883" s="1" t="s">
        <v>58</v>
      </c>
      <c r="J883" s="1" t="s">
        <v>32</v>
      </c>
      <c r="K883" s="1" t="s">
        <v>64</v>
      </c>
      <c r="L883" s="1" t="s">
        <v>539</v>
      </c>
      <c r="M883">
        <v>8</v>
      </c>
      <c r="N883">
        <v>0.2</v>
      </c>
      <c r="O883">
        <v>-172.7328</v>
      </c>
      <c r="P883">
        <v>727.29600000000005</v>
      </c>
      <c r="Q883">
        <v>900.02880000000005</v>
      </c>
    </row>
    <row r="884" spans="1:17" x14ac:dyDescent="0.25">
      <c r="A884" s="2">
        <v>42453</v>
      </c>
      <c r="B884" s="2">
        <v>42457</v>
      </c>
      <c r="C884" s="1" t="s">
        <v>35</v>
      </c>
      <c r="D884" s="1" t="s">
        <v>347</v>
      </c>
      <c r="E884" s="1" t="s">
        <v>28</v>
      </c>
      <c r="F884" s="1" t="s">
        <v>20</v>
      </c>
      <c r="G884" s="1" t="s">
        <v>1584</v>
      </c>
      <c r="H884" s="1" t="s">
        <v>183</v>
      </c>
      <c r="I884" s="1" t="s">
        <v>31</v>
      </c>
      <c r="J884" s="1" t="s">
        <v>99</v>
      </c>
      <c r="K884" s="1" t="s">
        <v>100</v>
      </c>
      <c r="L884" s="1" t="s">
        <v>1585</v>
      </c>
      <c r="M884">
        <v>4</v>
      </c>
      <c r="N884">
        <v>0.2</v>
      </c>
      <c r="O884">
        <v>25.198</v>
      </c>
      <c r="P884">
        <v>403.16800000000001</v>
      </c>
      <c r="Q884">
        <v>377.97</v>
      </c>
    </row>
    <row r="885" spans="1:17" x14ac:dyDescent="0.25">
      <c r="A885" s="2">
        <v>42166</v>
      </c>
      <c r="B885" s="2">
        <v>42171</v>
      </c>
      <c r="C885" s="1" t="s">
        <v>35</v>
      </c>
      <c r="D885" s="1" t="s">
        <v>578</v>
      </c>
      <c r="E885" s="1" t="s">
        <v>19</v>
      </c>
      <c r="F885" s="1" t="s">
        <v>20</v>
      </c>
      <c r="G885" s="1" t="s">
        <v>279</v>
      </c>
      <c r="H885" s="1" t="s">
        <v>280</v>
      </c>
      <c r="I885" s="1" t="s">
        <v>23</v>
      </c>
      <c r="J885" s="1" t="s">
        <v>99</v>
      </c>
      <c r="K885" s="1" t="s">
        <v>111</v>
      </c>
      <c r="L885" s="1" t="s">
        <v>1586</v>
      </c>
      <c r="M885">
        <v>6</v>
      </c>
      <c r="N885">
        <v>0</v>
      </c>
      <c r="O885">
        <v>10.202999999999999</v>
      </c>
      <c r="P885">
        <v>53.7</v>
      </c>
      <c r="Q885">
        <v>43.497</v>
      </c>
    </row>
    <row r="886" spans="1:17" x14ac:dyDescent="0.25">
      <c r="A886" s="2">
        <v>42797</v>
      </c>
      <c r="B886" s="2">
        <v>42801</v>
      </c>
      <c r="C886" s="1" t="s">
        <v>35</v>
      </c>
      <c r="D886" s="1" t="s">
        <v>1587</v>
      </c>
      <c r="E886" s="1" t="s">
        <v>19</v>
      </c>
      <c r="F886" s="1" t="s">
        <v>20</v>
      </c>
      <c r="G886" s="1" t="s">
        <v>309</v>
      </c>
      <c r="H886" s="1" t="s">
        <v>57</v>
      </c>
      <c r="I886" s="1" t="s">
        <v>58</v>
      </c>
      <c r="J886" s="1" t="s">
        <v>32</v>
      </c>
      <c r="K886" s="1" t="s">
        <v>47</v>
      </c>
      <c r="L886" s="1" t="s">
        <v>1588</v>
      </c>
      <c r="M886">
        <v>8</v>
      </c>
      <c r="N886">
        <v>0.2</v>
      </c>
      <c r="O886">
        <v>9.7439999999999998</v>
      </c>
      <c r="P886">
        <v>26.88</v>
      </c>
      <c r="Q886">
        <v>17.135999999999999</v>
      </c>
    </row>
    <row r="887" spans="1:17" x14ac:dyDescent="0.25">
      <c r="A887" s="2">
        <v>41840</v>
      </c>
      <c r="B887" s="2">
        <v>41844</v>
      </c>
      <c r="C887" s="1" t="s">
        <v>35</v>
      </c>
      <c r="D887" s="1" t="s">
        <v>1132</v>
      </c>
      <c r="E887" s="1" t="s">
        <v>55</v>
      </c>
      <c r="F887" s="1" t="s">
        <v>20</v>
      </c>
      <c r="G887" s="1" t="s">
        <v>309</v>
      </c>
      <c r="H887" s="1" t="s">
        <v>57</v>
      </c>
      <c r="I887" s="1" t="s">
        <v>58</v>
      </c>
      <c r="J887" s="1" t="s">
        <v>32</v>
      </c>
      <c r="K887" s="1" t="s">
        <v>64</v>
      </c>
      <c r="L887" s="1" t="s">
        <v>514</v>
      </c>
      <c r="M887">
        <v>3</v>
      </c>
      <c r="N887">
        <v>0.2</v>
      </c>
      <c r="O887">
        <v>38.572200000000002</v>
      </c>
      <c r="P887">
        <v>342.86399999999998</v>
      </c>
      <c r="Q887">
        <v>304.29179999999997</v>
      </c>
    </row>
    <row r="888" spans="1:17" x14ac:dyDescent="0.25">
      <c r="A888" s="2">
        <v>42882</v>
      </c>
      <c r="B888" s="2">
        <v>42888</v>
      </c>
      <c r="C888" s="1" t="s">
        <v>35</v>
      </c>
      <c r="D888" s="1" t="s">
        <v>340</v>
      </c>
      <c r="E888" s="1" t="s">
        <v>55</v>
      </c>
      <c r="F888" s="1" t="s">
        <v>20</v>
      </c>
      <c r="G888" s="1" t="s">
        <v>499</v>
      </c>
      <c r="H888" s="1" t="s">
        <v>22</v>
      </c>
      <c r="I888" s="1" t="s">
        <v>23</v>
      </c>
      <c r="J888" s="1" t="s">
        <v>32</v>
      </c>
      <c r="K888" s="1" t="s">
        <v>52</v>
      </c>
      <c r="L888" s="1" t="s">
        <v>1589</v>
      </c>
      <c r="M888">
        <v>2</v>
      </c>
      <c r="N888">
        <v>0</v>
      </c>
      <c r="O888">
        <v>28.0032</v>
      </c>
      <c r="P888">
        <v>58.34</v>
      </c>
      <c r="Q888">
        <v>30.336800000000004</v>
      </c>
    </row>
    <row r="889" spans="1:17" x14ac:dyDescent="0.25">
      <c r="A889" s="2">
        <v>42839</v>
      </c>
      <c r="B889" s="2">
        <v>42844</v>
      </c>
      <c r="C889" s="1" t="s">
        <v>35</v>
      </c>
      <c r="D889" s="1" t="s">
        <v>1055</v>
      </c>
      <c r="E889" s="1" t="s">
        <v>19</v>
      </c>
      <c r="F889" s="1" t="s">
        <v>20</v>
      </c>
      <c r="G889" s="1" t="s">
        <v>126</v>
      </c>
      <c r="H889" s="1" t="s">
        <v>127</v>
      </c>
      <c r="I889" s="1" t="s">
        <v>81</v>
      </c>
      <c r="J889" s="1" t="s">
        <v>32</v>
      </c>
      <c r="K889" s="1" t="s">
        <v>52</v>
      </c>
      <c r="L889" s="1" t="s">
        <v>985</v>
      </c>
      <c r="M889">
        <v>3</v>
      </c>
      <c r="N889">
        <v>0.2</v>
      </c>
      <c r="O889">
        <v>3.5022000000000002</v>
      </c>
      <c r="P889">
        <v>10.776</v>
      </c>
      <c r="Q889">
        <v>7.2737999999999996</v>
      </c>
    </row>
    <row r="890" spans="1:17" x14ac:dyDescent="0.25">
      <c r="A890" s="2">
        <v>42166</v>
      </c>
      <c r="B890" s="2">
        <v>42167</v>
      </c>
      <c r="C890" s="1" t="s">
        <v>107</v>
      </c>
      <c r="D890" s="1" t="s">
        <v>1590</v>
      </c>
      <c r="E890" s="1" t="s">
        <v>28</v>
      </c>
      <c r="F890" s="1" t="s">
        <v>20</v>
      </c>
      <c r="G890" s="1" t="s">
        <v>582</v>
      </c>
      <c r="H890" s="1" t="s">
        <v>38</v>
      </c>
      <c r="I890" s="1" t="s">
        <v>23</v>
      </c>
      <c r="J890" s="1" t="s">
        <v>24</v>
      </c>
      <c r="K890" s="1" t="s">
        <v>82</v>
      </c>
      <c r="L890" s="1" t="s">
        <v>1491</v>
      </c>
      <c r="M890">
        <v>5</v>
      </c>
      <c r="N890">
        <v>0.2</v>
      </c>
      <c r="O890">
        <v>-182.637</v>
      </c>
      <c r="P890">
        <v>1123.92</v>
      </c>
      <c r="Q890">
        <v>1306.557</v>
      </c>
    </row>
    <row r="891" spans="1:17" x14ac:dyDescent="0.25">
      <c r="A891" s="2">
        <v>41875</v>
      </c>
      <c r="B891" s="2">
        <v>41877</v>
      </c>
      <c r="C891" s="1" t="s">
        <v>107</v>
      </c>
      <c r="D891" s="1" t="s">
        <v>1591</v>
      </c>
      <c r="E891" s="1" t="s">
        <v>28</v>
      </c>
      <c r="F891" s="1" t="s">
        <v>20</v>
      </c>
      <c r="G891" s="1" t="s">
        <v>747</v>
      </c>
      <c r="H891" s="1" t="s">
        <v>127</v>
      </c>
      <c r="I891" s="1" t="s">
        <v>81</v>
      </c>
      <c r="J891" s="1" t="s">
        <v>24</v>
      </c>
      <c r="K891" s="1" t="s">
        <v>42</v>
      </c>
      <c r="L891" s="1" t="s">
        <v>1592</v>
      </c>
      <c r="M891">
        <v>2</v>
      </c>
      <c r="N891">
        <v>0</v>
      </c>
      <c r="O891">
        <v>6.3743999999999996</v>
      </c>
      <c r="P891">
        <v>13.28</v>
      </c>
      <c r="Q891">
        <v>6.9055999999999997</v>
      </c>
    </row>
    <row r="892" spans="1:17" x14ac:dyDescent="0.25">
      <c r="A892" s="2">
        <v>41820</v>
      </c>
      <c r="B892" s="2">
        <v>41823</v>
      </c>
      <c r="C892" s="1" t="s">
        <v>17</v>
      </c>
      <c r="D892" s="1" t="s">
        <v>687</v>
      </c>
      <c r="E892" s="1" t="s">
        <v>28</v>
      </c>
      <c r="F892" s="1" t="s">
        <v>20</v>
      </c>
      <c r="G892" s="1" t="s">
        <v>29</v>
      </c>
      <c r="H892" s="1" t="s">
        <v>30</v>
      </c>
      <c r="I892" s="1" t="s">
        <v>31</v>
      </c>
      <c r="J892" s="1" t="s">
        <v>32</v>
      </c>
      <c r="K892" s="1" t="s">
        <v>72</v>
      </c>
      <c r="L892" s="1" t="s">
        <v>1593</v>
      </c>
      <c r="M892">
        <v>5</v>
      </c>
      <c r="N892">
        <v>0</v>
      </c>
      <c r="O892">
        <v>10.368</v>
      </c>
      <c r="P892">
        <v>32.4</v>
      </c>
      <c r="Q892">
        <v>22.031999999999996</v>
      </c>
    </row>
    <row r="893" spans="1:17" x14ac:dyDescent="0.25">
      <c r="A893" s="2">
        <v>42528</v>
      </c>
      <c r="B893" s="2">
        <v>42531</v>
      </c>
      <c r="C893" s="1" t="s">
        <v>107</v>
      </c>
      <c r="D893" s="1" t="s">
        <v>735</v>
      </c>
      <c r="E893" s="1" t="s">
        <v>55</v>
      </c>
      <c r="F893" s="1" t="s">
        <v>20</v>
      </c>
      <c r="G893" s="1" t="s">
        <v>126</v>
      </c>
      <c r="H893" s="1" t="s">
        <v>127</v>
      </c>
      <c r="I893" s="1" t="s">
        <v>81</v>
      </c>
      <c r="J893" s="1" t="s">
        <v>32</v>
      </c>
      <c r="K893" s="1" t="s">
        <v>47</v>
      </c>
      <c r="L893" s="1" t="s">
        <v>766</v>
      </c>
      <c r="M893">
        <v>5</v>
      </c>
      <c r="N893">
        <v>0</v>
      </c>
      <c r="O893">
        <v>15.552</v>
      </c>
      <c r="P893">
        <v>32.4</v>
      </c>
      <c r="Q893">
        <v>16.847999999999999</v>
      </c>
    </row>
    <row r="894" spans="1:17" x14ac:dyDescent="0.25">
      <c r="A894" s="2">
        <v>42936</v>
      </c>
      <c r="B894" s="2">
        <v>42940</v>
      </c>
      <c r="C894" s="1" t="s">
        <v>35</v>
      </c>
      <c r="D894" s="1" t="s">
        <v>1594</v>
      </c>
      <c r="E894" s="1" t="s">
        <v>28</v>
      </c>
      <c r="F894" s="1" t="s">
        <v>20</v>
      </c>
      <c r="G894" s="1" t="s">
        <v>1595</v>
      </c>
      <c r="H894" s="1" t="s">
        <v>110</v>
      </c>
      <c r="I894" s="1" t="s">
        <v>58</v>
      </c>
      <c r="J894" s="1" t="s">
        <v>32</v>
      </c>
      <c r="K894" s="1" t="s">
        <v>52</v>
      </c>
      <c r="L894" s="1" t="s">
        <v>1596</v>
      </c>
      <c r="M894">
        <v>2</v>
      </c>
      <c r="N894">
        <v>0</v>
      </c>
      <c r="O894">
        <v>331.19099999999997</v>
      </c>
      <c r="P894">
        <v>735.98</v>
      </c>
      <c r="Q894">
        <v>404.78900000000004</v>
      </c>
    </row>
    <row r="895" spans="1:17" x14ac:dyDescent="0.25">
      <c r="A895" s="2">
        <v>42455</v>
      </c>
      <c r="B895" s="2">
        <v>42456</v>
      </c>
      <c r="C895" s="1" t="s">
        <v>107</v>
      </c>
      <c r="D895" s="1" t="s">
        <v>575</v>
      </c>
      <c r="E895" s="1" t="s">
        <v>19</v>
      </c>
      <c r="F895" s="1" t="s">
        <v>20</v>
      </c>
      <c r="G895" s="1" t="s">
        <v>516</v>
      </c>
      <c r="H895" s="1" t="s">
        <v>46</v>
      </c>
      <c r="I895" s="1" t="s">
        <v>23</v>
      </c>
      <c r="J895" s="1" t="s">
        <v>32</v>
      </c>
      <c r="K895" s="1" t="s">
        <v>64</v>
      </c>
      <c r="L895" s="1" t="s">
        <v>1597</v>
      </c>
      <c r="M895">
        <v>5</v>
      </c>
      <c r="N895">
        <v>0.2</v>
      </c>
      <c r="O895">
        <v>5.9184999999999999</v>
      </c>
      <c r="P895">
        <v>67.64</v>
      </c>
      <c r="Q895">
        <v>61.721499999999999</v>
      </c>
    </row>
    <row r="896" spans="1:17" x14ac:dyDescent="0.25">
      <c r="A896" s="2">
        <v>42672</v>
      </c>
      <c r="B896" s="2">
        <v>42674</v>
      </c>
      <c r="C896" s="1" t="s">
        <v>107</v>
      </c>
      <c r="D896" s="1" t="s">
        <v>431</v>
      </c>
      <c r="E896" s="1" t="s">
        <v>19</v>
      </c>
      <c r="F896" s="1" t="s">
        <v>20</v>
      </c>
      <c r="G896" s="1" t="s">
        <v>1001</v>
      </c>
      <c r="H896" s="1" t="s">
        <v>115</v>
      </c>
      <c r="I896" s="1" t="s">
        <v>58</v>
      </c>
      <c r="J896" s="1" t="s">
        <v>24</v>
      </c>
      <c r="K896" s="1" t="s">
        <v>42</v>
      </c>
      <c r="L896" s="1" t="s">
        <v>380</v>
      </c>
      <c r="M896">
        <v>5</v>
      </c>
      <c r="N896">
        <v>0</v>
      </c>
      <c r="O896">
        <v>32.159999999999997</v>
      </c>
      <c r="P896">
        <v>67</v>
      </c>
      <c r="Q896">
        <v>34.840000000000003</v>
      </c>
    </row>
    <row r="897" spans="1:17" x14ac:dyDescent="0.25">
      <c r="A897" s="2">
        <v>42518</v>
      </c>
      <c r="B897" s="2">
        <v>42524</v>
      </c>
      <c r="C897" s="1" t="s">
        <v>35</v>
      </c>
      <c r="D897" s="1" t="s">
        <v>489</v>
      </c>
      <c r="E897" s="1" t="s">
        <v>28</v>
      </c>
      <c r="F897" s="1" t="s">
        <v>20</v>
      </c>
      <c r="G897" s="1" t="s">
        <v>1544</v>
      </c>
      <c r="H897" s="1" t="s">
        <v>38</v>
      </c>
      <c r="I897" s="1" t="s">
        <v>23</v>
      </c>
      <c r="J897" s="1" t="s">
        <v>24</v>
      </c>
      <c r="K897" s="1" t="s">
        <v>82</v>
      </c>
      <c r="L897" s="1" t="s">
        <v>1598</v>
      </c>
      <c r="M897">
        <v>8</v>
      </c>
      <c r="N897">
        <v>0.2</v>
      </c>
      <c r="O897">
        <v>-24.391999999999999</v>
      </c>
      <c r="P897">
        <v>390.27199999999999</v>
      </c>
      <c r="Q897">
        <v>414.66399999999999</v>
      </c>
    </row>
    <row r="898" spans="1:17" x14ac:dyDescent="0.25">
      <c r="A898" s="2">
        <v>42365</v>
      </c>
      <c r="B898" s="2">
        <v>42370</v>
      </c>
      <c r="C898" s="1" t="s">
        <v>35</v>
      </c>
      <c r="D898" s="1" t="s">
        <v>1599</v>
      </c>
      <c r="E898" s="1" t="s">
        <v>55</v>
      </c>
      <c r="F898" s="1" t="s">
        <v>20</v>
      </c>
      <c r="G898" s="1" t="s">
        <v>136</v>
      </c>
      <c r="H898" s="1" t="s">
        <v>98</v>
      </c>
      <c r="I898" s="1" t="s">
        <v>58</v>
      </c>
      <c r="J898" s="1" t="s">
        <v>32</v>
      </c>
      <c r="K898" s="1" t="s">
        <v>64</v>
      </c>
      <c r="L898" s="1" t="s">
        <v>1600</v>
      </c>
      <c r="M898">
        <v>3</v>
      </c>
      <c r="N898">
        <v>0.2</v>
      </c>
      <c r="O898">
        <v>-3.1680000000000001</v>
      </c>
      <c r="P898">
        <v>12.672000000000001</v>
      </c>
      <c r="Q898">
        <v>15.84</v>
      </c>
    </row>
    <row r="899" spans="1:17" x14ac:dyDescent="0.25">
      <c r="A899" s="2">
        <v>41883</v>
      </c>
      <c r="B899" s="2">
        <v>41886</v>
      </c>
      <c r="C899" s="1" t="s">
        <v>107</v>
      </c>
      <c r="D899" s="1" t="s">
        <v>1601</v>
      </c>
      <c r="E899" s="1" t="s">
        <v>19</v>
      </c>
      <c r="F899" s="1" t="s">
        <v>20</v>
      </c>
      <c r="G899" s="1" t="s">
        <v>91</v>
      </c>
      <c r="H899" s="1" t="s">
        <v>57</v>
      </c>
      <c r="I899" s="1" t="s">
        <v>58</v>
      </c>
      <c r="J899" s="1" t="s">
        <v>32</v>
      </c>
      <c r="K899" s="1" t="s">
        <v>52</v>
      </c>
      <c r="L899" s="1" t="s">
        <v>1602</v>
      </c>
      <c r="M899">
        <v>3</v>
      </c>
      <c r="N899">
        <v>0.8</v>
      </c>
      <c r="O899">
        <v>-6.0191999999999997</v>
      </c>
      <c r="P899">
        <v>3.6480000000000001</v>
      </c>
      <c r="Q899">
        <v>9.6671999999999993</v>
      </c>
    </row>
    <row r="900" spans="1:17" x14ac:dyDescent="0.25">
      <c r="A900" s="2">
        <v>42590</v>
      </c>
      <c r="B900" s="2">
        <v>42595</v>
      </c>
      <c r="C900" s="1" t="s">
        <v>35</v>
      </c>
      <c r="D900" s="1" t="s">
        <v>1164</v>
      </c>
      <c r="E900" s="1" t="s">
        <v>55</v>
      </c>
      <c r="F900" s="1" t="s">
        <v>20</v>
      </c>
      <c r="G900" s="1" t="s">
        <v>148</v>
      </c>
      <c r="H900" s="1" t="s">
        <v>502</v>
      </c>
      <c r="I900" s="1" t="s">
        <v>23</v>
      </c>
      <c r="J900" s="1" t="s">
        <v>32</v>
      </c>
      <c r="K900" s="1" t="s">
        <v>128</v>
      </c>
      <c r="L900" s="1" t="s">
        <v>1603</v>
      </c>
      <c r="M900">
        <v>3</v>
      </c>
      <c r="N900">
        <v>0</v>
      </c>
      <c r="O900">
        <v>0.2334</v>
      </c>
      <c r="P900">
        <v>23.34</v>
      </c>
      <c r="Q900">
        <v>23.1066</v>
      </c>
    </row>
    <row r="901" spans="1:17" x14ac:dyDescent="0.25">
      <c r="A901" s="2">
        <v>41974</v>
      </c>
      <c r="B901" s="2">
        <v>41980</v>
      </c>
      <c r="C901" s="1" t="s">
        <v>35</v>
      </c>
      <c r="D901" s="1" t="s">
        <v>1604</v>
      </c>
      <c r="E901" s="1" t="s">
        <v>19</v>
      </c>
      <c r="F901" s="1" t="s">
        <v>20</v>
      </c>
      <c r="G901" s="1" t="s">
        <v>516</v>
      </c>
      <c r="H901" s="1" t="s">
        <v>46</v>
      </c>
      <c r="I901" s="1" t="s">
        <v>23</v>
      </c>
      <c r="J901" s="1" t="s">
        <v>99</v>
      </c>
      <c r="K901" s="1" t="s">
        <v>100</v>
      </c>
      <c r="L901" s="1" t="s">
        <v>1605</v>
      </c>
      <c r="M901">
        <v>4</v>
      </c>
      <c r="N901">
        <v>0.2</v>
      </c>
      <c r="O901">
        <v>9.5968</v>
      </c>
      <c r="P901">
        <v>95.968000000000004</v>
      </c>
      <c r="Q901">
        <v>86.371200000000002</v>
      </c>
    </row>
    <row r="902" spans="1:17" x14ac:dyDescent="0.25">
      <c r="A902" s="2">
        <v>42378</v>
      </c>
      <c r="B902" s="2">
        <v>42384</v>
      </c>
      <c r="C902" s="1" t="s">
        <v>35</v>
      </c>
      <c r="D902" s="1" t="s">
        <v>451</v>
      </c>
      <c r="E902" s="1" t="s">
        <v>28</v>
      </c>
      <c r="F902" s="1" t="s">
        <v>20</v>
      </c>
      <c r="G902" s="1" t="s">
        <v>1047</v>
      </c>
      <c r="H902" s="1" t="s">
        <v>30</v>
      </c>
      <c r="I902" s="1" t="s">
        <v>31</v>
      </c>
      <c r="J902" s="1" t="s">
        <v>99</v>
      </c>
      <c r="K902" s="1" t="s">
        <v>111</v>
      </c>
      <c r="L902" s="1" t="s">
        <v>1606</v>
      </c>
      <c r="M902">
        <v>5</v>
      </c>
      <c r="N902">
        <v>0</v>
      </c>
      <c r="O902">
        <v>118.983</v>
      </c>
      <c r="P902">
        <v>349.95</v>
      </c>
      <c r="Q902">
        <v>230.96699999999998</v>
      </c>
    </row>
    <row r="903" spans="1:17" x14ac:dyDescent="0.25">
      <c r="A903" s="2">
        <v>42841</v>
      </c>
      <c r="B903" s="2">
        <v>42847</v>
      </c>
      <c r="C903" s="1" t="s">
        <v>35</v>
      </c>
      <c r="D903" s="1" t="s">
        <v>1238</v>
      </c>
      <c r="E903" s="1" t="s">
        <v>19</v>
      </c>
      <c r="F903" s="1" t="s">
        <v>20</v>
      </c>
      <c r="G903" s="1" t="s">
        <v>91</v>
      </c>
      <c r="H903" s="1" t="s">
        <v>57</v>
      </c>
      <c r="I903" s="1" t="s">
        <v>58</v>
      </c>
      <c r="J903" s="1" t="s">
        <v>32</v>
      </c>
      <c r="K903" s="1" t="s">
        <v>52</v>
      </c>
      <c r="L903" s="1" t="s">
        <v>1607</v>
      </c>
      <c r="M903">
        <v>3</v>
      </c>
      <c r="N903">
        <v>0.8</v>
      </c>
      <c r="O903">
        <v>-44.278199999999998</v>
      </c>
      <c r="P903">
        <v>26.045999999999999</v>
      </c>
      <c r="Q903">
        <v>70.32419999999999</v>
      </c>
    </row>
    <row r="904" spans="1:17" x14ac:dyDescent="0.25">
      <c r="A904" s="2">
        <v>42694</v>
      </c>
      <c r="B904" s="2">
        <v>42701</v>
      </c>
      <c r="C904" s="1" t="s">
        <v>35</v>
      </c>
      <c r="D904" s="1" t="s">
        <v>1608</v>
      </c>
      <c r="E904" s="1" t="s">
        <v>28</v>
      </c>
      <c r="F904" s="1" t="s">
        <v>20</v>
      </c>
      <c r="G904" s="1" t="s">
        <v>91</v>
      </c>
      <c r="H904" s="1" t="s">
        <v>57</v>
      </c>
      <c r="I904" s="1" t="s">
        <v>58</v>
      </c>
      <c r="J904" s="1" t="s">
        <v>24</v>
      </c>
      <c r="K904" s="1" t="s">
        <v>82</v>
      </c>
      <c r="L904" s="1" t="s">
        <v>1609</v>
      </c>
      <c r="M904">
        <v>5</v>
      </c>
      <c r="N904">
        <v>0.3</v>
      </c>
      <c r="O904">
        <v>-77.332999999999998</v>
      </c>
      <c r="P904">
        <v>318.43</v>
      </c>
      <c r="Q904">
        <v>395.76300000000003</v>
      </c>
    </row>
    <row r="905" spans="1:17" x14ac:dyDescent="0.25">
      <c r="A905" s="2">
        <v>42727</v>
      </c>
      <c r="B905" s="2">
        <v>42733</v>
      </c>
      <c r="C905" s="1" t="s">
        <v>35</v>
      </c>
      <c r="D905" s="1" t="s">
        <v>1458</v>
      </c>
      <c r="E905" s="1" t="s">
        <v>28</v>
      </c>
      <c r="F905" s="1" t="s">
        <v>20</v>
      </c>
      <c r="G905" s="1" t="s">
        <v>1610</v>
      </c>
      <c r="H905" s="1" t="s">
        <v>115</v>
      </c>
      <c r="I905" s="1" t="s">
        <v>58</v>
      </c>
      <c r="J905" s="1" t="s">
        <v>32</v>
      </c>
      <c r="K905" s="1" t="s">
        <v>128</v>
      </c>
      <c r="L905" s="1" t="s">
        <v>1453</v>
      </c>
      <c r="M905">
        <v>7</v>
      </c>
      <c r="N905">
        <v>0</v>
      </c>
      <c r="O905">
        <v>11.679500000000001</v>
      </c>
      <c r="P905">
        <v>24.85</v>
      </c>
      <c r="Q905">
        <v>13.170500000000001</v>
      </c>
    </row>
    <row r="906" spans="1:17" x14ac:dyDescent="0.25">
      <c r="A906" s="2">
        <v>43035</v>
      </c>
      <c r="B906" s="2">
        <v>43038</v>
      </c>
      <c r="C906" s="1" t="s">
        <v>17</v>
      </c>
      <c r="D906" s="1" t="s">
        <v>90</v>
      </c>
      <c r="E906" s="1" t="s">
        <v>55</v>
      </c>
      <c r="F906" s="1" t="s">
        <v>20</v>
      </c>
      <c r="G906" s="1" t="s">
        <v>136</v>
      </c>
      <c r="H906" s="1" t="s">
        <v>98</v>
      </c>
      <c r="I906" s="1" t="s">
        <v>58</v>
      </c>
      <c r="J906" s="1" t="s">
        <v>32</v>
      </c>
      <c r="K906" s="1" t="s">
        <v>72</v>
      </c>
      <c r="L906" s="1" t="s">
        <v>543</v>
      </c>
      <c r="M906">
        <v>3</v>
      </c>
      <c r="N906">
        <v>0.2</v>
      </c>
      <c r="O906">
        <v>2.2050000000000001</v>
      </c>
      <c r="P906">
        <v>7.056</v>
      </c>
      <c r="Q906">
        <v>4.851</v>
      </c>
    </row>
    <row r="907" spans="1:17" x14ac:dyDescent="0.25">
      <c r="A907" s="2">
        <v>42225</v>
      </c>
      <c r="B907" s="2">
        <v>42230</v>
      </c>
      <c r="C907" s="1" t="s">
        <v>35</v>
      </c>
      <c r="D907" s="1" t="s">
        <v>102</v>
      </c>
      <c r="E907" s="1" t="s">
        <v>28</v>
      </c>
      <c r="F907" s="1" t="s">
        <v>20</v>
      </c>
      <c r="G907" s="1" t="s">
        <v>516</v>
      </c>
      <c r="H907" s="1" t="s">
        <v>38</v>
      </c>
      <c r="I907" s="1" t="s">
        <v>23</v>
      </c>
      <c r="J907" s="1" t="s">
        <v>32</v>
      </c>
      <c r="K907" s="1" t="s">
        <v>33</v>
      </c>
      <c r="L907" s="1" t="s">
        <v>1450</v>
      </c>
      <c r="M907">
        <v>2</v>
      </c>
      <c r="N907">
        <v>0.2</v>
      </c>
      <c r="O907">
        <v>1.6704000000000001</v>
      </c>
      <c r="P907">
        <v>4.6079999999999997</v>
      </c>
      <c r="Q907">
        <v>2.9375999999999998</v>
      </c>
    </row>
    <row r="908" spans="1:17" x14ac:dyDescent="0.25">
      <c r="A908" s="2">
        <v>42713</v>
      </c>
      <c r="B908" s="2">
        <v>42718</v>
      </c>
      <c r="C908" s="1" t="s">
        <v>17</v>
      </c>
      <c r="D908" s="1" t="s">
        <v>1311</v>
      </c>
      <c r="E908" s="1" t="s">
        <v>28</v>
      </c>
      <c r="F908" s="1" t="s">
        <v>20</v>
      </c>
      <c r="G908" s="1" t="s">
        <v>243</v>
      </c>
      <c r="H908" s="1" t="s">
        <v>152</v>
      </c>
      <c r="I908" s="1" t="s">
        <v>23</v>
      </c>
      <c r="J908" s="1" t="s">
        <v>24</v>
      </c>
      <c r="K908" s="1" t="s">
        <v>39</v>
      </c>
      <c r="L908" s="1" t="s">
        <v>1611</v>
      </c>
      <c r="M908">
        <v>3</v>
      </c>
      <c r="N908">
        <v>0.4</v>
      </c>
      <c r="O908">
        <v>-29.323799999999999</v>
      </c>
      <c r="P908">
        <v>79.974000000000004</v>
      </c>
      <c r="Q908">
        <v>109.2978</v>
      </c>
    </row>
    <row r="909" spans="1:17" x14ac:dyDescent="0.25">
      <c r="A909" s="2">
        <v>41957</v>
      </c>
      <c r="B909" s="2">
        <v>41958</v>
      </c>
      <c r="C909" s="1" t="s">
        <v>107</v>
      </c>
      <c r="D909" s="1" t="s">
        <v>1612</v>
      </c>
      <c r="E909" s="1" t="s">
        <v>28</v>
      </c>
      <c r="F909" s="1" t="s">
        <v>20</v>
      </c>
      <c r="G909" s="1" t="s">
        <v>238</v>
      </c>
      <c r="H909" s="1" t="s">
        <v>57</v>
      </c>
      <c r="I909" s="1" t="s">
        <v>58</v>
      </c>
      <c r="J909" s="1" t="s">
        <v>32</v>
      </c>
      <c r="K909" s="1" t="s">
        <v>47</v>
      </c>
      <c r="L909" s="1" t="s">
        <v>1613</v>
      </c>
      <c r="M909">
        <v>4</v>
      </c>
      <c r="N909">
        <v>0.2</v>
      </c>
      <c r="O909">
        <v>7.2576000000000001</v>
      </c>
      <c r="P909">
        <v>20.736000000000001</v>
      </c>
      <c r="Q909">
        <v>13.478400000000001</v>
      </c>
    </row>
    <row r="910" spans="1:17" x14ac:dyDescent="0.25">
      <c r="A910" s="2">
        <v>41960</v>
      </c>
      <c r="B910" s="2">
        <v>41962</v>
      </c>
      <c r="C910" s="1" t="s">
        <v>107</v>
      </c>
      <c r="D910" s="1" t="s">
        <v>389</v>
      </c>
      <c r="E910" s="1" t="s">
        <v>28</v>
      </c>
      <c r="F910" s="1" t="s">
        <v>20</v>
      </c>
      <c r="G910" s="1" t="s">
        <v>71</v>
      </c>
      <c r="H910" s="1" t="s">
        <v>30</v>
      </c>
      <c r="I910" s="1" t="s">
        <v>31</v>
      </c>
      <c r="J910" s="1" t="s">
        <v>99</v>
      </c>
      <c r="K910" s="1" t="s">
        <v>111</v>
      </c>
      <c r="L910" s="1" t="s">
        <v>1614</v>
      </c>
      <c r="M910">
        <v>2</v>
      </c>
      <c r="N910">
        <v>0</v>
      </c>
      <c r="O910">
        <v>7.9984000000000002</v>
      </c>
      <c r="P910">
        <v>99.98</v>
      </c>
      <c r="Q910">
        <v>91.9816</v>
      </c>
    </row>
    <row r="911" spans="1:17" x14ac:dyDescent="0.25">
      <c r="A911" s="2">
        <v>41835</v>
      </c>
      <c r="B911" s="2">
        <v>41839</v>
      </c>
      <c r="C911" s="1" t="s">
        <v>35</v>
      </c>
      <c r="D911" s="1" t="s">
        <v>321</v>
      </c>
      <c r="E911" s="1" t="s">
        <v>28</v>
      </c>
      <c r="F911" s="1" t="s">
        <v>20</v>
      </c>
      <c r="G911" s="1" t="s">
        <v>1550</v>
      </c>
      <c r="H911" s="1" t="s">
        <v>1551</v>
      </c>
      <c r="I911" s="1" t="s">
        <v>58</v>
      </c>
      <c r="J911" s="1" t="s">
        <v>99</v>
      </c>
      <c r="K911" s="1" t="s">
        <v>111</v>
      </c>
      <c r="L911" s="1" t="s">
        <v>1615</v>
      </c>
      <c r="M911">
        <v>3</v>
      </c>
      <c r="N911">
        <v>0</v>
      </c>
      <c r="O911">
        <v>1.3068</v>
      </c>
      <c r="P911">
        <v>2.97</v>
      </c>
      <c r="Q911">
        <v>1.6632000000000002</v>
      </c>
    </row>
    <row r="912" spans="1:17" x14ac:dyDescent="0.25">
      <c r="A912" s="2">
        <v>42044</v>
      </c>
      <c r="B912" s="2">
        <v>42051</v>
      </c>
      <c r="C912" s="1" t="s">
        <v>35</v>
      </c>
      <c r="D912" s="1" t="s">
        <v>1616</v>
      </c>
      <c r="E912" s="1" t="s">
        <v>19</v>
      </c>
      <c r="F912" s="1" t="s">
        <v>20</v>
      </c>
      <c r="G912" s="1" t="s">
        <v>29</v>
      </c>
      <c r="H912" s="1" t="s">
        <v>30</v>
      </c>
      <c r="I912" s="1" t="s">
        <v>31</v>
      </c>
      <c r="J912" s="1" t="s">
        <v>24</v>
      </c>
      <c r="K912" s="1" t="s">
        <v>82</v>
      </c>
      <c r="L912" s="1" t="s">
        <v>83</v>
      </c>
      <c r="M912">
        <v>5</v>
      </c>
      <c r="N912">
        <v>0.2</v>
      </c>
      <c r="O912">
        <v>22.940999999999999</v>
      </c>
      <c r="P912">
        <v>203.92</v>
      </c>
      <c r="Q912">
        <v>180.97899999999998</v>
      </c>
    </row>
    <row r="913" spans="1:17" x14ac:dyDescent="0.25">
      <c r="A913" s="2">
        <v>41912</v>
      </c>
      <c r="B913" s="2">
        <v>41918</v>
      </c>
      <c r="C913" s="1" t="s">
        <v>35</v>
      </c>
      <c r="D913" s="1" t="s">
        <v>1617</v>
      </c>
      <c r="E913" s="1" t="s">
        <v>28</v>
      </c>
      <c r="F913" s="1" t="s">
        <v>20</v>
      </c>
      <c r="G913" s="1" t="s">
        <v>126</v>
      </c>
      <c r="H913" s="1" t="s">
        <v>127</v>
      </c>
      <c r="I913" s="1" t="s">
        <v>81</v>
      </c>
      <c r="J913" s="1" t="s">
        <v>24</v>
      </c>
      <c r="K913" s="1" t="s">
        <v>42</v>
      </c>
      <c r="L913" s="1" t="s">
        <v>1618</v>
      </c>
      <c r="M913">
        <v>3</v>
      </c>
      <c r="N913">
        <v>0</v>
      </c>
      <c r="O913">
        <v>5.1816000000000004</v>
      </c>
      <c r="P913">
        <v>15.24</v>
      </c>
      <c r="Q913">
        <v>10.058399999999999</v>
      </c>
    </row>
    <row r="914" spans="1:17" x14ac:dyDescent="0.25">
      <c r="A914" s="2">
        <v>42786</v>
      </c>
      <c r="B914" s="2">
        <v>42791</v>
      </c>
      <c r="C914" s="1" t="s">
        <v>35</v>
      </c>
      <c r="D914" s="1" t="s">
        <v>1619</v>
      </c>
      <c r="E914" s="1" t="s">
        <v>55</v>
      </c>
      <c r="F914" s="1" t="s">
        <v>20</v>
      </c>
      <c r="G914" s="1" t="s">
        <v>1620</v>
      </c>
      <c r="H914" s="1" t="s">
        <v>256</v>
      </c>
      <c r="I914" s="1" t="s">
        <v>58</v>
      </c>
      <c r="J914" s="1" t="s">
        <v>32</v>
      </c>
      <c r="K914" s="1" t="s">
        <v>72</v>
      </c>
      <c r="L914" s="1" t="s">
        <v>1621</v>
      </c>
      <c r="M914">
        <v>2</v>
      </c>
      <c r="N914">
        <v>0</v>
      </c>
      <c r="O914">
        <v>1.9024000000000001</v>
      </c>
      <c r="P914">
        <v>6.56</v>
      </c>
      <c r="Q914">
        <v>4.6575999999999995</v>
      </c>
    </row>
    <row r="915" spans="1:17" x14ac:dyDescent="0.25">
      <c r="A915" s="2">
        <v>41866</v>
      </c>
      <c r="B915" s="2">
        <v>41869</v>
      </c>
      <c r="C915" s="1" t="s">
        <v>107</v>
      </c>
      <c r="D915" s="1" t="s">
        <v>487</v>
      </c>
      <c r="E915" s="1" t="s">
        <v>19</v>
      </c>
      <c r="F915" s="1" t="s">
        <v>20</v>
      </c>
      <c r="G915" s="1" t="s">
        <v>309</v>
      </c>
      <c r="H915" s="1" t="s">
        <v>57</v>
      </c>
      <c r="I915" s="1" t="s">
        <v>58</v>
      </c>
      <c r="J915" s="1" t="s">
        <v>32</v>
      </c>
      <c r="K915" s="1" t="s">
        <v>52</v>
      </c>
      <c r="L915" s="1" t="s">
        <v>756</v>
      </c>
      <c r="M915">
        <v>8</v>
      </c>
      <c r="N915">
        <v>0.8</v>
      </c>
      <c r="O915">
        <v>-52.631999999999998</v>
      </c>
      <c r="P915">
        <v>30.96</v>
      </c>
      <c r="Q915">
        <v>83.591999999999999</v>
      </c>
    </row>
    <row r="916" spans="1:17" x14ac:dyDescent="0.25">
      <c r="A916" s="2">
        <v>43009</v>
      </c>
      <c r="B916" s="2">
        <v>43011</v>
      </c>
      <c r="C916" s="1" t="s">
        <v>107</v>
      </c>
      <c r="D916" s="1" t="s">
        <v>1164</v>
      </c>
      <c r="E916" s="1" t="s">
        <v>55</v>
      </c>
      <c r="F916" s="1" t="s">
        <v>20</v>
      </c>
      <c r="G916" s="1" t="s">
        <v>126</v>
      </c>
      <c r="H916" s="1" t="s">
        <v>127</v>
      </c>
      <c r="I916" s="1" t="s">
        <v>81</v>
      </c>
      <c r="J916" s="1" t="s">
        <v>99</v>
      </c>
      <c r="K916" s="1" t="s">
        <v>354</v>
      </c>
      <c r="L916" s="1" t="s">
        <v>1622</v>
      </c>
      <c r="M916">
        <v>11</v>
      </c>
      <c r="N916">
        <v>0</v>
      </c>
      <c r="O916">
        <v>767.20050000000003</v>
      </c>
      <c r="P916">
        <v>1704.89</v>
      </c>
      <c r="Q916">
        <v>937.68950000000007</v>
      </c>
    </row>
    <row r="917" spans="1:17" x14ac:dyDescent="0.25">
      <c r="A917" s="2">
        <v>42147</v>
      </c>
      <c r="B917" s="2">
        <v>42154</v>
      </c>
      <c r="C917" s="1" t="s">
        <v>35</v>
      </c>
      <c r="D917" s="1" t="s">
        <v>84</v>
      </c>
      <c r="E917" s="1" t="s">
        <v>19</v>
      </c>
      <c r="F917" s="1" t="s">
        <v>20</v>
      </c>
      <c r="G917" s="1" t="s">
        <v>894</v>
      </c>
      <c r="H917" s="1" t="s">
        <v>140</v>
      </c>
      <c r="I917" s="1" t="s">
        <v>31</v>
      </c>
      <c r="J917" s="1" t="s">
        <v>32</v>
      </c>
      <c r="K917" s="1" t="s">
        <v>52</v>
      </c>
      <c r="L917" s="1" t="s">
        <v>1623</v>
      </c>
      <c r="M917">
        <v>7</v>
      </c>
      <c r="N917">
        <v>0.7</v>
      </c>
      <c r="O917">
        <v>-12.795999999999999</v>
      </c>
      <c r="P917">
        <v>19.193999999999999</v>
      </c>
      <c r="Q917">
        <v>31.99</v>
      </c>
    </row>
    <row r="918" spans="1:17" x14ac:dyDescent="0.25">
      <c r="A918" s="2">
        <v>42003</v>
      </c>
      <c r="B918" s="2">
        <v>42005</v>
      </c>
      <c r="C918" s="1" t="s">
        <v>17</v>
      </c>
      <c r="D918" s="1" t="s">
        <v>1037</v>
      </c>
      <c r="E918" s="1" t="s">
        <v>28</v>
      </c>
      <c r="F918" s="1" t="s">
        <v>20</v>
      </c>
      <c r="G918" s="1" t="s">
        <v>642</v>
      </c>
      <c r="H918" s="1" t="s">
        <v>57</v>
      </c>
      <c r="I918" s="1" t="s">
        <v>58</v>
      </c>
      <c r="J918" s="1" t="s">
        <v>32</v>
      </c>
      <c r="K918" s="1" t="s">
        <v>94</v>
      </c>
      <c r="L918" s="1" t="s">
        <v>1045</v>
      </c>
      <c r="M918">
        <v>3</v>
      </c>
      <c r="N918">
        <v>0.2</v>
      </c>
      <c r="O918">
        <v>4.7066999999999997</v>
      </c>
      <c r="P918">
        <v>12.984</v>
      </c>
      <c r="Q918">
        <v>8.2773000000000003</v>
      </c>
    </row>
    <row r="919" spans="1:17" x14ac:dyDescent="0.25">
      <c r="A919" s="2">
        <v>42313</v>
      </c>
      <c r="B919" s="2">
        <v>42319</v>
      </c>
      <c r="C919" s="1" t="s">
        <v>35</v>
      </c>
      <c r="D919" s="1" t="s">
        <v>705</v>
      </c>
      <c r="E919" s="1" t="s">
        <v>28</v>
      </c>
      <c r="F919" s="1" t="s">
        <v>20</v>
      </c>
      <c r="G919" s="1" t="s">
        <v>126</v>
      </c>
      <c r="H919" s="1" t="s">
        <v>127</v>
      </c>
      <c r="I919" s="1" t="s">
        <v>81</v>
      </c>
      <c r="J919" s="1" t="s">
        <v>32</v>
      </c>
      <c r="K919" s="1" t="s">
        <v>52</v>
      </c>
      <c r="L919" s="1" t="s">
        <v>1624</v>
      </c>
      <c r="M919">
        <v>6</v>
      </c>
      <c r="N919">
        <v>0.2</v>
      </c>
      <c r="O919">
        <v>8.8704000000000001</v>
      </c>
      <c r="P919">
        <v>25.344000000000001</v>
      </c>
      <c r="Q919">
        <v>16.473600000000001</v>
      </c>
    </row>
    <row r="920" spans="1:17" x14ac:dyDescent="0.25">
      <c r="A920" s="2">
        <v>42229</v>
      </c>
      <c r="B920" s="2">
        <v>42236</v>
      </c>
      <c r="C920" s="1" t="s">
        <v>35</v>
      </c>
      <c r="D920" s="1" t="s">
        <v>108</v>
      </c>
      <c r="E920" s="1" t="s">
        <v>28</v>
      </c>
      <c r="F920" s="1" t="s">
        <v>20</v>
      </c>
      <c r="G920" s="1" t="s">
        <v>1625</v>
      </c>
      <c r="H920" s="1" t="s">
        <v>30</v>
      </c>
      <c r="I920" s="1" t="s">
        <v>31</v>
      </c>
      <c r="J920" s="1" t="s">
        <v>32</v>
      </c>
      <c r="K920" s="1" t="s">
        <v>72</v>
      </c>
      <c r="L920" s="1" t="s">
        <v>992</v>
      </c>
      <c r="M920">
        <v>5</v>
      </c>
      <c r="N920">
        <v>0</v>
      </c>
      <c r="O920">
        <v>13.208</v>
      </c>
      <c r="P920">
        <v>50.8</v>
      </c>
      <c r="Q920">
        <v>37.591999999999999</v>
      </c>
    </row>
    <row r="921" spans="1:17" x14ac:dyDescent="0.25">
      <c r="A921" s="2">
        <v>41905</v>
      </c>
      <c r="B921" s="2">
        <v>41910</v>
      </c>
      <c r="C921" s="1" t="s">
        <v>35</v>
      </c>
      <c r="D921" s="1" t="s">
        <v>814</v>
      </c>
      <c r="E921" s="1" t="s">
        <v>28</v>
      </c>
      <c r="F921" s="1" t="s">
        <v>20</v>
      </c>
      <c r="G921" s="1" t="s">
        <v>345</v>
      </c>
      <c r="H921" s="1" t="s">
        <v>30</v>
      </c>
      <c r="I921" s="1" t="s">
        <v>31</v>
      </c>
      <c r="J921" s="1" t="s">
        <v>24</v>
      </c>
      <c r="K921" s="1" t="s">
        <v>25</v>
      </c>
      <c r="L921" s="1" t="s">
        <v>1626</v>
      </c>
      <c r="M921">
        <v>3</v>
      </c>
      <c r="N921">
        <v>0.15</v>
      </c>
      <c r="O921">
        <v>20.517600000000002</v>
      </c>
      <c r="P921">
        <v>435.99900000000002</v>
      </c>
      <c r="Q921">
        <v>415.48140000000001</v>
      </c>
    </row>
    <row r="922" spans="1:17" x14ac:dyDescent="0.25">
      <c r="A922" s="2">
        <v>42159</v>
      </c>
      <c r="B922" s="2">
        <v>42163</v>
      </c>
      <c r="C922" s="1" t="s">
        <v>17</v>
      </c>
      <c r="D922" s="1" t="s">
        <v>1080</v>
      </c>
      <c r="E922" s="1" t="s">
        <v>55</v>
      </c>
      <c r="F922" s="1" t="s">
        <v>20</v>
      </c>
      <c r="G922" s="1" t="s">
        <v>126</v>
      </c>
      <c r="H922" s="1" t="s">
        <v>127</v>
      </c>
      <c r="I922" s="1" t="s">
        <v>81</v>
      </c>
      <c r="J922" s="1" t="s">
        <v>32</v>
      </c>
      <c r="K922" s="1" t="s">
        <v>47</v>
      </c>
      <c r="L922" s="1" t="s">
        <v>346</v>
      </c>
      <c r="M922">
        <v>4</v>
      </c>
      <c r="N922">
        <v>0</v>
      </c>
      <c r="O922">
        <v>14.306800000000001</v>
      </c>
      <c r="P922">
        <v>30.44</v>
      </c>
      <c r="Q922">
        <v>16.133200000000002</v>
      </c>
    </row>
    <row r="923" spans="1:17" x14ac:dyDescent="0.25">
      <c r="A923" s="2">
        <v>41670</v>
      </c>
      <c r="B923" s="2">
        <v>41672</v>
      </c>
      <c r="C923" s="1" t="s">
        <v>107</v>
      </c>
      <c r="D923" s="1" t="s">
        <v>1627</v>
      </c>
      <c r="E923" s="1" t="s">
        <v>19</v>
      </c>
      <c r="F923" s="1" t="s">
        <v>20</v>
      </c>
      <c r="G923" s="1" t="s">
        <v>676</v>
      </c>
      <c r="H923" s="1" t="s">
        <v>30</v>
      </c>
      <c r="I923" s="1" t="s">
        <v>31</v>
      </c>
      <c r="J923" s="1" t="s">
        <v>24</v>
      </c>
      <c r="K923" s="1" t="s">
        <v>25</v>
      </c>
      <c r="L923" s="1" t="s">
        <v>1628</v>
      </c>
      <c r="M923">
        <v>2</v>
      </c>
      <c r="N923">
        <v>0.15</v>
      </c>
      <c r="O923">
        <v>3.4196</v>
      </c>
      <c r="P923">
        <v>290.666</v>
      </c>
      <c r="Q923">
        <v>287.24639999999999</v>
      </c>
    </row>
    <row r="924" spans="1:17" x14ac:dyDescent="0.25">
      <c r="A924" s="2">
        <v>42819</v>
      </c>
      <c r="B924" s="2">
        <v>42824</v>
      </c>
      <c r="C924" s="1" t="s">
        <v>17</v>
      </c>
      <c r="D924" s="1" t="s">
        <v>1629</v>
      </c>
      <c r="E924" s="1" t="s">
        <v>19</v>
      </c>
      <c r="F924" s="1" t="s">
        <v>20</v>
      </c>
      <c r="G924" s="1" t="s">
        <v>309</v>
      </c>
      <c r="H924" s="1" t="s">
        <v>57</v>
      </c>
      <c r="I924" s="1" t="s">
        <v>58</v>
      </c>
      <c r="J924" s="1" t="s">
        <v>32</v>
      </c>
      <c r="K924" s="1" t="s">
        <v>47</v>
      </c>
      <c r="L924" s="1" t="s">
        <v>1630</v>
      </c>
      <c r="M924">
        <v>2</v>
      </c>
      <c r="N924">
        <v>0.2</v>
      </c>
      <c r="O924">
        <v>2.14</v>
      </c>
      <c r="P924">
        <v>6.8479999999999999</v>
      </c>
      <c r="Q924">
        <v>4.7080000000000002</v>
      </c>
    </row>
    <row r="925" spans="1:17" x14ac:dyDescent="0.25">
      <c r="A925" s="2">
        <v>41860</v>
      </c>
      <c r="B925" s="2">
        <v>41864</v>
      </c>
      <c r="C925" s="1" t="s">
        <v>35</v>
      </c>
      <c r="D925" s="1" t="s">
        <v>955</v>
      </c>
      <c r="E925" s="1" t="s">
        <v>55</v>
      </c>
      <c r="F925" s="1" t="s">
        <v>20</v>
      </c>
      <c r="G925" s="1" t="s">
        <v>50</v>
      </c>
      <c r="H925" s="1" t="s">
        <v>51</v>
      </c>
      <c r="I925" s="1" t="s">
        <v>31</v>
      </c>
      <c r="J925" s="1" t="s">
        <v>99</v>
      </c>
      <c r="K925" s="1" t="s">
        <v>100</v>
      </c>
      <c r="L925" s="1" t="s">
        <v>784</v>
      </c>
      <c r="M925">
        <v>4</v>
      </c>
      <c r="N925">
        <v>0.2</v>
      </c>
      <c r="O925">
        <v>68.197999999999993</v>
      </c>
      <c r="P925">
        <v>1091.1679999999999</v>
      </c>
      <c r="Q925">
        <v>1022.9699999999999</v>
      </c>
    </row>
    <row r="926" spans="1:17" x14ac:dyDescent="0.25">
      <c r="A926" s="2">
        <v>42917</v>
      </c>
      <c r="B926" s="2">
        <v>42924</v>
      </c>
      <c r="C926" s="1" t="s">
        <v>35</v>
      </c>
      <c r="D926" s="1" t="s">
        <v>1381</v>
      </c>
      <c r="E926" s="1" t="s">
        <v>55</v>
      </c>
      <c r="F926" s="1" t="s">
        <v>20</v>
      </c>
      <c r="G926" s="1" t="s">
        <v>1410</v>
      </c>
      <c r="H926" s="1" t="s">
        <v>123</v>
      </c>
      <c r="I926" s="1" t="s">
        <v>58</v>
      </c>
      <c r="J926" s="1" t="s">
        <v>32</v>
      </c>
      <c r="K926" s="1" t="s">
        <v>64</v>
      </c>
      <c r="L926" s="1" t="s">
        <v>1542</v>
      </c>
      <c r="M926">
        <v>4</v>
      </c>
      <c r="N926">
        <v>0</v>
      </c>
      <c r="O926">
        <v>13.317600000000001</v>
      </c>
      <c r="P926">
        <v>443.92</v>
      </c>
      <c r="Q926">
        <v>430.60239999999999</v>
      </c>
    </row>
    <row r="927" spans="1:17" x14ac:dyDescent="0.25">
      <c r="A927" s="2">
        <v>41752</v>
      </c>
      <c r="B927" s="2">
        <v>41756</v>
      </c>
      <c r="C927" s="1" t="s">
        <v>35</v>
      </c>
      <c r="D927" s="1" t="s">
        <v>1631</v>
      </c>
      <c r="E927" s="1" t="s">
        <v>55</v>
      </c>
      <c r="F927" s="1" t="s">
        <v>20</v>
      </c>
      <c r="G927" s="1" t="s">
        <v>213</v>
      </c>
      <c r="H927" s="1" t="s">
        <v>214</v>
      </c>
      <c r="I927" s="1" t="s">
        <v>81</v>
      </c>
      <c r="J927" s="1" t="s">
        <v>24</v>
      </c>
      <c r="K927" s="1" t="s">
        <v>82</v>
      </c>
      <c r="L927" s="1" t="s">
        <v>343</v>
      </c>
      <c r="M927">
        <v>2</v>
      </c>
      <c r="N927">
        <v>0.3</v>
      </c>
      <c r="O927">
        <v>-12.0588</v>
      </c>
      <c r="P927">
        <v>281.37200000000001</v>
      </c>
      <c r="Q927">
        <v>293.43080000000003</v>
      </c>
    </row>
    <row r="928" spans="1:17" x14ac:dyDescent="0.25">
      <c r="A928" s="2">
        <v>42633</v>
      </c>
      <c r="B928" s="2">
        <v>42637</v>
      </c>
      <c r="C928" s="1" t="s">
        <v>35</v>
      </c>
      <c r="D928" s="1" t="s">
        <v>1632</v>
      </c>
      <c r="E928" s="1" t="s">
        <v>28</v>
      </c>
      <c r="F928" s="1" t="s">
        <v>20</v>
      </c>
      <c r="G928" s="1" t="s">
        <v>71</v>
      </c>
      <c r="H928" s="1" t="s">
        <v>30</v>
      </c>
      <c r="I928" s="1" t="s">
        <v>31</v>
      </c>
      <c r="J928" s="1" t="s">
        <v>32</v>
      </c>
      <c r="K928" s="1" t="s">
        <v>47</v>
      </c>
      <c r="L928" s="1" t="s">
        <v>1633</v>
      </c>
      <c r="M928">
        <v>9</v>
      </c>
      <c r="N928">
        <v>0</v>
      </c>
      <c r="O928">
        <v>30.263400000000001</v>
      </c>
      <c r="P928">
        <v>65.790000000000006</v>
      </c>
      <c r="Q928">
        <v>35.526600000000002</v>
      </c>
    </row>
    <row r="929" spans="1:17" x14ac:dyDescent="0.25">
      <c r="A929" s="2">
        <v>42253</v>
      </c>
      <c r="B929" s="2">
        <v>42260</v>
      </c>
      <c r="C929" s="1" t="s">
        <v>35</v>
      </c>
      <c r="D929" s="1" t="s">
        <v>683</v>
      </c>
      <c r="E929" s="1" t="s">
        <v>55</v>
      </c>
      <c r="F929" s="1" t="s">
        <v>20</v>
      </c>
      <c r="G929" s="1" t="s">
        <v>126</v>
      </c>
      <c r="H929" s="1" t="s">
        <v>127</v>
      </c>
      <c r="I929" s="1" t="s">
        <v>81</v>
      </c>
      <c r="J929" s="1" t="s">
        <v>24</v>
      </c>
      <c r="K929" s="1" t="s">
        <v>82</v>
      </c>
      <c r="L929" s="1" t="s">
        <v>811</v>
      </c>
      <c r="M929">
        <v>2</v>
      </c>
      <c r="N929">
        <v>0.1</v>
      </c>
      <c r="O929">
        <v>60.392000000000003</v>
      </c>
      <c r="P929">
        <v>271.76400000000001</v>
      </c>
      <c r="Q929">
        <v>211.37200000000001</v>
      </c>
    </row>
    <row r="930" spans="1:17" x14ac:dyDescent="0.25">
      <c r="A930" s="2">
        <v>42580</v>
      </c>
      <c r="B930" s="2">
        <v>42584</v>
      </c>
      <c r="C930" s="1" t="s">
        <v>35</v>
      </c>
      <c r="D930" s="1" t="s">
        <v>1634</v>
      </c>
      <c r="E930" s="1" t="s">
        <v>28</v>
      </c>
      <c r="F930" s="1" t="s">
        <v>20</v>
      </c>
      <c r="G930" s="1" t="s">
        <v>79</v>
      </c>
      <c r="H930" s="1" t="s">
        <v>80</v>
      </c>
      <c r="I930" s="1" t="s">
        <v>81</v>
      </c>
      <c r="J930" s="1" t="s">
        <v>32</v>
      </c>
      <c r="K930" s="1" t="s">
        <v>64</v>
      </c>
      <c r="L930" s="1" t="s">
        <v>116</v>
      </c>
      <c r="M930">
        <v>2</v>
      </c>
      <c r="N930">
        <v>0.2</v>
      </c>
      <c r="O930">
        <v>-16.956800000000001</v>
      </c>
      <c r="P930">
        <v>84.784000000000006</v>
      </c>
      <c r="Q930">
        <v>101.74080000000001</v>
      </c>
    </row>
    <row r="931" spans="1:17" x14ac:dyDescent="0.25">
      <c r="A931" s="2">
        <v>42588</v>
      </c>
      <c r="B931" s="2">
        <v>42589</v>
      </c>
      <c r="C931" s="1" t="s">
        <v>107</v>
      </c>
      <c r="D931" s="1" t="s">
        <v>1635</v>
      </c>
      <c r="E931" s="1" t="s">
        <v>28</v>
      </c>
      <c r="F931" s="1" t="s">
        <v>20</v>
      </c>
      <c r="G931" s="1" t="s">
        <v>126</v>
      </c>
      <c r="H931" s="1" t="s">
        <v>127</v>
      </c>
      <c r="I931" s="1" t="s">
        <v>81</v>
      </c>
      <c r="J931" s="1" t="s">
        <v>32</v>
      </c>
      <c r="K931" s="1" t="s">
        <v>47</v>
      </c>
      <c r="L931" s="1" t="s">
        <v>92</v>
      </c>
      <c r="M931">
        <v>2</v>
      </c>
      <c r="N931">
        <v>0</v>
      </c>
      <c r="O931">
        <v>33.313600000000001</v>
      </c>
      <c r="P931">
        <v>70.88</v>
      </c>
      <c r="Q931">
        <v>37.566399999999994</v>
      </c>
    </row>
    <row r="932" spans="1:17" x14ac:dyDescent="0.25">
      <c r="A932" s="2">
        <v>42650</v>
      </c>
      <c r="B932" s="2">
        <v>42656</v>
      </c>
      <c r="C932" s="1" t="s">
        <v>35</v>
      </c>
      <c r="D932" s="1" t="s">
        <v>1636</v>
      </c>
      <c r="E932" s="1" t="s">
        <v>19</v>
      </c>
      <c r="F932" s="1" t="s">
        <v>20</v>
      </c>
      <c r="G932" s="1" t="s">
        <v>29</v>
      </c>
      <c r="H932" s="1" t="s">
        <v>30</v>
      </c>
      <c r="I932" s="1" t="s">
        <v>31</v>
      </c>
      <c r="J932" s="1" t="s">
        <v>32</v>
      </c>
      <c r="K932" s="1" t="s">
        <v>52</v>
      </c>
      <c r="L932" s="1" t="s">
        <v>1637</v>
      </c>
      <c r="M932">
        <v>2</v>
      </c>
      <c r="N932">
        <v>0.2</v>
      </c>
      <c r="O932">
        <v>8.8607999999999993</v>
      </c>
      <c r="P932">
        <v>27.263999999999999</v>
      </c>
      <c r="Q932">
        <v>18.403199999999998</v>
      </c>
    </row>
    <row r="933" spans="1:17" x14ac:dyDescent="0.25">
      <c r="A933" s="2">
        <v>41890</v>
      </c>
      <c r="B933" s="2">
        <v>41896</v>
      </c>
      <c r="C933" s="1" t="s">
        <v>35</v>
      </c>
      <c r="D933" s="1" t="s">
        <v>1213</v>
      </c>
      <c r="E933" s="1" t="s">
        <v>55</v>
      </c>
      <c r="F933" s="1" t="s">
        <v>20</v>
      </c>
      <c r="G933" s="1" t="s">
        <v>71</v>
      </c>
      <c r="H933" s="1" t="s">
        <v>30</v>
      </c>
      <c r="I933" s="1" t="s">
        <v>31</v>
      </c>
      <c r="J933" s="1" t="s">
        <v>32</v>
      </c>
      <c r="K933" s="1" t="s">
        <v>59</v>
      </c>
      <c r="L933" s="1" t="s">
        <v>1638</v>
      </c>
      <c r="M933">
        <v>5</v>
      </c>
      <c r="N933">
        <v>0</v>
      </c>
      <c r="O933">
        <v>24.359500000000001</v>
      </c>
      <c r="P933">
        <v>56.65</v>
      </c>
      <c r="Q933">
        <v>32.290499999999994</v>
      </c>
    </row>
    <row r="934" spans="1:17" x14ac:dyDescent="0.25">
      <c r="A934" s="2">
        <v>42064</v>
      </c>
      <c r="B934" s="2">
        <v>42065</v>
      </c>
      <c r="C934" s="1" t="s">
        <v>17</v>
      </c>
      <c r="D934" s="1" t="s">
        <v>1639</v>
      </c>
      <c r="E934" s="1" t="s">
        <v>19</v>
      </c>
      <c r="F934" s="1" t="s">
        <v>20</v>
      </c>
      <c r="G934" s="1" t="s">
        <v>1063</v>
      </c>
      <c r="H934" s="1" t="s">
        <v>429</v>
      </c>
      <c r="I934" s="1" t="s">
        <v>23</v>
      </c>
      <c r="J934" s="1" t="s">
        <v>32</v>
      </c>
      <c r="K934" s="1" t="s">
        <v>52</v>
      </c>
      <c r="L934" s="1" t="s">
        <v>1640</v>
      </c>
      <c r="M934">
        <v>4</v>
      </c>
      <c r="N934">
        <v>0</v>
      </c>
      <c r="O934">
        <v>27.011199999999999</v>
      </c>
      <c r="P934">
        <v>58.72</v>
      </c>
      <c r="Q934">
        <v>31.7088</v>
      </c>
    </row>
    <row r="935" spans="1:17" x14ac:dyDescent="0.25">
      <c r="A935" s="2">
        <v>42194</v>
      </c>
      <c r="B935" s="2">
        <v>42199</v>
      </c>
      <c r="C935" s="1" t="s">
        <v>35</v>
      </c>
      <c r="D935" s="1" t="s">
        <v>84</v>
      </c>
      <c r="E935" s="1" t="s">
        <v>19</v>
      </c>
      <c r="F935" s="1" t="s">
        <v>20</v>
      </c>
      <c r="G935" s="1" t="s">
        <v>1641</v>
      </c>
      <c r="H935" s="1" t="s">
        <v>152</v>
      </c>
      <c r="I935" s="1" t="s">
        <v>23</v>
      </c>
      <c r="J935" s="1" t="s">
        <v>32</v>
      </c>
      <c r="K935" s="1" t="s">
        <v>72</v>
      </c>
      <c r="L935" s="1" t="s">
        <v>1642</v>
      </c>
      <c r="M935">
        <v>3</v>
      </c>
      <c r="N935">
        <v>0.2</v>
      </c>
      <c r="O935">
        <v>0.83850000000000002</v>
      </c>
      <c r="P935">
        <v>5.16</v>
      </c>
      <c r="Q935">
        <v>4.3215000000000003</v>
      </c>
    </row>
    <row r="936" spans="1:17" x14ac:dyDescent="0.25">
      <c r="A936" s="2">
        <v>42994</v>
      </c>
      <c r="B936" s="2">
        <v>42996</v>
      </c>
      <c r="C936" s="1" t="s">
        <v>107</v>
      </c>
      <c r="D936" s="1" t="s">
        <v>1336</v>
      </c>
      <c r="E936" s="1" t="s">
        <v>19</v>
      </c>
      <c r="F936" s="1" t="s">
        <v>20</v>
      </c>
      <c r="G936" s="1" t="s">
        <v>79</v>
      </c>
      <c r="H936" s="1" t="s">
        <v>80</v>
      </c>
      <c r="I936" s="1" t="s">
        <v>81</v>
      </c>
      <c r="J936" s="1" t="s">
        <v>99</v>
      </c>
      <c r="K936" s="1" t="s">
        <v>111</v>
      </c>
      <c r="L936" s="1" t="s">
        <v>1330</v>
      </c>
      <c r="M936">
        <v>3</v>
      </c>
      <c r="N936">
        <v>0.2</v>
      </c>
      <c r="O936">
        <v>19.793399999999998</v>
      </c>
      <c r="P936">
        <v>71.975999999999999</v>
      </c>
      <c r="Q936">
        <v>52.182600000000001</v>
      </c>
    </row>
    <row r="937" spans="1:17" x14ac:dyDescent="0.25">
      <c r="A937" s="2">
        <v>42797</v>
      </c>
      <c r="B937" s="2">
        <v>42804</v>
      </c>
      <c r="C937" s="1" t="s">
        <v>35</v>
      </c>
      <c r="D937" s="1" t="s">
        <v>596</v>
      </c>
      <c r="E937" s="1" t="s">
        <v>19</v>
      </c>
      <c r="F937" s="1" t="s">
        <v>20</v>
      </c>
      <c r="G937" s="1" t="s">
        <v>1643</v>
      </c>
      <c r="H937" s="1" t="s">
        <v>115</v>
      </c>
      <c r="I937" s="1" t="s">
        <v>58</v>
      </c>
      <c r="J937" s="1" t="s">
        <v>24</v>
      </c>
      <c r="K937" s="1" t="s">
        <v>82</v>
      </c>
      <c r="L937" s="1" t="s">
        <v>1644</v>
      </c>
      <c r="M937">
        <v>1</v>
      </c>
      <c r="N937">
        <v>0</v>
      </c>
      <c r="O937">
        <v>47.0548</v>
      </c>
      <c r="P937">
        <v>180.98</v>
      </c>
      <c r="Q937">
        <v>133.92519999999999</v>
      </c>
    </row>
    <row r="938" spans="1:17" x14ac:dyDescent="0.25">
      <c r="A938" s="2">
        <v>42664</v>
      </c>
      <c r="B938" s="2">
        <v>42669</v>
      </c>
      <c r="C938" s="1" t="s">
        <v>35</v>
      </c>
      <c r="D938" s="1" t="s">
        <v>1206</v>
      </c>
      <c r="E938" s="1" t="s">
        <v>28</v>
      </c>
      <c r="F938" s="1" t="s">
        <v>20</v>
      </c>
      <c r="G938" s="1" t="s">
        <v>240</v>
      </c>
      <c r="H938" s="1" t="s">
        <v>119</v>
      </c>
      <c r="I938" s="1" t="s">
        <v>81</v>
      </c>
      <c r="J938" s="1" t="s">
        <v>32</v>
      </c>
      <c r="K938" s="1" t="s">
        <v>52</v>
      </c>
      <c r="L938" s="1" t="s">
        <v>1645</v>
      </c>
      <c r="M938">
        <v>4</v>
      </c>
      <c r="N938">
        <v>0</v>
      </c>
      <c r="O938">
        <v>3.5640000000000001</v>
      </c>
      <c r="P938">
        <v>7.92</v>
      </c>
      <c r="Q938">
        <v>4.3559999999999999</v>
      </c>
    </row>
    <row r="939" spans="1:17" x14ac:dyDescent="0.25">
      <c r="A939" s="2">
        <v>42187</v>
      </c>
      <c r="B939" s="2">
        <v>42191</v>
      </c>
      <c r="C939" s="1" t="s">
        <v>35</v>
      </c>
      <c r="D939" s="1" t="s">
        <v>1646</v>
      </c>
      <c r="E939" s="1" t="s">
        <v>19</v>
      </c>
      <c r="F939" s="1" t="s">
        <v>20</v>
      </c>
      <c r="G939" s="1" t="s">
        <v>1647</v>
      </c>
      <c r="H939" s="1" t="s">
        <v>98</v>
      </c>
      <c r="I939" s="1" t="s">
        <v>58</v>
      </c>
      <c r="J939" s="1" t="s">
        <v>24</v>
      </c>
      <c r="K939" s="1" t="s">
        <v>82</v>
      </c>
      <c r="L939" s="1" t="s">
        <v>915</v>
      </c>
      <c r="M939">
        <v>2</v>
      </c>
      <c r="N939">
        <v>0.3</v>
      </c>
      <c r="O939">
        <v>-5.8346</v>
      </c>
      <c r="P939">
        <v>408.42200000000003</v>
      </c>
      <c r="Q939">
        <v>414.25660000000005</v>
      </c>
    </row>
    <row r="940" spans="1:17" x14ac:dyDescent="0.25">
      <c r="A940" s="2">
        <v>43002</v>
      </c>
      <c r="B940" s="2">
        <v>43006</v>
      </c>
      <c r="C940" s="1" t="s">
        <v>35</v>
      </c>
      <c r="D940" s="1" t="s">
        <v>586</v>
      </c>
      <c r="E940" s="1" t="s">
        <v>28</v>
      </c>
      <c r="F940" s="1" t="s">
        <v>20</v>
      </c>
      <c r="G940" s="1" t="s">
        <v>1648</v>
      </c>
      <c r="H940" s="1" t="s">
        <v>110</v>
      </c>
      <c r="I940" s="1" t="s">
        <v>58</v>
      </c>
      <c r="J940" s="1" t="s">
        <v>99</v>
      </c>
      <c r="K940" s="1" t="s">
        <v>111</v>
      </c>
      <c r="L940" s="1" t="s">
        <v>1649</v>
      </c>
      <c r="M940">
        <v>4</v>
      </c>
      <c r="N940">
        <v>0</v>
      </c>
      <c r="O940">
        <v>12.96</v>
      </c>
      <c r="P940">
        <v>72</v>
      </c>
      <c r="Q940">
        <v>59.04</v>
      </c>
    </row>
    <row r="941" spans="1:17" x14ac:dyDescent="0.25">
      <c r="A941" s="2">
        <v>42835</v>
      </c>
      <c r="B941" s="2">
        <v>42835</v>
      </c>
      <c r="C941" s="1" t="s">
        <v>434</v>
      </c>
      <c r="D941" s="1" t="s">
        <v>1650</v>
      </c>
      <c r="E941" s="1" t="s">
        <v>19</v>
      </c>
      <c r="F941" s="1" t="s">
        <v>20</v>
      </c>
      <c r="G941" s="1" t="s">
        <v>419</v>
      </c>
      <c r="H941" s="1" t="s">
        <v>57</v>
      </c>
      <c r="I941" s="1" t="s">
        <v>58</v>
      </c>
      <c r="J941" s="1" t="s">
        <v>32</v>
      </c>
      <c r="K941" s="1" t="s">
        <v>47</v>
      </c>
      <c r="L941" s="1" t="s">
        <v>1651</v>
      </c>
      <c r="M941">
        <v>2</v>
      </c>
      <c r="N941">
        <v>0.2</v>
      </c>
      <c r="O941">
        <v>3.6288</v>
      </c>
      <c r="P941">
        <v>10.368</v>
      </c>
      <c r="Q941">
        <v>6.7392000000000003</v>
      </c>
    </row>
    <row r="942" spans="1:17" x14ac:dyDescent="0.25">
      <c r="A942" s="2">
        <v>42698</v>
      </c>
      <c r="B942" s="2">
        <v>42702</v>
      </c>
      <c r="C942" s="1" t="s">
        <v>35</v>
      </c>
      <c r="D942" s="1" t="s">
        <v>1652</v>
      </c>
      <c r="E942" s="1" t="s">
        <v>19</v>
      </c>
      <c r="F942" s="1" t="s">
        <v>20</v>
      </c>
      <c r="G942" s="1" t="s">
        <v>309</v>
      </c>
      <c r="H942" s="1" t="s">
        <v>57</v>
      </c>
      <c r="I942" s="1" t="s">
        <v>58</v>
      </c>
      <c r="J942" s="1" t="s">
        <v>99</v>
      </c>
      <c r="K942" s="1" t="s">
        <v>100</v>
      </c>
      <c r="L942" s="1" t="s">
        <v>1653</v>
      </c>
      <c r="M942">
        <v>6</v>
      </c>
      <c r="N942">
        <v>0.2</v>
      </c>
      <c r="O942">
        <v>49.316400000000002</v>
      </c>
      <c r="P942">
        <v>657.55200000000002</v>
      </c>
      <c r="Q942">
        <v>608.23559999999998</v>
      </c>
    </row>
    <row r="943" spans="1:17" x14ac:dyDescent="0.25">
      <c r="A943" s="2">
        <v>41747</v>
      </c>
      <c r="B943" s="2">
        <v>41752</v>
      </c>
      <c r="C943" s="1" t="s">
        <v>35</v>
      </c>
      <c r="D943" s="1" t="s">
        <v>675</v>
      </c>
      <c r="E943" s="1" t="s">
        <v>19</v>
      </c>
      <c r="F943" s="1" t="s">
        <v>20</v>
      </c>
      <c r="G943" s="1" t="s">
        <v>29</v>
      </c>
      <c r="H943" s="1" t="s">
        <v>30</v>
      </c>
      <c r="I943" s="1" t="s">
        <v>31</v>
      </c>
      <c r="J943" s="1" t="s">
        <v>99</v>
      </c>
      <c r="K943" s="1" t="s">
        <v>354</v>
      </c>
      <c r="L943" s="1" t="s">
        <v>1654</v>
      </c>
      <c r="M943">
        <v>4</v>
      </c>
      <c r="N943">
        <v>0.2</v>
      </c>
      <c r="O943">
        <v>97.1892</v>
      </c>
      <c r="P943">
        <v>287.96800000000002</v>
      </c>
      <c r="Q943">
        <v>190.77880000000002</v>
      </c>
    </row>
    <row r="944" spans="1:17" x14ac:dyDescent="0.25">
      <c r="A944" s="2">
        <v>41768</v>
      </c>
      <c r="B944" s="2">
        <v>41768</v>
      </c>
      <c r="C944" s="1" t="s">
        <v>434</v>
      </c>
      <c r="D944" s="1" t="s">
        <v>353</v>
      </c>
      <c r="E944" s="1" t="s">
        <v>28</v>
      </c>
      <c r="F944" s="1" t="s">
        <v>20</v>
      </c>
      <c r="G944" s="1" t="s">
        <v>21</v>
      </c>
      <c r="H944" s="1" t="s">
        <v>22</v>
      </c>
      <c r="I944" s="1" t="s">
        <v>23</v>
      </c>
      <c r="J944" s="1" t="s">
        <v>32</v>
      </c>
      <c r="K944" s="1" t="s">
        <v>64</v>
      </c>
      <c r="L944" s="1" t="s">
        <v>69</v>
      </c>
      <c r="M944">
        <v>3</v>
      </c>
      <c r="N944">
        <v>0</v>
      </c>
      <c r="O944">
        <v>14.984999999999999</v>
      </c>
      <c r="P944">
        <v>83.25</v>
      </c>
      <c r="Q944">
        <v>68.265000000000001</v>
      </c>
    </row>
    <row r="945" spans="1:17" x14ac:dyDescent="0.25">
      <c r="A945" s="2">
        <v>43038</v>
      </c>
      <c r="B945" s="2">
        <v>43040</v>
      </c>
      <c r="C945" s="1" t="s">
        <v>107</v>
      </c>
      <c r="D945" s="1" t="s">
        <v>735</v>
      </c>
      <c r="E945" s="1" t="s">
        <v>55</v>
      </c>
      <c r="F945" s="1" t="s">
        <v>20</v>
      </c>
      <c r="G945" s="1" t="s">
        <v>496</v>
      </c>
      <c r="H945" s="1" t="s">
        <v>22</v>
      </c>
      <c r="I945" s="1" t="s">
        <v>23</v>
      </c>
      <c r="J945" s="1" t="s">
        <v>32</v>
      </c>
      <c r="K945" s="1" t="s">
        <v>64</v>
      </c>
      <c r="L945" s="1" t="s">
        <v>585</v>
      </c>
      <c r="M945">
        <v>7</v>
      </c>
      <c r="N945">
        <v>0</v>
      </c>
      <c r="O945">
        <v>4.2392000000000003</v>
      </c>
      <c r="P945">
        <v>105.98</v>
      </c>
      <c r="Q945">
        <v>101.74080000000001</v>
      </c>
    </row>
    <row r="946" spans="1:17" x14ac:dyDescent="0.25">
      <c r="A946" s="2">
        <v>42458</v>
      </c>
      <c r="B946" s="2">
        <v>42462</v>
      </c>
      <c r="C946" s="1" t="s">
        <v>17</v>
      </c>
      <c r="D946" s="1" t="s">
        <v>1566</v>
      </c>
      <c r="E946" s="1" t="s">
        <v>55</v>
      </c>
      <c r="F946" s="1" t="s">
        <v>20</v>
      </c>
      <c r="G946" s="1" t="s">
        <v>136</v>
      </c>
      <c r="H946" s="1" t="s">
        <v>98</v>
      </c>
      <c r="I946" s="1" t="s">
        <v>58</v>
      </c>
      <c r="J946" s="1" t="s">
        <v>32</v>
      </c>
      <c r="K946" s="1" t="s">
        <v>47</v>
      </c>
      <c r="L946" s="1" t="s">
        <v>1355</v>
      </c>
      <c r="M946">
        <v>3</v>
      </c>
      <c r="N946">
        <v>0.2</v>
      </c>
      <c r="O946">
        <v>15.934799999999999</v>
      </c>
      <c r="P946">
        <v>45.527999999999999</v>
      </c>
      <c r="Q946">
        <v>29.5932</v>
      </c>
    </row>
    <row r="947" spans="1:17" x14ac:dyDescent="0.25">
      <c r="A947" s="2">
        <v>42982</v>
      </c>
      <c r="B947" s="2">
        <v>42987</v>
      </c>
      <c r="C947" s="1" t="s">
        <v>17</v>
      </c>
      <c r="D947" s="1" t="s">
        <v>1215</v>
      </c>
      <c r="E947" s="1" t="s">
        <v>19</v>
      </c>
      <c r="F947" s="1" t="s">
        <v>20</v>
      </c>
      <c r="G947" s="1" t="s">
        <v>303</v>
      </c>
      <c r="H947" s="1" t="s">
        <v>214</v>
      </c>
      <c r="I947" s="1" t="s">
        <v>81</v>
      </c>
      <c r="J947" s="1" t="s">
        <v>32</v>
      </c>
      <c r="K947" s="1" t="s">
        <v>72</v>
      </c>
      <c r="L947" s="1" t="s">
        <v>1655</v>
      </c>
      <c r="M947">
        <v>4</v>
      </c>
      <c r="N947">
        <v>0.2</v>
      </c>
      <c r="O947">
        <v>0.61919999999999997</v>
      </c>
      <c r="P947">
        <v>8.2560000000000002</v>
      </c>
      <c r="Q947">
        <v>7.6368</v>
      </c>
    </row>
    <row r="948" spans="1:17" x14ac:dyDescent="0.25">
      <c r="A948" s="2">
        <v>42554</v>
      </c>
      <c r="B948" s="2">
        <v>42557</v>
      </c>
      <c r="C948" s="1" t="s">
        <v>107</v>
      </c>
      <c r="D948" s="1" t="s">
        <v>438</v>
      </c>
      <c r="E948" s="1" t="s">
        <v>19</v>
      </c>
      <c r="F948" s="1" t="s">
        <v>20</v>
      </c>
      <c r="G948" s="1" t="s">
        <v>29</v>
      </c>
      <c r="H948" s="1" t="s">
        <v>30</v>
      </c>
      <c r="I948" s="1" t="s">
        <v>31</v>
      </c>
      <c r="J948" s="1" t="s">
        <v>32</v>
      </c>
      <c r="K948" s="1" t="s">
        <v>47</v>
      </c>
      <c r="L948" s="1" t="s">
        <v>1656</v>
      </c>
      <c r="M948">
        <v>2</v>
      </c>
      <c r="N948">
        <v>0</v>
      </c>
      <c r="O948">
        <v>6.2207999999999997</v>
      </c>
      <c r="P948">
        <v>12.96</v>
      </c>
      <c r="Q948">
        <v>6.7392000000000012</v>
      </c>
    </row>
    <row r="949" spans="1:17" x14ac:dyDescent="0.25">
      <c r="A949" s="2">
        <v>42985</v>
      </c>
      <c r="B949" s="2">
        <v>42992</v>
      </c>
      <c r="C949" s="1" t="s">
        <v>35</v>
      </c>
      <c r="D949" s="1" t="s">
        <v>1657</v>
      </c>
      <c r="E949" s="1" t="s">
        <v>55</v>
      </c>
      <c r="F949" s="1" t="s">
        <v>20</v>
      </c>
      <c r="G949" s="1" t="s">
        <v>234</v>
      </c>
      <c r="H949" s="1" t="s">
        <v>235</v>
      </c>
      <c r="I949" s="1" t="s">
        <v>58</v>
      </c>
      <c r="J949" s="1" t="s">
        <v>32</v>
      </c>
      <c r="K949" s="1" t="s">
        <v>52</v>
      </c>
      <c r="L949" s="1" t="s">
        <v>220</v>
      </c>
      <c r="M949">
        <v>3</v>
      </c>
      <c r="N949">
        <v>0</v>
      </c>
      <c r="O949">
        <v>757.41120000000001</v>
      </c>
      <c r="P949">
        <v>1577.94</v>
      </c>
      <c r="Q949">
        <v>820.52880000000005</v>
      </c>
    </row>
    <row r="950" spans="1:17" x14ac:dyDescent="0.25">
      <c r="A950" s="2">
        <v>42954</v>
      </c>
      <c r="B950" s="2">
        <v>42959</v>
      </c>
      <c r="C950" s="1" t="s">
        <v>35</v>
      </c>
      <c r="D950" s="1" t="s">
        <v>1658</v>
      </c>
      <c r="E950" s="1" t="s">
        <v>19</v>
      </c>
      <c r="F950" s="1" t="s">
        <v>20</v>
      </c>
      <c r="G950" s="1" t="s">
        <v>400</v>
      </c>
      <c r="H950" s="1" t="s">
        <v>127</v>
      </c>
      <c r="I950" s="1" t="s">
        <v>81</v>
      </c>
      <c r="J950" s="1" t="s">
        <v>32</v>
      </c>
      <c r="K950" s="1" t="s">
        <v>72</v>
      </c>
      <c r="L950" s="1" t="s">
        <v>1659</v>
      </c>
      <c r="M950">
        <v>2</v>
      </c>
      <c r="N950">
        <v>0</v>
      </c>
      <c r="O950">
        <v>5.4896000000000003</v>
      </c>
      <c r="P950">
        <v>11.68</v>
      </c>
      <c r="Q950">
        <v>6.1903999999999995</v>
      </c>
    </row>
    <row r="951" spans="1:17" x14ac:dyDescent="0.25">
      <c r="A951" s="2">
        <v>42082</v>
      </c>
      <c r="B951" s="2">
        <v>42087</v>
      </c>
      <c r="C951" s="1" t="s">
        <v>35</v>
      </c>
      <c r="D951" s="1" t="s">
        <v>1058</v>
      </c>
      <c r="E951" s="1" t="s">
        <v>19</v>
      </c>
      <c r="F951" s="1" t="s">
        <v>20</v>
      </c>
      <c r="G951" s="1" t="s">
        <v>1660</v>
      </c>
      <c r="H951" s="1" t="s">
        <v>38</v>
      </c>
      <c r="I951" s="1" t="s">
        <v>23</v>
      </c>
      <c r="J951" s="1" t="s">
        <v>32</v>
      </c>
      <c r="K951" s="1" t="s">
        <v>47</v>
      </c>
      <c r="L951" s="1" t="s">
        <v>1661</v>
      </c>
      <c r="M951">
        <v>3</v>
      </c>
      <c r="N951">
        <v>0.2</v>
      </c>
      <c r="O951">
        <v>4.8924000000000003</v>
      </c>
      <c r="P951">
        <v>14.496</v>
      </c>
      <c r="Q951">
        <v>9.6036000000000001</v>
      </c>
    </row>
    <row r="952" spans="1:17" x14ac:dyDescent="0.25">
      <c r="A952" s="2">
        <v>42528</v>
      </c>
      <c r="B952" s="2">
        <v>42532</v>
      </c>
      <c r="C952" s="1" t="s">
        <v>35</v>
      </c>
      <c r="D952" s="1" t="s">
        <v>286</v>
      </c>
      <c r="E952" s="1" t="s">
        <v>55</v>
      </c>
      <c r="F952" s="1" t="s">
        <v>20</v>
      </c>
      <c r="G952" s="1" t="s">
        <v>1529</v>
      </c>
      <c r="H952" s="1" t="s">
        <v>30</v>
      </c>
      <c r="I952" s="1" t="s">
        <v>31</v>
      </c>
      <c r="J952" s="1" t="s">
        <v>32</v>
      </c>
      <c r="K952" s="1" t="s">
        <v>52</v>
      </c>
      <c r="L952" s="1" t="s">
        <v>1662</v>
      </c>
      <c r="M952">
        <v>1</v>
      </c>
      <c r="N952">
        <v>0.2</v>
      </c>
      <c r="O952">
        <v>1.5548</v>
      </c>
      <c r="P952">
        <v>4.7839999999999998</v>
      </c>
      <c r="Q952">
        <v>3.2291999999999996</v>
      </c>
    </row>
    <row r="953" spans="1:17" x14ac:dyDescent="0.25">
      <c r="A953" s="2">
        <v>43009</v>
      </c>
      <c r="B953" s="2">
        <v>43015</v>
      </c>
      <c r="C953" s="1" t="s">
        <v>35</v>
      </c>
      <c r="D953" s="1" t="s">
        <v>216</v>
      </c>
      <c r="E953" s="1" t="s">
        <v>19</v>
      </c>
      <c r="F953" s="1" t="s">
        <v>20</v>
      </c>
      <c r="G953" s="1" t="s">
        <v>75</v>
      </c>
      <c r="H953" s="1" t="s">
        <v>76</v>
      </c>
      <c r="I953" s="1" t="s">
        <v>58</v>
      </c>
      <c r="J953" s="1" t="s">
        <v>32</v>
      </c>
      <c r="K953" s="1" t="s">
        <v>47</v>
      </c>
      <c r="L953" s="1" t="s">
        <v>1188</v>
      </c>
      <c r="M953">
        <v>1</v>
      </c>
      <c r="N953">
        <v>0</v>
      </c>
      <c r="O953">
        <v>50.328000000000003</v>
      </c>
      <c r="P953">
        <v>104.85</v>
      </c>
      <c r="Q953">
        <v>54.521999999999991</v>
      </c>
    </row>
    <row r="954" spans="1:17" x14ac:dyDescent="0.25">
      <c r="A954" s="2">
        <v>42968</v>
      </c>
      <c r="B954" s="2">
        <v>42974</v>
      </c>
      <c r="C954" s="1" t="s">
        <v>35</v>
      </c>
      <c r="D954" s="1" t="s">
        <v>721</v>
      </c>
      <c r="E954" s="1" t="s">
        <v>55</v>
      </c>
      <c r="F954" s="1" t="s">
        <v>20</v>
      </c>
      <c r="G954" s="1" t="s">
        <v>168</v>
      </c>
      <c r="H954" s="1" t="s">
        <v>1024</v>
      </c>
      <c r="I954" s="1" t="s">
        <v>81</v>
      </c>
      <c r="J954" s="1" t="s">
        <v>32</v>
      </c>
      <c r="K954" s="1" t="s">
        <v>47</v>
      </c>
      <c r="L954" s="1" t="s">
        <v>1367</v>
      </c>
      <c r="M954">
        <v>5</v>
      </c>
      <c r="N954">
        <v>0</v>
      </c>
      <c r="O954">
        <v>133.15199999999999</v>
      </c>
      <c r="P954">
        <v>277.39999999999998</v>
      </c>
      <c r="Q954">
        <v>144.24799999999999</v>
      </c>
    </row>
    <row r="955" spans="1:17" x14ac:dyDescent="0.25">
      <c r="A955" s="2">
        <v>42635</v>
      </c>
      <c r="B955" s="2">
        <v>42642</v>
      </c>
      <c r="C955" s="1" t="s">
        <v>35</v>
      </c>
      <c r="D955" s="1" t="s">
        <v>1663</v>
      </c>
      <c r="E955" s="1" t="s">
        <v>28</v>
      </c>
      <c r="F955" s="1" t="s">
        <v>20</v>
      </c>
      <c r="G955" s="1" t="s">
        <v>1129</v>
      </c>
      <c r="H955" s="1" t="s">
        <v>152</v>
      </c>
      <c r="I955" s="1" t="s">
        <v>23</v>
      </c>
      <c r="J955" s="1" t="s">
        <v>32</v>
      </c>
      <c r="K955" s="1" t="s">
        <v>72</v>
      </c>
      <c r="L955" s="1" t="s">
        <v>1503</v>
      </c>
      <c r="M955">
        <v>3</v>
      </c>
      <c r="N955">
        <v>0.2</v>
      </c>
      <c r="O955">
        <v>4.5872999999999999</v>
      </c>
      <c r="P955">
        <v>40.776000000000003</v>
      </c>
      <c r="Q955">
        <v>36.188700000000004</v>
      </c>
    </row>
    <row r="956" spans="1:17" x14ac:dyDescent="0.25">
      <c r="A956" s="2">
        <v>42684</v>
      </c>
      <c r="B956" s="2">
        <v>42688</v>
      </c>
      <c r="C956" s="1" t="s">
        <v>35</v>
      </c>
      <c r="D956" s="1" t="s">
        <v>1128</v>
      </c>
      <c r="E956" s="1" t="s">
        <v>55</v>
      </c>
      <c r="F956" s="1" t="s">
        <v>20</v>
      </c>
      <c r="G956" s="1" t="s">
        <v>143</v>
      </c>
      <c r="H956" s="1" t="s">
        <v>214</v>
      </c>
      <c r="I956" s="1" t="s">
        <v>81</v>
      </c>
      <c r="J956" s="1" t="s">
        <v>32</v>
      </c>
      <c r="K956" s="1" t="s">
        <v>33</v>
      </c>
      <c r="L956" s="1" t="s">
        <v>1450</v>
      </c>
      <c r="M956">
        <v>4</v>
      </c>
      <c r="N956">
        <v>0.2</v>
      </c>
      <c r="O956">
        <v>3.3408000000000002</v>
      </c>
      <c r="P956">
        <v>9.2159999999999993</v>
      </c>
      <c r="Q956">
        <v>5.8751999999999995</v>
      </c>
    </row>
    <row r="957" spans="1:17" x14ac:dyDescent="0.25">
      <c r="A957" s="2">
        <v>41993</v>
      </c>
      <c r="B957" s="2">
        <v>41996</v>
      </c>
      <c r="C957" s="1" t="s">
        <v>17</v>
      </c>
      <c r="D957" s="1" t="s">
        <v>708</v>
      </c>
      <c r="E957" s="1" t="s">
        <v>19</v>
      </c>
      <c r="F957" s="1" t="s">
        <v>20</v>
      </c>
      <c r="G957" s="1" t="s">
        <v>29</v>
      </c>
      <c r="H957" s="1" t="s">
        <v>30</v>
      </c>
      <c r="I957" s="1" t="s">
        <v>31</v>
      </c>
      <c r="J957" s="1" t="s">
        <v>32</v>
      </c>
      <c r="K957" s="1" t="s">
        <v>52</v>
      </c>
      <c r="L957" s="1" t="s">
        <v>1309</v>
      </c>
      <c r="M957">
        <v>2</v>
      </c>
      <c r="N957">
        <v>0.2</v>
      </c>
      <c r="O957">
        <v>152.495</v>
      </c>
      <c r="P957">
        <v>487.98399999999998</v>
      </c>
      <c r="Q957">
        <v>335.48899999999998</v>
      </c>
    </row>
    <row r="958" spans="1:17" x14ac:dyDescent="0.25">
      <c r="A958" s="2">
        <v>42849</v>
      </c>
      <c r="B958" s="2">
        <v>42855</v>
      </c>
      <c r="C958" s="1" t="s">
        <v>35</v>
      </c>
      <c r="D958" s="1" t="s">
        <v>763</v>
      </c>
      <c r="E958" s="1" t="s">
        <v>28</v>
      </c>
      <c r="F958" s="1" t="s">
        <v>20</v>
      </c>
      <c r="G958" s="1" t="s">
        <v>516</v>
      </c>
      <c r="H958" s="1" t="s">
        <v>38</v>
      </c>
      <c r="I958" s="1" t="s">
        <v>23</v>
      </c>
      <c r="J958" s="1" t="s">
        <v>32</v>
      </c>
      <c r="K958" s="1" t="s">
        <v>64</v>
      </c>
      <c r="L958" s="1" t="s">
        <v>1197</v>
      </c>
      <c r="M958">
        <v>2</v>
      </c>
      <c r="N958">
        <v>0.2</v>
      </c>
      <c r="O958">
        <v>-21.294</v>
      </c>
      <c r="P958">
        <v>113.568</v>
      </c>
      <c r="Q958">
        <v>134.86199999999999</v>
      </c>
    </row>
    <row r="959" spans="1:17" x14ac:dyDescent="0.25">
      <c r="A959" s="2">
        <v>42075</v>
      </c>
      <c r="B959" s="2">
        <v>42080</v>
      </c>
      <c r="C959" s="1" t="s">
        <v>35</v>
      </c>
      <c r="D959" s="1" t="s">
        <v>1664</v>
      </c>
      <c r="E959" s="1" t="s">
        <v>28</v>
      </c>
      <c r="F959" s="1" t="s">
        <v>20</v>
      </c>
      <c r="G959" s="1" t="s">
        <v>1665</v>
      </c>
      <c r="H959" s="1" t="s">
        <v>38</v>
      </c>
      <c r="I959" s="1" t="s">
        <v>23</v>
      </c>
      <c r="J959" s="1" t="s">
        <v>32</v>
      </c>
      <c r="K959" s="1" t="s">
        <v>94</v>
      </c>
      <c r="L959" s="1" t="s">
        <v>1666</v>
      </c>
      <c r="M959">
        <v>3</v>
      </c>
      <c r="N959">
        <v>0.2</v>
      </c>
      <c r="O959">
        <v>2.9321999999999999</v>
      </c>
      <c r="P959">
        <v>8.6880000000000006</v>
      </c>
      <c r="Q959">
        <v>5.7558000000000007</v>
      </c>
    </row>
    <row r="960" spans="1:17" x14ac:dyDescent="0.25">
      <c r="A960" s="2">
        <v>42327</v>
      </c>
      <c r="B960" s="2">
        <v>42329</v>
      </c>
      <c r="C960" s="1" t="s">
        <v>17</v>
      </c>
      <c r="D960" s="1" t="s">
        <v>1667</v>
      </c>
      <c r="E960" s="1" t="s">
        <v>55</v>
      </c>
      <c r="F960" s="1" t="s">
        <v>20</v>
      </c>
      <c r="G960" s="1" t="s">
        <v>50</v>
      </c>
      <c r="H960" s="1" t="s">
        <v>51</v>
      </c>
      <c r="I960" s="1" t="s">
        <v>31</v>
      </c>
      <c r="J960" s="1" t="s">
        <v>24</v>
      </c>
      <c r="K960" s="1" t="s">
        <v>42</v>
      </c>
      <c r="L960" s="1" t="s">
        <v>1668</v>
      </c>
      <c r="M960">
        <v>2</v>
      </c>
      <c r="N960">
        <v>0</v>
      </c>
      <c r="O960">
        <v>22.7136</v>
      </c>
      <c r="P960">
        <v>141.96</v>
      </c>
      <c r="Q960">
        <v>119.24640000000001</v>
      </c>
    </row>
    <row r="961" spans="1:17" x14ac:dyDescent="0.25">
      <c r="A961" s="2">
        <v>42168</v>
      </c>
      <c r="B961" s="2">
        <v>42174</v>
      </c>
      <c r="C961" s="1" t="s">
        <v>35</v>
      </c>
      <c r="D961" s="1" t="s">
        <v>1669</v>
      </c>
      <c r="E961" s="1" t="s">
        <v>28</v>
      </c>
      <c r="F961" s="1" t="s">
        <v>20</v>
      </c>
      <c r="G961" s="1" t="s">
        <v>158</v>
      </c>
      <c r="H961" s="1" t="s">
        <v>159</v>
      </c>
      <c r="I961" s="1" t="s">
        <v>23</v>
      </c>
      <c r="J961" s="1" t="s">
        <v>32</v>
      </c>
      <c r="K961" s="1" t="s">
        <v>72</v>
      </c>
      <c r="L961" s="1" t="s">
        <v>1670</v>
      </c>
      <c r="M961">
        <v>6</v>
      </c>
      <c r="N961">
        <v>0</v>
      </c>
      <c r="O961">
        <v>6.9383999999999997</v>
      </c>
      <c r="P961">
        <v>24.78</v>
      </c>
      <c r="Q961">
        <v>17.8416</v>
      </c>
    </row>
    <row r="962" spans="1:17" x14ac:dyDescent="0.25">
      <c r="A962" s="2">
        <v>41936</v>
      </c>
      <c r="B962" s="2">
        <v>41936</v>
      </c>
      <c r="C962" s="1" t="s">
        <v>434</v>
      </c>
      <c r="D962" s="1" t="s">
        <v>723</v>
      </c>
      <c r="E962" s="1" t="s">
        <v>19</v>
      </c>
      <c r="F962" s="1" t="s">
        <v>20</v>
      </c>
      <c r="G962" s="1" t="s">
        <v>1671</v>
      </c>
      <c r="H962" s="1" t="s">
        <v>169</v>
      </c>
      <c r="I962" s="1" t="s">
        <v>23</v>
      </c>
      <c r="J962" s="1" t="s">
        <v>32</v>
      </c>
      <c r="K962" s="1" t="s">
        <v>128</v>
      </c>
      <c r="L962" s="1" t="s">
        <v>1672</v>
      </c>
      <c r="M962">
        <v>3</v>
      </c>
      <c r="N962">
        <v>0</v>
      </c>
      <c r="O962">
        <v>3.7919999999999998</v>
      </c>
      <c r="P962">
        <v>11.85</v>
      </c>
      <c r="Q962">
        <v>8.0579999999999998</v>
      </c>
    </row>
    <row r="963" spans="1:17" x14ac:dyDescent="0.25">
      <c r="A963" s="2">
        <v>42636</v>
      </c>
      <c r="B963" s="2">
        <v>42641</v>
      </c>
      <c r="C963" s="1" t="s">
        <v>17</v>
      </c>
      <c r="D963" s="1" t="s">
        <v>796</v>
      </c>
      <c r="E963" s="1" t="s">
        <v>19</v>
      </c>
      <c r="F963" s="1" t="s">
        <v>20</v>
      </c>
      <c r="G963" s="1" t="s">
        <v>213</v>
      </c>
      <c r="H963" s="1" t="s">
        <v>429</v>
      </c>
      <c r="I963" s="1" t="s">
        <v>23</v>
      </c>
      <c r="J963" s="1" t="s">
        <v>32</v>
      </c>
      <c r="K963" s="1" t="s">
        <v>64</v>
      </c>
      <c r="L963" s="1" t="s">
        <v>1673</v>
      </c>
      <c r="M963">
        <v>5</v>
      </c>
      <c r="N963">
        <v>0</v>
      </c>
      <c r="O963">
        <v>34.292499999999997</v>
      </c>
      <c r="P963">
        <v>118.25</v>
      </c>
      <c r="Q963">
        <v>83.95750000000001</v>
      </c>
    </row>
    <row r="964" spans="1:17" x14ac:dyDescent="0.25">
      <c r="A964" s="2">
        <v>42432</v>
      </c>
      <c r="B964" s="2">
        <v>42435</v>
      </c>
      <c r="C964" s="1" t="s">
        <v>107</v>
      </c>
      <c r="D964" s="1" t="s">
        <v>1674</v>
      </c>
      <c r="E964" s="1" t="s">
        <v>28</v>
      </c>
      <c r="F964" s="1" t="s">
        <v>20</v>
      </c>
      <c r="G964" s="1" t="s">
        <v>1675</v>
      </c>
      <c r="H964" s="1" t="s">
        <v>57</v>
      </c>
      <c r="I964" s="1" t="s">
        <v>58</v>
      </c>
      <c r="J964" s="1" t="s">
        <v>32</v>
      </c>
      <c r="K964" s="1" t="s">
        <v>47</v>
      </c>
      <c r="L964" s="1" t="s">
        <v>987</v>
      </c>
      <c r="M964">
        <v>7</v>
      </c>
      <c r="N964">
        <v>0.2</v>
      </c>
      <c r="O964">
        <v>15.5092</v>
      </c>
      <c r="P964">
        <v>42.783999999999999</v>
      </c>
      <c r="Q964">
        <v>27.274799999999999</v>
      </c>
    </row>
    <row r="965" spans="1:17" x14ac:dyDescent="0.25">
      <c r="A965" s="2">
        <v>42429</v>
      </c>
      <c r="B965" s="2">
        <v>42433</v>
      </c>
      <c r="C965" s="1" t="s">
        <v>35</v>
      </c>
      <c r="D965" s="1" t="s">
        <v>196</v>
      </c>
      <c r="E965" s="1" t="s">
        <v>19</v>
      </c>
      <c r="F965" s="1" t="s">
        <v>20</v>
      </c>
      <c r="G965" s="1" t="s">
        <v>240</v>
      </c>
      <c r="H965" s="1" t="s">
        <v>214</v>
      </c>
      <c r="I965" s="1" t="s">
        <v>81</v>
      </c>
      <c r="J965" s="1" t="s">
        <v>32</v>
      </c>
      <c r="K965" s="1" t="s">
        <v>72</v>
      </c>
      <c r="L965" s="1" t="s">
        <v>1676</v>
      </c>
      <c r="M965">
        <v>7</v>
      </c>
      <c r="N965">
        <v>0.2</v>
      </c>
      <c r="O965">
        <v>8.3328000000000007</v>
      </c>
      <c r="P965">
        <v>111.104</v>
      </c>
      <c r="Q965">
        <v>102.77119999999999</v>
      </c>
    </row>
    <row r="966" spans="1:17" x14ac:dyDescent="0.25">
      <c r="A966" s="2">
        <v>42595</v>
      </c>
      <c r="B966" s="2">
        <v>42600</v>
      </c>
      <c r="C966" s="1" t="s">
        <v>17</v>
      </c>
      <c r="D966" s="1" t="s">
        <v>957</v>
      </c>
      <c r="E966" s="1" t="s">
        <v>28</v>
      </c>
      <c r="F966" s="1" t="s">
        <v>20</v>
      </c>
      <c r="G966" s="1" t="s">
        <v>1677</v>
      </c>
      <c r="H966" s="1" t="s">
        <v>63</v>
      </c>
      <c r="I966" s="1" t="s">
        <v>58</v>
      </c>
      <c r="J966" s="1" t="s">
        <v>24</v>
      </c>
      <c r="K966" s="1" t="s">
        <v>25</v>
      </c>
      <c r="L966" s="1" t="s">
        <v>1678</v>
      </c>
      <c r="M966">
        <v>2</v>
      </c>
      <c r="N966">
        <v>0</v>
      </c>
      <c r="O966">
        <v>24.196000000000002</v>
      </c>
      <c r="P966">
        <v>241.96</v>
      </c>
      <c r="Q966">
        <v>217.76400000000001</v>
      </c>
    </row>
    <row r="967" spans="1:17" x14ac:dyDescent="0.25">
      <c r="A967" s="2">
        <v>42791</v>
      </c>
      <c r="B967" s="2">
        <v>42796</v>
      </c>
      <c r="C967" s="1" t="s">
        <v>35</v>
      </c>
      <c r="D967" s="1" t="s">
        <v>1536</v>
      </c>
      <c r="E967" s="1" t="s">
        <v>19</v>
      </c>
      <c r="F967" s="1" t="s">
        <v>20</v>
      </c>
      <c r="G967" s="1" t="s">
        <v>136</v>
      </c>
      <c r="H967" s="1" t="s">
        <v>98</v>
      </c>
      <c r="I967" s="1" t="s">
        <v>58</v>
      </c>
      <c r="J967" s="1" t="s">
        <v>32</v>
      </c>
      <c r="K967" s="1" t="s">
        <v>52</v>
      </c>
      <c r="L967" s="1" t="s">
        <v>1679</v>
      </c>
      <c r="M967">
        <v>3</v>
      </c>
      <c r="N967">
        <v>0.8</v>
      </c>
      <c r="O967">
        <v>-3.0396000000000001</v>
      </c>
      <c r="P967">
        <v>1.788</v>
      </c>
      <c r="Q967">
        <v>4.8276000000000003</v>
      </c>
    </row>
    <row r="968" spans="1:17" x14ac:dyDescent="0.25">
      <c r="A968" s="2">
        <v>41989</v>
      </c>
      <c r="B968" s="2">
        <v>41993</v>
      </c>
      <c r="C968" s="1" t="s">
        <v>17</v>
      </c>
      <c r="D968" s="1" t="s">
        <v>74</v>
      </c>
      <c r="E968" s="1" t="s">
        <v>28</v>
      </c>
      <c r="F968" s="1" t="s">
        <v>20</v>
      </c>
      <c r="G968" s="1" t="s">
        <v>742</v>
      </c>
      <c r="H968" s="1" t="s">
        <v>38</v>
      </c>
      <c r="I968" s="1" t="s">
        <v>23</v>
      </c>
      <c r="J968" s="1" t="s">
        <v>24</v>
      </c>
      <c r="K968" s="1" t="s">
        <v>82</v>
      </c>
      <c r="L968" s="1" t="s">
        <v>1289</v>
      </c>
      <c r="M968">
        <v>9</v>
      </c>
      <c r="N968">
        <v>0.2</v>
      </c>
      <c r="O968">
        <v>101.3832</v>
      </c>
      <c r="P968">
        <v>1013.832</v>
      </c>
      <c r="Q968">
        <v>912.44880000000001</v>
      </c>
    </row>
    <row r="969" spans="1:17" x14ac:dyDescent="0.25">
      <c r="A969" s="2">
        <v>42721</v>
      </c>
      <c r="B969" s="2">
        <v>42725</v>
      </c>
      <c r="C969" s="1" t="s">
        <v>35</v>
      </c>
      <c r="D969" s="1" t="s">
        <v>960</v>
      </c>
      <c r="E969" s="1" t="s">
        <v>19</v>
      </c>
      <c r="F969" s="1" t="s">
        <v>20</v>
      </c>
      <c r="G969" s="1" t="s">
        <v>71</v>
      </c>
      <c r="H969" s="1" t="s">
        <v>30</v>
      </c>
      <c r="I969" s="1" t="s">
        <v>31</v>
      </c>
      <c r="J969" s="1" t="s">
        <v>24</v>
      </c>
      <c r="K969" s="1" t="s">
        <v>39</v>
      </c>
      <c r="L969" s="1" t="s">
        <v>1680</v>
      </c>
      <c r="M969">
        <v>6</v>
      </c>
      <c r="N969">
        <v>0.2</v>
      </c>
      <c r="O969">
        <v>-325.572</v>
      </c>
      <c r="P969">
        <v>2003.52</v>
      </c>
      <c r="Q969">
        <v>2329.0920000000001</v>
      </c>
    </row>
    <row r="970" spans="1:17" x14ac:dyDescent="0.25">
      <c r="A970" s="2">
        <v>42502</v>
      </c>
      <c r="B970" s="2">
        <v>42507</v>
      </c>
      <c r="C970" s="1" t="s">
        <v>35</v>
      </c>
      <c r="D970" s="1" t="s">
        <v>1243</v>
      </c>
      <c r="E970" s="1" t="s">
        <v>28</v>
      </c>
      <c r="F970" s="1" t="s">
        <v>20</v>
      </c>
      <c r="G970" s="1" t="s">
        <v>79</v>
      </c>
      <c r="H970" s="1" t="s">
        <v>80</v>
      </c>
      <c r="I970" s="1" t="s">
        <v>81</v>
      </c>
      <c r="J970" s="1" t="s">
        <v>32</v>
      </c>
      <c r="K970" s="1" t="s">
        <v>64</v>
      </c>
      <c r="L970" s="1" t="s">
        <v>1142</v>
      </c>
      <c r="M970">
        <v>2</v>
      </c>
      <c r="N970">
        <v>0.2</v>
      </c>
      <c r="O970">
        <v>-19.5624</v>
      </c>
      <c r="P970">
        <v>82.367999999999995</v>
      </c>
      <c r="Q970">
        <v>101.93039999999999</v>
      </c>
    </row>
    <row r="971" spans="1:17" x14ac:dyDescent="0.25">
      <c r="A971" s="2">
        <v>41740</v>
      </c>
      <c r="B971" s="2">
        <v>41742</v>
      </c>
      <c r="C971" s="1" t="s">
        <v>17</v>
      </c>
      <c r="D971" s="1" t="s">
        <v>718</v>
      </c>
      <c r="E971" s="1" t="s">
        <v>19</v>
      </c>
      <c r="F971" s="1" t="s">
        <v>20</v>
      </c>
      <c r="G971" s="1" t="s">
        <v>481</v>
      </c>
      <c r="H971" s="1" t="s">
        <v>38</v>
      </c>
      <c r="I971" s="1" t="s">
        <v>23</v>
      </c>
      <c r="J971" s="1" t="s">
        <v>32</v>
      </c>
      <c r="K971" s="1" t="s">
        <v>128</v>
      </c>
      <c r="L971" s="1" t="s">
        <v>1681</v>
      </c>
      <c r="M971">
        <v>3</v>
      </c>
      <c r="N971">
        <v>0.2</v>
      </c>
      <c r="O971">
        <v>2.3328000000000002</v>
      </c>
      <c r="P971">
        <v>6.9119999999999999</v>
      </c>
      <c r="Q971">
        <v>4.5792000000000002</v>
      </c>
    </row>
    <row r="972" spans="1:17" x14ac:dyDescent="0.25">
      <c r="A972" s="2">
        <v>42127</v>
      </c>
      <c r="B972" s="2">
        <v>42132</v>
      </c>
      <c r="C972" s="1" t="s">
        <v>35</v>
      </c>
      <c r="D972" s="1" t="s">
        <v>1573</v>
      </c>
      <c r="E972" s="1" t="s">
        <v>55</v>
      </c>
      <c r="F972" s="1" t="s">
        <v>20</v>
      </c>
      <c r="G972" s="1" t="s">
        <v>1682</v>
      </c>
      <c r="H972" s="1" t="s">
        <v>30</v>
      </c>
      <c r="I972" s="1" t="s">
        <v>31</v>
      </c>
      <c r="J972" s="1" t="s">
        <v>24</v>
      </c>
      <c r="K972" s="1" t="s">
        <v>42</v>
      </c>
      <c r="L972" s="1" t="s">
        <v>1439</v>
      </c>
      <c r="M972">
        <v>6</v>
      </c>
      <c r="N972">
        <v>0</v>
      </c>
      <c r="O972">
        <v>106.5408</v>
      </c>
      <c r="P972">
        <v>665.88</v>
      </c>
      <c r="Q972">
        <v>559.33920000000001</v>
      </c>
    </row>
    <row r="973" spans="1:17" x14ac:dyDescent="0.25">
      <c r="A973" s="2">
        <v>42782</v>
      </c>
      <c r="B973" s="2">
        <v>42786</v>
      </c>
      <c r="C973" s="1" t="s">
        <v>35</v>
      </c>
      <c r="D973" s="1" t="s">
        <v>480</v>
      </c>
      <c r="E973" s="1" t="s">
        <v>19</v>
      </c>
      <c r="F973" s="1" t="s">
        <v>20</v>
      </c>
      <c r="G973" s="1" t="s">
        <v>126</v>
      </c>
      <c r="H973" s="1" t="s">
        <v>127</v>
      </c>
      <c r="I973" s="1" t="s">
        <v>81</v>
      </c>
      <c r="J973" s="1" t="s">
        <v>32</v>
      </c>
      <c r="K973" s="1" t="s">
        <v>47</v>
      </c>
      <c r="L973" s="1" t="s">
        <v>1513</v>
      </c>
      <c r="M973">
        <v>2</v>
      </c>
      <c r="N973">
        <v>0</v>
      </c>
      <c r="O973">
        <v>18.211200000000002</v>
      </c>
      <c r="P973">
        <v>37.94</v>
      </c>
      <c r="Q973">
        <v>19.728799999999996</v>
      </c>
    </row>
    <row r="974" spans="1:17" x14ac:dyDescent="0.25">
      <c r="A974" s="2">
        <v>41825</v>
      </c>
      <c r="B974" s="2">
        <v>41831</v>
      </c>
      <c r="C974" s="1" t="s">
        <v>35</v>
      </c>
      <c r="D974" s="1" t="s">
        <v>1213</v>
      </c>
      <c r="E974" s="1" t="s">
        <v>55</v>
      </c>
      <c r="F974" s="1" t="s">
        <v>20</v>
      </c>
      <c r="G974" s="1" t="s">
        <v>29</v>
      </c>
      <c r="H974" s="1" t="s">
        <v>30</v>
      </c>
      <c r="I974" s="1" t="s">
        <v>31</v>
      </c>
      <c r="J974" s="1" t="s">
        <v>32</v>
      </c>
      <c r="K974" s="1" t="s">
        <v>52</v>
      </c>
      <c r="L974" s="1" t="s">
        <v>561</v>
      </c>
      <c r="M974">
        <v>6</v>
      </c>
      <c r="N974">
        <v>0.2</v>
      </c>
      <c r="O974">
        <v>67.86</v>
      </c>
      <c r="P974">
        <v>180.96</v>
      </c>
      <c r="Q974">
        <v>113.10000000000001</v>
      </c>
    </row>
    <row r="975" spans="1:17" x14ac:dyDescent="0.25">
      <c r="A975" s="2">
        <v>42062</v>
      </c>
      <c r="B975" s="2">
        <v>42063</v>
      </c>
      <c r="C975" s="1" t="s">
        <v>107</v>
      </c>
      <c r="D975" s="1" t="s">
        <v>1683</v>
      </c>
      <c r="E975" s="1" t="s">
        <v>28</v>
      </c>
      <c r="F975" s="1" t="s">
        <v>20</v>
      </c>
      <c r="G975" s="1" t="s">
        <v>1684</v>
      </c>
      <c r="H975" s="1" t="s">
        <v>80</v>
      </c>
      <c r="I975" s="1" t="s">
        <v>81</v>
      </c>
      <c r="J975" s="1" t="s">
        <v>32</v>
      </c>
      <c r="K975" s="1" t="s">
        <v>52</v>
      </c>
      <c r="L975" s="1" t="s">
        <v>301</v>
      </c>
      <c r="M975">
        <v>3</v>
      </c>
      <c r="N975">
        <v>0.7</v>
      </c>
      <c r="O975">
        <v>-3.3879000000000001</v>
      </c>
      <c r="P975">
        <v>4.4189999999999996</v>
      </c>
      <c r="Q975">
        <v>7.8068999999999997</v>
      </c>
    </row>
    <row r="976" spans="1:17" x14ac:dyDescent="0.25">
      <c r="A976" s="2">
        <v>42799</v>
      </c>
      <c r="B976" s="2">
        <v>42799</v>
      </c>
      <c r="C976" s="1" t="s">
        <v>434</v>
      </c>
      <c r="D976" s="1" t="s">
        <v>61</v>
      </c>
      <c r="E976" s="1" t="s">
        <v>19</v>
      </c>
      <c r="F976" s="1" t="s">
        <v>20</v>
      </c>
      <c r="G976" s="1" t="s">
        <v>803</v>
      </c>
      <c r="H976" s="1" t="s">
        <v>63</v>
      </c>
      <c r="I976" s="1" t="s">
        <v>58</v>
      </c>
      <c r="J976" s="1" t="s">
        <v>32</v>
      </c>
      <c r="K976" s="1" t="s">
        <v>33</v>
      </c>
      <c r="L976" s="1" t="s">
        <v>1685</v>
      </c>
      <c r="M976">
        <v>2</v>
      </c>
      <c r="N976">
        <v>0</v>
      </c>
      <c r="O976">
        <v>11.7782</v>
      </c>
      <c r="P976">
        <v>25.06</v>
      </c>
      <c r="Q976">
        <v>13.281799999999999</v>
      </c>
    </row>
    <row r="977" spans="1:17" x14ac:dyDescent="0.25">
      <c r="A977" s="2">
        <v>42559</v>
      </c>
      <c r="B977" s="2">
        <v>42559</v>
      </c>
      <c r="C977" s="1" t="s">
        <v>434</v>
      </c>
      <c r="D977" s="1" t="s">
        <v>70</v>
      </c>
      <c r="E977" s="1" t="s">
        <v>19</v>
      </c>
      <c r="F977" s="1" t="s">
        <v>20</v>
      </c>
      <c r="G977" s="1" t="s">
        <v>516</v>
      </c>
      <c r="H977" s="1" t="s">
        <v>38</v>
      </c>
      <c r="I977" s="1" t="s">
        <v>23</v>
      </c>
      <c r="J977" s="1" t="s">
        <v>99</v>
      </c>
      <c r="K977" s="1" t="s">
        <v>100</v>
      </c>
      <c r="L977" s="1" t="s">
        <v>1686</v>
      </c>
      <c r="M977">
        <v>5</v>
      </c>
      <c r="N977">
        <v>0.2</v>
      </c>
      <c r="O977">
        <v>51.497500000000002</v>
      </c>
      <c r="P977">
        <v>823.96</v>
      </c>
      <c r="Q977">
        <v>772.46250000000009</v>
      </c>
    </row>
    <row r="978" spans="1:17" x14ac:dyDescent="0.25">
      <c r="A978" s="2">
        <v>41919</v>
      </c>
      <c r="B978" s="2">
        <v>41924</v>
      </c>
      <c r="C978" s="1" t="s">
        <v>35</v>
      </c>
      <c r="D978" s="1" t="s">
        <v>542</v>
      </c>
      <c r="E978" s="1" t="s">
        <v>28</v>
      </c>
      <c r="F978" s="1" t="s">
        <v>20</v>
      </c>
      <c r="G978" s="1" t="s">
        <v>309</v>
      </c>
      <c r="H978" s="1" t="s">
        <v>57</v>
      </c>
      <c r="I978" s="1" t="s">
        <v>58</v>
      </c>
      <c r="J978" s="1" t="s">
        <v>32</v>
      </c>
      <c r="K978" s="1" t="s">
        <v>64</v>
      </c>
      <c r="L978" s="1" t="s">
        <v>1687</v>
      </c>
      <c r="M978">
        <v>10</v>
      </c>
      <c r="N978">
        <v>0.2</v>
      </c>
      <c r="O978">
        <v>10.744</v>
      </c>
      <c r="P978">
        <v>107.44</v>
      </c>
      <c r="Q978">
        <v>96.695999999999998</v>
      </c>
    </row>
    <row r="979" spans="1:17" x14ac:dyDescent="0.25">
      <c r="A979" s="2">
        <v>41737</v>
      </c>
      <c r="B979" s="2">
        <v>41744</v>
      </c>
      <c r="C979" s="1" t="s">
        <v>35</v>
      </c>
      <c r="D979" s="1" t="s">
        <v>1688</v>
      </c>
      <c r="E979" s="1" t="s">
        <v>28</v>
      </c>
      <c r="F979" s="1" t="s">
        <v>20</v>
      </c>
      <c r="G979" s="1" t="s">
        <v>1153</v>
      </c>
      <c r="H979" s="1" t="s">
        <v>140</v>
      </c>
      <c r="I979" s="1" t="s">
        <v>31</v>
      </c>
      <c r="J979" s="1" t="s">
        <v>32</v>
      </c>
      <c r="K979" s="1" t="s">
        <v>128</v>
      </c>
      <c r="L979" s="1" t="s">
        <v>1689</v>
      </c>
      <c r="M979">
        <v>2</v>
      </c>
      <c r="N979">
        <v>0.2</v>
      </c>
      <c r="O979">
        <v>0.82879999999999998</v>
      </c>
      <c r="P979">
        <v>2.3679999999999999</v>
      </c>
      <c r="Q979">
        <v>1.5391999999999999</v>
      </c>
    </row>
    <row r="980" spans="1:17" x14ac:dyDescent="0.25">
      <c r="A980" s="2">
        <v>41846</v>
      </c>
      <c r="B980" s="2">
        <v>41853</v>
      </c>
      <c r="C980" s="1" t="s">
        <v>35</v>
      </c>
      <c r="D980" s="1" t="s">
        <v>133</v>
      </c>
      <c r="E980" s="1" t="s">
        <v>19</v>
      </c>
      <c r="F980" s="1" t="s">
        <v>20</v>
      </c>
      <c r="G980" s="1" t="s">
        <v>1233</v>
      </c>
      <c r="H980" s="1" t="s">
        <v>470</v>
      </c>
      <c r="I980" s="1" t="s">
        <v>31</v>
      </c>
      <c r="J980" s="1" t="s">
        <v>99</v>
      </c>
      <c r="K980" s="1" t="s">
        <v>100</v>
      </c>
      <c r="L980" s="1" t="s">
        <v>549</v>
      </c>
      <c r="M980">
        <v>2</v>
      </c>
      <c r="N980">
        <v>0.2</v>
      </c>
      <c r="O980">
        <v>113.998</v>
      </c>
      <c r="P980">
        <v>911.98400000000004</v>
      </c>
      <c r="Q980">
        <v>797.98599999999999</v>
      </c>
    </row>
    <row r="981" spans="1:17" x14ac:dyDescent="0.25">
      <c r="A981" s="2">
        <v>41798</v>
      </c>
      <c r="B981" s="2">
        <v>41802</v>
      </c>
      <c r="C981" s="1" t="s">
        <v>35</v>
      </c>
      <c r="D981" s="1" t="s">
        <v>1690</v>
      </c>
      <c r="E981" s="1" t="s">
        <v>28</v>
      </c>
      <c r="F981" s="1" t="s">
        <v>20</v>
      </c>
      <c r="G981" s="1" t="s">
        <v>219</v>
      </c>
      <c r="H981" s="1" t="s">
        <v>152</v>
      </c>
      <c r="I981" s="1" t="s">
        <v>23</v>
      </c>
      <c r="J981" s="1" t="s">
        <v>24</v>
      </c>
      <c r="K981" s="1" t="s">
        <v>82</v>
      </c>
      <c r="L981" s="1" t="s">
        <v>1691</v>
      </c>
      <c r="M981">
        <v>3</v>
      </c>
      <c r="N981">
        <v>0.2</v>
      </c>
      <c r="O981">
        <v>10.647</v>
      </c>
      <c r="P981">
        <v>170.352</v>
      </c>
      <c r="Q981">
        <v>159.70500000000001</v>
      </c>
    </row>
    <row r="982" spans="1:17" x14ac:dyDescent="0.25">
      <c r="A982" s="2">
        <v>43031</v>
      </c>
      <c r="B982" s="2">
        <v>43036</v>
      </c>
      <c r="C982" s="1" t="s">
        <v>17</v>
      </c>
      <c r="D982" s="1" t="s">
        <v>1692</v>
      </c>
      <c r="E982" s="1" t="s">
        <v>19</v>
      </c>
      <c r="F982" s="1" t="s">
        <v>20</v>
      </c>
      <c r="G982" s="1" t="s">
        <v>265</v>
      </c>
      <c r="H982" s="1" t="s">
        <v>57</v>
      </c>
      <c r="I982" s="1" t="s">
        <v>58</v>
      </c>
      <c r="J982" s="1" t="s">
        <v>32</v>
      </c>
      <c r="K982" s="1" t="s">
        <v>52</v>
      </c>
      <c r="L982" s="1" t="s">
        <v>413</v>
      </c>
      <c r="M982">
        <v>3</v>
      </c>
      <c r="N982">
        <v>0.8</v>
      </c>
      <c r="O982">
        <v>-6.2370000000000001</v>
      </c>
      <c r="P982">
        <v>3.5640000000000001</v>
      </c>
      <c r="Q982">
        <v>9.8010000000000002</v>
      </c>
    </row>
    <row r="983" spans="1:17" x14ac:dyDescent="0.25">
      <c r="A983" s="2">
        <v>42783</v>
      </c>
      <c r="B983" s="2">
        <v>42788</v>
      </c>
      <c r="C983" s="1" t="s">
        <v>35</v>
      </c>
      <c r="D983" s="1" t="s">
        <v>1693</v>
      </c>
      <c r="E983" s="1" t="s">
        <v>55</v>
      </c>
      <c r="F983" s="1" t="s">
        <v>20</v>
      </c>
      <c r="G983" s="1" t="s">
        <v>136</v>
      </c>
      <c r="H983" s="1" t="s">
        <v>98</v>
      </c>
      <c r="I983" s="1" t="s">
        <v>58</v>
      </c>
      <c r="J983" s="1" t="s">
        <v>24</v>
      </c>
      <c r="K983" s="1" t="s">
        <v>39</v>
      </c>
      <c r="L983" s="1" t="s">
        <v>1694</v>
      </c>
      <c r="M983">
        <v>3</v>
      </c>
      <c r="N983">
        <v>0.5</v>
      </c>
      <c r="O983">
        <v>-269.33760000000001</v>
      </c>
      <c r="P983">
        <v>480.96</v>
      </c>
      <c r="Q983">
        <v>750.29759999999999</v>
      </c>
    </row>
    <row r="984" spans="1:17" x14ac:dyDescent="0.25">
      <c r="A984" s="2">
        <v>41847</v>
      </c>
      <c r="B984" s="2">
        <v>41849</v>
      </c>
      <c r="C984" s="1" t="s">
        <v>17</v>
      </c>
      <c r="D984" s="1" t="s">
        <v>1291</v>
      </c>
      <c r="E984" s="1" t="s">
        <v>19</v>
      </c>
      <c r="F984" s="1" t="s">
        <v>20</v>
      </c>
      <c r="G984" s="1" t="s">
        <v>71</v>
      </c>
      <c r="H984" s="1" t="s">
        <v>30</v>
      </c>
      <c r="I984" s="1" t="s">
        <v>31</v>
      </c>
      <c r="J984" s="1" t="s">
        <v>99</v>
      </c>
      <c r="K984" s="1" t="s">
        <v>111</v>
      </c>
      <c r="L984" s="1" t="s">
        <v>1695</v>
      </c>
      <c r="M984">
        <v>2</v>
      </c>
      <c r="N984">
        <v>0</v>
      </c>
      <c r="O984">
        <v>38.08</v>
      </c>
      <c r="P984">
        <v>238</v>
      </c>
      <c r="Q984">
        <v>199.92000000000002</v>
      </c>
    </row>
    <row r="985" spans="1:17" x14ac:dyDescent="0.25">
      <c r="A985" s="2">
        <v>42300</v>
      </c>
      <c r="B985" s="2">
        <v>42304</v>
      </c>
      <c r="C985" s="1" t="s">
        <v>17</v>
      </c>
      <c r="D985" s="1" t="s">
        <v>744</v>
      </c>
      <c r="E985" s="1" t="s">
        <v>19</v>
      </c>
      <c r="F985" s="1" t="s">
        <v>20</v>
      </c>
      <c r="G985" s="1" t="s">
        <v>345</v>
      </c>
      <c r="H985" s="1" t="s">
        <v>30</v>
      </c>
      <c r="I985" s="1" t="s">
        <v>31</v>
      </c>
      <c r="J985" s="1" t="s">
        <v>99</v>
      </c>
      <c r="K985" s="1" t="s">
        <v>111</v>
      </c>
      <c r="L985" s="1" t="s">
        <v>825</v>
      </c>
      <c r="M985">
        <v>9</v>
      </c>
      <c r="N985">
        <v>0</v>
      </c>
      <c r="O985">
        <v>63.7776</v>
      </c>
      <c r="P985">
        <v>148.32</v>
      </c>
      <c r="Q985">
        <v>84.542399999999986</v>
      </c>
    </row>
    <row r="986" spans="1:17" x14ac:dyDescent="0.25">
      <c r="A986" s="2">
        <v>41825</v>
      </c>
      <c r="B986" s="2">
        <v>41832</v>
      </c>
      <c r="C986" s="1" t="s">
        <v>35</v>
      </c>
      <c r="D986" s="1" t="s">
        <v>1608</v>
      </c>
      <c r="E986" s="1" t="s">
        <v>28</v>
      </c>
      <c r="F986" s="1" t="s">
        <v>20</v>
      </c>
      <c r="G986" s="1" t="s">
        <v>1696</v>
      </c>
      <c r="H986" s="1" t="s">
        <v>152</v>
      </c>
      <c r="I986" s="1" t="s">
        <v>23</v>
      </c>
      <c r="J986" s="1" t="s">
        <v>32</v>
      </c>
      <c r="K986" s="1" t="s">
        <v>72</v>
      </c>
      <c r="L986" s="1" t="s">
        <v>1697</v>
      </c>
      <c r="M986">
        <v>3</v>
      </c>
      <c r="N986">
        <v>0.2</v>
      </c>
      <c r="O986">
        <v>0.38219999999999998</v>
      </c>
      <c r="P986">
        <v>4.3680000000000003</v>
      </c>
      <c r="Q986">
        <v>3.9858000000000002</v>
      </c>
    </row>
    <row r="987" spans="1:17" x14ac:dyDescent="0.25">
      <c r="A987" s="2">
        <v>42764</v>
      </c>
      <c r="B987" s="2">
        <v>42768</v>
      </c>
      <c r="C987" s="1" t="s">
        <v>35</v>
      </c>
      <c r="D987" s="1" t="s">
        <v>655</v>
      </c>
      <c r="E987" s="1" t="s">
        <v>19</v>
      </c>
      <c r="F987" s="1" t="s">
        <v>20</v>
      </c>
      <c r="G987" s="1" t="s">
        <v>136</v>
      </c>
      <c r="H987" s="1" t="s">
        <v>98</v>
      </c>
      <c r="I987" s="1" t="s">
        <v>58</v>
      </c>
      <c r="J987" s="1" t="s">
        <v>32</v>
      </c>
      <c r="K987" s="1" t="s">
        <v>52</v>
      </c>
      <c r="L987" s="1" t="s">
        <v>1698</v>
      </c>
      <c r="M987">
        <v>4</v>
      </c>
      <c r="N987">
        <v>0.8</v>
      </c>
      <c r="O987">
        <v>-20.617599999999999</v>
      </c>
      <c r="P987">
        <v>12.128</v>
      </c>
      <c r="Q987">
        <v>32.745599999999996</v>
      </c>
    </row>
    <row r="988" spans="1:17" x14ac:dyDescent="0.25">
      <c r="A988" s="2">
        <v>41965</v>
      </c>
      <c r="B988" s="2">
        <v>41971</v>
      </c>
      <c r="C988" s="1" t="s">
        <v>35</v>
      </c>
      <c r="D988" s="1" t="s">
        <v>1667</v>
      </c>
      <c r="E988" s="1" t="s">
        <v>55</v>
      </c>
      <c r="F988" s="1" t="s">
        <v>20</v>
      </c>
      <c r="G988" s="1" t="s">
        <v>1699</v>
      </c>
      <c r="H988" s="1" t="s">
        <v>98</v>
      </c>
      <c r="I988" s="1" t="s">
        <v>58</v>
      </c>
      <c r="J988" s="1" t="s">
        <v>32</v>
      </c>
      <c r="K988" s="1" t="s">
        <v>52</v>
      </c>
      <c r="L988" s="1" t="s">
        <v>1700</v>
      </c>
      <c r="M988">
        <v>5</v>
      </c>
      <c r="N988">
        <v>0.8</v>
      </c>
      <c r="O988">
        <v>-16.466999999999999</v>
      </c>
      <c r="P988">
        <v>9.98</v>
      </c>
      <c r="Q988">
        <v>26.446999999999999</v>
      </c>
    </row>
    <row r="989" spans="1:17" x14ac:dyDescent="0.25">
      <c r="A989" s="2">
        <v>42007</v>
      </c>
      <c r="B989" s="2">
        <v>42012</v>
      </c>
      <c r="C989" s="1" t="s">
        <v>35</v>
      </c>
      <c r="D989" s="1" t="s">
        <v>660</v>
      </c>
      <c r="E989" s="1" t="s">
        <v>28</v>
      </c>
      <c r="F989" s="1" t="s">
        <v>20</v>
      </c>
      <c r="G989" s="1" t="s">
        <v>1701</v>
      </c>
      <c r="H989" s="1" t="s">
        <v>57</v>
      </c>
      <c r="I989" s="1" t="s">
        <v>58</v>
      </c>
      <c r="J989" s="1" t="s">
        <v>32</v>
      </c>
      <c r="K989" s="1" t="s">
        <v>47</v>
      </c>
      <c r="L989" s="1" t="s">
        <v>1032</v>
      </c>
      <c r="M989">
        <v>2</v>
      </c>
      <c r="N989">
        <v>0.2</v>
      </c>
      <c r="O989">
        <v>3.6288</v>
      </c>
      <c r="P989">
        <v>10.368</v>
      </c>
      <c r="Q989">
        <v>6.7392000000000003</v>
      </c>
    </row>
    <row r="990" spans="1:17" x14ac:dyDescent="0.25">
      <c r="A990" s="2">
        <v>42322</v>
      </c>
      <c r="B990" s="2">
        <v>42328</v>
      </c>
      <c r="C990" s="1" t="s">
        <v>35</v>
      </c>
      <c r="D990" s="1" t="s">
        <v>239</v>
      </c>
      <c r="E990" s="1" t="s">
        <v>55</v>
      </c>
      <c r="F990" s="1" t="s">
        <v>20</v>
      </c>
      <c r="G990" s="1" t="s">
        <v>79</v>
      </c>
      <c r="H990" s="1" t="s">
        <v>80</v>
      </c>
      <c r="I990" s="1" t="s">
        <v>81</v>
      </c>
      <c r="J990" s="1" t="s">
        <v>99</v>
      </c>
      <c r="K990" s="1" t="s">
        <v>111</v>
      </c>
      <c r="L990" s="1" t="s">
        <v>1702</v>
      </c>
      <c r="M990">
        <v>2</v>
      </c>
      <c r="N990">
        <v>0.2</v>
      </c>
      <c r="O990">
        <v>-1.1996</v>
      </c>
      <c r="P990">
        <v>47.984000000000002</v>
      </c>
      <c r="Q990">
        <v>49.183599999999998</v>
      </c>
    </row>
    <row r="991" spans="1:17" x14ac:dyDescent="0.25">
      <c r="A991" s="2">
        <v>42934</v>
      </c>
      <c r="B991" s="2">
        <v>42939</v>
      </c>
      <c r="C991" s="1" t="s">
        <v>35</v>
      </c>
      <c r="D991" s="1" t="s">
        <v>1396</v>
      </c>
      <c r="E991" s="1" t="s">
        <v>19</v>
      </c>
      <c r="F991" s="1" t="s">
        <v>20</v>
      </c>
      <c r="G991" s="1" t="s">
        <v>894</v>
      </c>
      <c r="H991" s="1" t="s">
        <v>140</v>
      </c>
      <c r="I991" s="1" t="s">
        <v>31</v>
      </c>
      <c r="J991" s="1" t="s">
        <v>24</v>
      </c>
      <c r="K991" s="1" t="s">
        <v>39</v>
      </c>
      <c r="L991" s="1" t="s">
        <v>1694</v>
      </c>
      <c r="M991">
        <v>5</v>
      </c>
      <c r="N991">
        <v>0.5</v>
      </c>
      <c r="O991">
        <v>-448.89600000000002</v>
      </c>
      <c r="P991">
        <v>801.6</v>
      </c>
      <c r="Q991">
        <v>1250.4960000000001</v>
      </c>
    </row>
    <row r="992" spans="1:17" x14ac:dyDescent="0.25">
      <c r="A992" s="2">
        <v>42882</v>
      </c>
      <c r="B992" s="2">
        <v>42884</v>
      </c>
      <c r="C992" s="1" t="s">
        <v>17</v>
      </c>
      <c r="D992" s="1" t="s">
        <v>86</v>
      </c>
      <c r="E992" s="1" t="s">
        <v>19</v>
      </c>
      <c r="F992" s="1" t="s">
        <v>20</v>
      </c>
      <c r="G992" s="1" t="s">
        <v>151</v>
      </c>
      <c r="H992" s="1" t="s">
        <v>152</v>
      </c>
      <c r="I992" s="1" t="s">
        <v>23</v>
      </c>
      <c r="J992" s="1" t="s">
        <v>32</v>
      </c>
      <c r="K992" s="1" t="s">
        <v>47</v>
      </c>
      <c r="L992" s="1" t="s">
        <v>935</v>
      </c>
      <c r="M992">
        <v>5</v>
      </c>
      <c r="N992">
        <v>0.2</v>
      </c>
      <c r="O992">
        <v>9.0719999999999992</v>
      </c>
      <c r="P992">
        <v>25.92</v>
      </c>
      <c r="Q992">
        <v>16.848000000000003</v>
      </c>
    </row>
    <row r="993" spans="1:17" x14ac:dyDescent="0.25">
      <c r="A993" s="2">
        <v>42544</v>
      </c>
      <c r="B993" s="2">
        <v>42551</v>
      </c>
      <c r="C993" s="1" t="s">
        <v>35</v>
      </c>
      <c r="D993" s="1" t="s">
        <v>1703</v>
      </c>
      <c r="E993" s="1" t="s">
        <v>19</v>
      </c>
      <c r="F993" s="1" t="s">
        <v>20</v>
      </c>
      <c r="G993" s="1" t="s">
        <v>1704</v>
      </c>
      <c r="H993" s="1" t="s">
        <v>127</v>
      </c>
      <c r="I993" s="1" t="s">
        <v>81</v>
      </c>
      <c r="J993" s="1" t="s">
        <v>32</v>
      </c>
      <c r="K993" s="1" t="s">
        <v>476</v>
      </c>
      <c r="L993" s="1" t="s">
        <v>1705</v>
      </c>
      <c r="M993">
        <v>7</v>
      </c>
      <c r="N993">
        <v>0</v>
      </c>
      <c r="O993">
        <v>16.703399999999998</v>
      </c>
      <c r="P993">
        <v>835.17</v>
      </c>
      <c r="Q993">
        <v>818.46659999999997</v>
      </c>
    </row>
    <row r="994" spans="1:17" x14ac:dyDescent="0.25">
      <c r="A994" s="2">
        <v>42750</v>
      </c>
      <c r="B994" s="2">
        <v>42754</v>
      </c>
      <c r="C994" s="1" t="s">
        <v>35</v>
      </c>
      <c r="D994" s="1" t="s">
        <v>530</v>
      </c>
      <c r="E994" s="1" t="s">
        <v>19</v>
      </c>
      <c r="F994" s="1" t="s">
        <v>20</v>
      </c>
      <c r="G994" s="1" t="s">
        <v>445</v>
      </c>
      <c r="H994" s="1" t="s">
        <v>423</v>
      </c>
      <c r="I994" s="1" t="s">
        <v>81</v>
      </c>
      <c r="J994" s="1" t="s">
        <v>32</v>
      </c>
      <c r="K994" s="1" t="s">
        <v>47</v>
      </c>
      <c r="L994" s="1" t="s">
        <v>149</v>
      </c>
      <c r="M994">
        <v>2</v>
      </c>
      <c r="N994">
        <v>0</v>
      </c>
      <c r="O994">
        <v>5.8419999999999996</v>
      </c>
      <c r="P994">
        <v>12.7</v>
      </c>
      <c r="Q994">
        <v>6.8579999999999997</v>
      </c>
    </row>
    <row r="995" spans="1:17" x14ac:dyDescent="0.25">
      <c r="A995" s="2">
        <v>42519</v>
      </c>
      <c r="B995" s="2">
        <v>42523</v>
      </c>
      <c r="C995" s="1" t="s">
        <v>35</v>
      </c>
      <c r="D995" s="1" t="s">
        <v>525</v>
      </c>
      <c r="E995" s="1" t="s">
        <v>19</v>
      </c>
      <c r="F995" s="1" t="s">
        <v>20</v>
      </c>
      <c r="G995" s="1" t="s">
        <v>1641</v>
      </c>
      <c r="H995" s="1" t="s">
        <v>152</v>
      </c>
      <c r="I995" s="1" t="s">
        <v>23</v>
      </c>
      <c r="J995" s="1" t="s">
        <v>32</v>
      </c>
      <c r="K995" s="1" t="s">
        <v>52</v>
      </c>
      <c r="L995" s="1" t="s">
        <v>1706</v>
      </c>
      <c r="M995">
        <v>3</v>
      </c>
      <c r="N995">
        <v>0.7</v>
      </c>
      <c r="O995">
        <v>-8.6456999999999997</v>
      </c>
      <c r="P995">
        <v>11.276999999999999</v>
      </c>
      <c r="Q995">
        <v>19.922699999999999</v>
      </c>
    </row>
    <row r="996" spans="1:17" x14ac:dyDescent="0.25">
      <c r="A996" s="2">
        <v>42296</v>
      </c>
      <c r="B996" s="2">
        <v>42301</v>
      </c>
      <c r="C996" s="1" t="s">
        <v>35</v>
      </c>
      <c r="D996" s="1" t="s">
        <v>1174</v>
      </c>
      <c r="E996" s="1" t="s">
        <v>28</v>
      </c>
      <c r="F996" s="1" t="s">
        <v>20</v>
      </c>
      <c r="G996" s="1" t="s">
        <v>330</v>
      </c>
      <c r="H996" s="1" t="s">
        <v>115</v>
      </c>
      <c r="I996" s="1" t="s">
        <v>58</v>
      </c>
      <c r="J996" s="1" t="s">
        <v>32</v>
      </c>
      <c r="K996" s="1" t="s">
        <v>52</v>
      </c>
      <c r="L996" s="1" t="s">
        <v>1707</v>
      </c>
      <c r="M996">
        <v>6</v>
      </c>
      <c r="N996">
        <v>0</v>
      </c>
      <c r="O996">
        <v>17.608799999999999</v>
      </c>
      <c r="P996">
        <v>38.28</v>
      </c>
      <c r="Q996">
        <v>20.671200000000002</v>
      </c>
    </row>
    <row r="997" spans="1:17" x14ac:dyDescent="0.25">
      <c r="A997" s="2">
        <v>41955</v>
      </c>
      <c r="B997" s="2">
        <v>41960</v>
      </c>
      <c r="C997" s="1" t="s">
        <v>17</v>
      </c>
      <c r="D997" s="1" t="s">
        <v>1708</v>
      </c>
      <c r="E997" s="1" t="s">
        <v>28</v>
      </c>
      <c r="F997" s="1" t="s">
        <v>20</v>
      </c>
      <c r="G997" s="1" t="s">
        <v>783</v>
      </c>
      <c r="H997" s="1" t="s">
        <v>46</v>
      </c>
      <c r="I997" s="1" t="s">
        <v>23</v>
      </c>
      <c r="J997" s="1" t="s">
        <v>32</v>
      </c>
      <c r="K997" s="1" t="s">
        <v>72</v>
      </c>
      <c r="L997" s="1" t="s">
        <v>382</v>
      </c>
      <c r="M997">
        <v>3</v>
      </c>
      <c r="N997">
        <v>0.2</v>
      </c>
      <c r="O997">
        <v>0.88560000000000005</v>
      </c>
      <c r="P997">
        <v>7.8719999999999999</v>
      </c>
      <c r="Q997">
        <v>6.9863999999999997</v>
      </c>
    </row>
    <row r="998" spans="1:17" x14ac:dyDescent="0.25">
      <c r="A998" s="2">
        <v>42461</v>
      </c>
      <c r="B998" s="2">
        <v>42466</v>
      </c>
      <c r="C998" s="1" t="s">
        <v>35</v>
      </c>
      <c r="D998" s="1" t="s">
        <v>969</v>
      </c>
      <c r="E998" s="1" t="s">
        <v>19</v>
      </c>
      <c r="F998" s="1" t="s">
        <v>20</v>
      </c>
      <c r="G998" s="1" t="s">
        <v>126</v>
      </c>
      <c r="H998" s="1" t="s">
        <v>127</v>
      </c>
      <c r="I998" s="1" t="s">
        <v>81</v>
      </c>
      <c r="J998" s="1" t="s">
        <v>32</v>
      </c>
      <c r="K998" s="1" t="s">
        <v>72</v>
      </c>
      <c r="L998" s="1" t="s">
        <v>812</v>
      </c>
      <c r="M998">
        <v>4</v>
      </c>
      <c r="N998">
        <v>0</v>
      </c>
      <c r="O998">
        <v>22.8904</v>
      </c>
      <c r="P998">
        <v>88.04</v>
      </c>
      <c r="Q998">
        <v>65.149600000000007</v>
      </c>
    </row>
    <row r="999" spans="1:17" x14ac:dyDescent="0.25">
      <c r="A999" s="2">
        <v>42156</v>
      </c>
      <c r="B999" s="2">
        <v>42160</v>
      </c>
      <c r="C999" s="1" t="s">
        <v>35</v>
      </c>
      <c r="D999" s="1" t="s">
        <v>1690</v>
      </c>
      <c r="E999" s="1" t="s">
        <v>28</v>
      </c>
      <c r="F999" s="1" t="s">
        <v>20</v>
      </c>
      <c r="G999" s="1" t="s">
        <v>265</v>
      </c>
      <c r="H999" s="1" t="s">
        <v>57</v>
      </c>
      <c r="I999" s="1" t="s">
        <v>58</v>
      </c>
      <c r="J999" s="1" t="s">
        <v>32</v>
      </c>
      <c r="K999" s="1" t="s">
        <v>52</v>
      </c>
      <c r="L999" s="1" t="s">
        <v>285</v>
      </c>
      <c r="M999">
        <v>8</v>
      </c>
      <c r="N999">
        <v>0.8</v>
      </c>
      <c r="O999">
        <v>-9.1647999999999996</v>
      </c>
      <c r="P999">
        <v>5.7279999999999998</v>
      </c>
      <c r="Q999">
        <v>14.892799999999999</v>
      </c>
    </row>
    <row r="1000" spans="1:17" x14ac:dyDescent="0.25">
      <c r="A1000" s="2">
        <v>42057</v>
      </c>
      <c r="B1000" s="2">
        <v>42059</v>
      </c>
      <c r="C1000" s="1" t="s">
        <v>17</v>
      </c>
      <c r="D1000" s="1" t="s">
        <v>978</v>
      </c>
      <c r="E1000" s="1" t="s">
        <v>55</v>
      </c>
      <c r="F1000" s="1" t="s">
        <v>20</v>
      </c>
      <c r="G1000" s="1" t="s">
        <v>1709</v>
      </c>
      <c r="H1000" s="1" t="s">
        <v>115</v>
      </c>
      <c r="I1000" s="1" t="s">
        <v>58</v>
      </c>
      <c r="J1000" s="1" t="s">
        <v>32</v>
      </c>
      <c r="K1000" s="1" t="s">
        <v>72</v>
      </c>
      <c r="L1000" s="1" t="s">
        <v>1676</v>
      </c>
      <c r="M1000">
        <v>4</v>
      </c>
      <c r="N1000">
        <v>0</v>
      </c>
      <c r="O1000">
        <v>20.633600000000001</v>
      </c>
      <c r="P1000">
        <v>79.36</v>
      </c>
      <c r="Q1000">
        <v>58.726399999999998</v>
      </c>
    </row>
    <row r="1001" spans="1:17" x14ac:dyDescent="0.25">
      <c r="A1001" s="2">
        <v>41996</v>
      </c>
      <c r="B1001" s="2">
        <v>42000</v>
      </c>
      <c r="C1001" s="1" t="s">
        <v>35</v>
      </c>
      <c r="D1001" s="1" t="s">
        <v>697</v>
      </c>
      <c r="E1001" s="1" t="s">
        <v>28</v>
      </c>
      <c r="F1001" s="1" t="s">
        <v>20</v>
      </c>
      <c r="G1001" s="1" t="s">
        <v>126</v>
      </c>
      <c r="H1001" s="1" t="s">
        <v>127</v>
      </c>
      <c r="I1001" s="1" t="s">
        <v>81</v>
      </c>
      <c r="J1001" s="1" t="s">
        <v>24</v>
      </c>
      <c r="K1001" s="1" t="s">
        <v>39</v>
      </c>
      <c r="L1001" s="1" t="s">
        <v>1611</v>
      </c>
      <c r="M1001">
        <v>2</v>
      </c>
      <c r="N1001">
        <v>0.4</v>
      </c>
      <c r="O1001">
        <v>-19.549199999999999</v>
      </c>
      <c r="P1001">
        <v>53.316000000000003</v>
      </c>
      <c r="Q1001">
        <v>72.865200000000002</v>
      </c>
    </row>
    <row r="1002" spans="1:17" x14ac:dyDescent="0.25">
      <c r="A1002" s="2">
        <v>42558</v>
      </c>
      <c r="B1002" s="2">
        <v>42560</v>
      </c>
      <c r="C1002" s="1" t="s">
        <v>17</v>
      </c>
      <c r="D1002" s="1" t="s">
        <v>1710</v>
      </c>
      <c r="E1002" s="1" t="s">
        <v>19</v>
      </c>
      <c r="F1002" s="1" t="s">
        <v>20</v>
      </c>
      <c r="G1002" s="1" t="s">
        <v>29</v>
      </c>
      <c r="H1002" s="1" t="s">
        <v>30</v>
      </c>
      <c r="I1002" s="1" t="s">
        <v>31</v>
      </c>
      <c r="J1002" s="1" t="s">
        <v>24</v>
      </c>
      <c r="K1002" s="1" t="s">
        <v>82</v>
      </c>
      <c r="L1002" s="1" t="s">
        <v>1711</v>
      </c>
      <c r="M1002">
        <v>4</v>
      </c>
      <c r="N1002">
        <v>0.2</v>
      </c>
      <c r="O1002">
        <v>-3.5996000000000001</v>
      </c>
      <c r="P1002">
        <v>287.96800000000002</v>
      </c>
      <c r="Q1002">
        <v>291.56760000000003</v>
      </c>
    </row>
    <row r="1003" spans="1:17" x14ac:dyDescent="0.25">
      <c r="A1003" s="2">
        <v>42833</v>
      </c>
      <c r="B1003" s="2">
        <v>42839</v>
      </c>
      <c r="C1003" s="1" t="s">
        <v>35</v>
      </c>
      <c r="D1003" s="1" t="s">
        <v>1381</v>
      </c>
      <c r="E1003" s="1" t="s">
        <v>55</v>
      </c>
      <c r="F1003" s="1" t="s">
        <v>20</v>
      </c>
      <c r="G1003" s="1" t="s">
        <v>681</v>
      </c>
      <c r="H1003" s="1" t="s">
        <v>298</v>
      </c>
      <c r="I1003" s="1" t="s">
        <v>81</v>
      </c>
      <c r="J1003" s="1" t="s">
        <v>32</v>
      </c>
      <c r="K1003" s="1" t="s">
        <v>64</v>
      </c>
      <c r="L1003" s="1" t="s">
        <v>614</v>
      </c>
      <c r="M1003">
        <v>4</v>
      </c>
      <c r="N1003">
        <v>0</v>
      </c>
      <c r="O1003">
        <v>621.97439999999995</v>
      </c>
      <c r="P1003">
        <v>2591.56</v>
      </c>
      <c r="Q1003">
        <v>1969.5855999999999</v>
      </c>
    </row>
    <row r="1004" spans="1:17" x14ac:dyDescent="0.25">
      <c r="A1004" s="2">
        <v>42477</v>
      </c>
      <c r="B1004" s="2">
        <v>42482</v>
      </c>
      <c r="C1004" s="1" t="s">
        <v>35</v>
      </c>
      <c r="D1004" s="1" t="s">
        <v>1712</v>
      </c>
      <c r="E1004" s="1" t="s">
        <v>28</v>
      </c>
      <c r="F1004" s="1" t="s">
        <v>20</v>
      </c>
      <c r="G1004" s="1" t="s">
        <v>168</v>
      </c>
      <c r="H1004" s="1" t="s">
        <v>152</v>
      </c>
      <c r="I1004" s="1" t="s">
        <v>23</v>
      </c>
      <c r="J1004" s="1" t="s">
        <v>24</v>
      </c>
      <c r="K1004" s="1" t="s">
        <v>42</v>
      </c>
      <c r="L1004" s="1" t="s">
        <v>1713</v>
      </c>
      <c r="M1004">
        <v>5</v>
      </c>
      <c r="N1004">
        <v>0.2</v>
      </c>
      <c r="O1004">
        <v>13.846</v>
      </c>
      <c r="P1004">
        <v>79.12</v>
      </c>
      <c r="Q1004">
        <v>65.274000000000001</v>
      </c>
    </row>
    <row r="1005" spans="1:17" x14ac:dyDescent="0.25">
      <c r="A1005" s="2">
        <v>42071</v>
      </c>
      <c r="B1005" s="2">
        <v>42075</v>
      </c>
      <c r="C1005" s="1" t="s">
        <v>35</v>
      </c>
      <c r="D1005" s="1" t="s">
        <v>1714</v>
      </c>
      <c r="E1005" s="1" t="s">
        <v>19</v>
      </c>
      <c r="F1005" s="1" t="s">
        <v>20</v>
      </c>
      <c r="G1005" s="1" t="s">
        <v>1263</v>
      </c>
      <c r="H1005" s="1" t="s">
        <v>63</v>
      </c>
      <c r="I1005" s="1" t="s">
        <v>58</v>
      </c>
      <c r="J1005" s="1" t="s">
        <v>24</v>
      </c>
      <c r="K1005" s="1" t="s">
        <v>25</v>
      </c>
      <c r="L1005" s="1" t="s">
        <v>1626</v>
      </c>
      <c r="M1005">
        <v>3</v>
      </c>
      <c r="N1005">
        <v>0</v>
      </c>
      <c r="O1005">
        <v>97.458600000000004</v>
      </c>
      <c r="P1005">
        <v>512.94000000000005</v>
      </c>
      <c r="Q1005">
        <v>415.48140000000006</v>
      </c>
    </row>
    <row r="1006" spans="1:17" x14ac:dyDescent="0.25">
      <c r="A1006" s="2">
        <v>41812</v>
      </c>
      <c r="B1006" s="2">
        <v>41817</v>
      </c>
      <c r="C1006" s="1" t="s">
        <v>35</v>
      </c>
      <c r="D1006" s="1" t="s">
        <v>1715</v>
      </c>
      <c r="E1006" s="1" t="s">
        <v>19</v>
      </c>
      <c r="F1006" s="1" t="s">
        <v>20</v>
      </c>
      <c r="G1006" s="1" t="s">
        <v>716</v>
      </c>
      <c r="H1006" s="1" t="s">
        <v>80</v>
      </c>
      <c r="I1006" s="1" t="s">
        <v>81</v>
      </c>
      <c r="J1006" s="1" t="s">
        <v>24</v>
      </c>
      <c r="K1006" s="1" t="s">
        <v>82</v>
      </c>
      <c r="L1006" s="1" t="s">
        <v>273</v>
      </c>
      <c r="M1006">
        <v>3</v>
      </c>
      <c r="N1006">
        <v>0.3</v>
      </c>
      <c r="O1006">
        <v>-4.8587999999999996</v>
      </c>
      <c r="P1006">
        <v>170.05799999999999</v>
      </c>
      <c r="Q1006">
        <v>174.91679999999999</v>
      </c>
    </row>
    <row r="1007" spans="1:17" x14ac:dyDescent="0.25">
      <c r="A1007" s="2">
        <v>42328</v>
      </c>
      <c r="B1007" s="2">
        <v>42332</v>
      </c>
      <c r="C1007" s="1" t="s">
        <v>35</v>
      </c>
      <c r="D1007" s="1" t="s">
        <v>228</v>
      </c>
      <c r="E1007" s="1" t="s">
        <v>19</v>
      </c>
      <c r="F1007" s="1" t="s">
        <v>20</v>
      </c>
      <c r="G1007" s="1" t="s">
        <v>975</v>
      </c>
      <c r="H1007" s="1" t="s">
        <v>30</v>
      </c>
      <c r="I1007" s="1" t="s">
        <v>31</v>
      </c>
      <c r="J1007" s="1" t="s">
        <v>99</v>
      </c>
      <c r="K1007" s="1" t="s">
        <v>100</v>
      </c>
      <c r="L1007" s="1" t="s">
        <v>1716</v>
      </c>
      <c r="M1007">
        <v>7</v>
      </c>
      <c r="N1007">
        <v>0.2</v>
      </c>
      <c r="O1007">
        <v>-15.4581</v>
      </c>
      <c r="P1007">
        <v>72.744</v>
      </c>
      <c r="Q1007">
        <v>88.202100000000002</v>
      </c>
    </row>
    <row r="1008" spans="1:17" x14ac:dyDescent="0.25">
      <c r="A1008" s="2">
        <v>42264</v>
      </c>
      <c r="B1008" s="2">
        <v>42267</v>
      </c>
      <c r="C1008" s="1" t="s">
        <v>107</v>
      </c>
      <c r="D1008" s="1" t="s">
        <v>1717</v>
      </c>
      <c r="E1008" s="1" t="s">
        <v>28</v>
      </c>
      <c r="F1008" s="1" t="s">
        <v>20</v>
      </c>
      <c r="G1008" s="1" t="s">
        <v>50</v>
      </c>
      <c r="H1008" s="1" t="s">
        <v>51</v>
      </c>
      <c r="I1008" s="1" t="s">
        <v>31</v>
      </c>
      <c r="J1008" s="1" t="s">
        <v>32</v>
      </c>
      <c r="K1008" s="1" t="s">
        <v>52</v>
      </c>
      <c r="L1008" s="1" t="s">
        <v>1258</v>
      </c>
      <c r="M1008">
        <v>3</v>
      </c>
      <c r="N1008">
        <v>0.2</v>
      </c>
      <c r="O1008">
        <v>7.8224999999999998</v>
      </c>
      <c r="P1008">
        <v>25.032</v>
      </c>
      <c r="Q1008">
        <v>17.209499999999998</v>
      </c>
    </row>
    <row r="1009" spans="1:17" x14ac:dyDescent="0.25">
      <c r="A1009" s="2">
        <v>42439</v>
      </c>
      <c r="B1009" s="2">
        <v>42443</v>
      </c>
      <c r="C1009" s="1" t="s">
        <v>35</v>
      </c>
      <c r="D1009" s="1" t="s">
        <v>1061</v>
      </c>
      <c r="E1009" s="1" t="s">
        <v>19</v>
      </c>
      <c r="F1009" s="1" t="s">
        <v>20</v>
      </c>
      <c r="G1009" s="1" t="s">
        <v>79</v>
      </c>
      <c r="H1009" s="1" t="s">
        <v>80</v>
      </c>
      <c r="I1009" s="1" t="s">
        <v>81</v>
      </c>
      <c r="J1009" s="1" t="s">
        <v>99</v>
      </c>
      <c r="K1009" s="1" t="s">
        <v>111</v>
      </c>
      <c r="L1009" s="1" t="s">
        <v>1353</v>
      </c>
      <c r="M1009">
        <v>1</v>
      </c>
      <c r="N1009">
        <v>0.2</v>
      </c>
      <c r="O1009">
        <v>7.4984999999999999</v>
      </c>
      <c r="P1009">
        <v>39.991999999999997</v>
      </c>
      <c r="Q1009">
        <v>32.493499999999997</v>
      </c>
    </row>
    <row r="1010" spans="1:17" x14ac:dyDescent="0.25">
      <c r="A1010" s="2">
        <v>41813</v>
      </c>
      <c r="B1010" s="2">
        <v>41816</v>
      </c>
      <c r="C1010" s="1" t="s">
        <v>107</v>
      </c>
      <c r="D1010" s="1" t="s">
        <v>1534</v>
      </c>
      <c r="E1010" s="1" t="s">
        <v>19</v>
      </c>
      <c r="F1010" s="1" t="s">
        <v>20</v>
      </c>
      <c r="G1010" s="1" t="s">
        <v>45</v>
      </c>
      <c r="H1010" s="1" t="s">
        <v>46</v>
      </c>
      <c r="I1010" s="1" t="s">
        <v>23</v>
      </c>
      <c r="J1010" s="1" t="s">
        <v>32</v>
      </c>
      <c r="K1010" s="1" t="s">
        <v>72</v>
      </c>
      <c r="L1010" s="1" t="s">
        <v>1718</v>
      </c>
      <c r="M1010">
        <v>9</v>
      </c>
      <c r="N1010">
        <v>0.2</v>
      </c>
      <c r="O1010">
        <v>1.7514000000000001</v>
      </c>
      <c r="P1010">
        <v>20.015999999999998</v>
      </c>
      <c r="Q1010">
        <v>18.264599999999998</v>
      </c>
    </row>
    <row r="1011" spans="1:17" x14ac:dyDescent="0.25">
      <c r="A1011" s="2">
        <v>42610</v>
      </c>
      <c r="B1011" s="2">
        <v>42613</v>
      </c>
      <c r="C1011" s="1" t="s">
        <v>107</v>
      </c>
      <c r="D1011" s="1" t="s">
        <v>1719</v>
      </c>
      <c r="E1011" s="1" t="s">
        <v>19</v>
      </c>
      <c r="F1011" s="1" t="s">
        <v>20</v>
      </c>
      <c r="G1011" s="1" t="s">
        <v>309</v>
      </c>
      <c r="H1011" s="1" t="s">
        <v>57</v>
      </c>
      <c r="I1011" s="1" t="s">
        <v>58</v>
      </c>
      <c r="J1011" s="1" t="s">
        <v>32</v>
      </c>
      <c r="K1011" s="1" t="s">
        <v>52</v>
      </c>
      <c r="L1011" s="1" t="s">
        <v>461</v>
      </c>
      <c r="M1011">
        <v>9</v>
      </c>
      <c r="N1011">
        <v>0.8</v>
      </c>
      <c r="O1011">
        <v>-21.681000000000001</v>
      </c>
      <c r="P1011">
        <v>13.14</v>
      </c>
      <c r="Q1011">
        <v>34.820999999999998</v>
      </c>
    </row>
    <row r="1012" spans="1:17" x14ac:dyDescent="0.25">
      <c r="A1012" s="2">
        <v>42357</v>
      </c>
      <c r="B1012" s="2">
        <v>42359</v>
      </c>
      <c r="C1012" s="1" t="s">
        <v>17</v>
      </c>
      <c r="D1012" s="1" t="s">
        <v>1594</v>
      </c>
      <c r="E1012" s="1" t="s">
        <v>28</v>
      </c>
      <c r="F1012" s="1" t="s">
        <v>20</v>
      </c>
      <c r="G1012" s="1" t="s">
        <v>1533</v>
      </c>
      <c r="H1012" s="1" t="s">
        <v>76</v>
      </c>
      <c r="I1012" s="1" t="s">
        <v>58</v>
      </c>
      <c r="J1012" s="1" t="s">
        <v>32</v>
      </c>
      <c r="K1012" s="1" t="s">
        <v>52</v>
      </c>
      <c r="L1012" s="1" t="s">
        <v>1720</v>
      </c>
      <c r="M1012">
        <v>2</v>
      </c>
      <c r="N1012">
        <v>0</v>
      </c>
      <c r="O1012">
        <v>3.3088000000000002</v>
      </c>
      <c r="P1012">
        <v>7.04</v>
      </c>
      <c r="Q1012">
        <v>3.7311999999999999</v>
      </c>
    </row>
    <row r="1013" spans="1:17" x14ac:dyDescent="0.25">
      <c r="A1013" s="2">
        <v>42586</v>
      </c>
      <c r="B1013" s="2">
        <v>42588</v>
      </c>
      <c r="C1013" s="1" t="s">
        <v>17</v>
      </c>
      <c r="D1013" s="1" t="s">
        <v>96</v>
      </c>
      <c r="E1013" s="1" t="s">
        <v>28</v>
      </c>
      <c r="F1013" s="1" t="s">
        <v>20</v>
      </c>
      <c r="G1013" s="1" t="s">
        <v>1721</v>
      </c>
      <c r="H1013" s="1" t="s">
        <v>30</v>
      </c>
      <c r="I1013" s="1" t="s">
        <v>31</v>
      </c>
      <c r="J1013" s="1" t="s">
        <v>99</v>
      </c>
      <c r="K1013" s="1" t="s">
        <v>100</v>
      </c>
      <c r="L1013" s="1" t="s">
        <v>1722</v>
      </c>
      <c r="M1013">
        <v>2</v>
      </c>
      <c r="N1013">
        <v>0.2</v>
      </c>
      <c r="O1013">
        <v>30.238399999999999</v>
      </c>
      <c r="P1013">
        <v>302.38400000000001</v>
      </c>
      <c r="Q1013">
        <v>272.1456</v>
      </c>
    </row>
    <row r="1014" spans="1:17" x14ac:dyDescent="0.25">
      <c r="A1014" s="2">
        <v>42461</v>
      </c>
      <c r="B1014" s="2">
        <v>42465</v>
      </c>
      <c r="C1014" s="1" t="s">
        <v>35</v>
      </c>
      <c r="D1014" s="1" t="s">
        <v>1265</v>
      </c>
      <c r="E1014" s="1" t="s">
        <v>28</v>
      </c>
      <c r="F1014" s="1" t="s">
        <v>20</v>
      </c>
      <c r="G1014" s="1" t="s">
        <v>126</v>
      </c>
      <c r="H1014" s="1" t="s">
        <v>127</v>
      </c>
      <c r="I1014" s="1" t="s">
        <v>81</v>
      </c>
      <c r="J1014" s="1" t="s">
        <v>32</v>
      </c>
      <c r="K1014" s="1" t="s">
        <v>33</v>
      </c>
      <c r="L1014" s="1" t="s">
        <v>624</v>
      </c>
      <c r="M1014">
        <v>2</v>
      </c>
      <c r="N1014">
        <v>0</v>
      </c>
      <c r="O1014">
        <v>9.9359999999999999</v>
      </c>
      <c r="P1014">
        <v>20.7</v>
      </c>
      <c r="Q1014">
        <v>10.763999999999999</v>
      </c>
    </row>
    <row r="1015" spans="1:17" x14ac:dyDescent="0.25">
      <c r="A1015" s="2">
        <v>42604</v>
      </c>
      <c r="B1015" s="2">
        <v>42608</v>
      </c>
      <c r="C1015" s="1" t="s">
        <v>35</v>
      </c>
      <c r="D1015" s="1" t="s">
        <v>1723</v>
      </c>
      <c r="E1015" s="1" t="s">
        <v>19</v>
      </c>
      <c r="F1015" s="1" t="s">
        <v>20</v>
      </c>
      <c r="G1015" s="1" t="s">
        <v>91</v>
      </c>
      <c r="H1015" s="1" t="s">
        <v>57</v>
      </c>
      <c r="I1015" s="1" t="s">
        <v>58</v>
      </c>
      <c r="J1015" s="1" t="s">
        <v>32</v>
      </c>
      <c r="K1015" s="1" t="s">
        <v>52</v>
      </c>
      <c r="L1015" s="1" t="s">
        <v>1239</v>
      </c>
      <c r="M1015">
        <v>2</v>
      </c>
      <c r="N1015">
        <v>0.8</v>
      </c>
      <c r="O1015">
        <v>-6.8992000000000004</v>
      </c>
      <c r="P1015">
        <v>4.3120000000000003</v>
      </c>
      <c r="Q1015">
        <v>11.211200000000002</v>
      </c>
    </row>
    <row r="1016" spans="1:17" x14ac:dyDescent="0.25">
      <c r="A1016" s="2">
        <v>41770</v>
      </c>
      <c r="B1016" s="2">
        <v>41777</v>
      </c>
      <c r="C1016" s="1" t="s">
        <v>35</v>
      </c>
      <c r="D1016" s="1" t="s">
        <v>1056</v>
      </c>
      <c r="E1016" s="1" t="s">
        <v>28</v>
      </c>
      <c r="F1016" s="1" t="s">
        <v>20</v>
      </c>
      <c r="G1016" s="1" t="s">
        <v>1319</v>
      </c>
      <c r="H1016" s="1" t="s">
        <v>127</v>
      </c>
      <c r="I1016" s="1" t="s">
        <v>81</v>
      </c>
      <c r="J1016" s="1" t="s">
        <v>32</v>
      </c>
      <c r="K1016" s="1" t="s">
        <v>59</v>
      </c>
      <c r="L1016" s="1" t="s">
        <v>486</v>
      </c>
      <c r="M1016">
        <v>3</v>
      </c>
      <c r="N1016">
        <v>0</v>
      </c>
      <c r="O1016">
        <v>9.6957000000000004</v>
      </c>
      <c r="P1016">
        <v>35.909999999999997</v>
      </c>
      <c r="Q1016">
        <v>26.214299999999994</v>
      </c>
    </row>
    <row r="1017" spans="1:17" x14ac:dyDescent="0.25">
      <c r="A1017" s="2">
        <v>42734</v>
      </c>
      <c r="B1017" s="2">
        <v>42736</v>
      </c>
      <c r="C1017" s="1" t="s">
        <v>107</v>
      </c>
      <c r="D1017" s="1" t="s">
        <v>1724</v>
      </c>
      <c r="E1017" s="1" t="s">
        <v>28</v>
      </c>
      <c r="F1017" s="1" t="s">
        <v>20</v>
      </c>
      <c r="G1017" s="1" t="s">
        <v>1725</v>
      </c>
      <c r="H1017" s="1" t="s">
        <v>57</v>
      </c>
      <c r="I1017" s="1" t="s">
        <v>58</v>
      </c>
      <c r="J1017" s="1" t="s">
        <v>32</v>
      </c>
      <c r="K1017" s="1" t="s">
        <v>52</v>
      </c>
      <c r="L1017" s="1" t="s">
        <v>147</v>
      </c>
      <c r="M1017">
        <v>6</v>
      </c>
      <c r="N1017">
        <v>0.8</v>
      </c>
      <c r="O1017">
        <v>-10.385999999999999</v>
      </c>
      <c r="P1017">
        <v>6.9240000000000004</v>
      </c>
      <c r="Q1017">
        <v>17.309999999999999</v>
      </c>
    </row>
    <row r="1018" spans="1:17" x14ac:dyDescent="0.25">
      <c r="A1018" s="2">
        <v>41778</v>
      </c>
      <c r="B1018" s="2">
        <v>41782</v>
      </c>
      <c r="C1018" s="1" t="s">
        <v>35</v>
      </c>
      <c r="D1018" s="1" t="s">
        <v>1384</v>
      </c>
      <c r="E1018" s="1" t="s">
        <v>19</v>
      </c>
      <c r="F1018" s="1" t="s">
        <v>20</v>
      </c>
      <c r="G1018" s="1" t="s">
        <v>1726</v>
      </c>
      <c r="H1018" s="1" t="s">
        <v>115</v>
      </c>
      <c r="I1018" s="1" t="s">
        <v>58</v>
      </c>
      <c r="J1018" s="1" t="s">
        <v>32</v>
      </c>
      <c r="K1018" s="1" t="s">
        <v>52</v>
      </c>
      <c r="L1018" s="1" t="s">
        <v>1707</v>
      </c>
      <c r="M1018">
        <v>9</v>
      </c>
      <c r="N1018">
        <v>0</v>
      </c>
      <c r="O1018">
        <v>26.4132</v>
      </c>
      <c r="P1018">
        <v>57.42</v>
      </c>
      <c r="Q1018">
        <v>31.006800000000002</v>
      </c>
    </row>
    <row r="1019" spans="1:17" x14ac:dyDescent="0.25">
      <c r="A1019" s="2">
        <v>42765</v>
      </c>
      <c r="B1019" s="2">
        <v>42772</v>
      </c>
      <c r="C1019" s="1" t="s">
        <v>35</v>
      </c>
      <c r="D1019" s="1" t="s">
        <v>693</v>
      </c>
      <c r="E1019" s="1" t="s">
        <v>55</v>
      </c>
      <c r="F1019" s="1" t="s">
        <v>20</v>
      </c>
      <c r="G1019" s="1" t="s">
        <v>71</v>
      </c>
      <c r="H1019" s="1" t="s">
        <v>30</v>
      </c>
      <c r="I1019" s="1" t="s">
        <v>31</v>
      </c>
      <c r="J1019" s="1" t="s">
        <v>32</v>
      </c>
      <c r="K1019" s="1" t="s">
        <v>72</v>
      </c>
      <c r="L1019" s="1" t="s">
        <v>1495</v>
      </c>
      <c r="M1019">
        <v>7</v>
      </c>
      <c r="N1019">
        <v>0</v>
      </c>
      <c r="O1019">
        <v>5.7329999999999997</v>
      </c>
      <c r="P1019">
        <v>12.74</v>
      </c>
      <c r="Q1019">
        <v>7.0070000000000006</v>
      </c>
    </row>
    <row r="1020" spans="1:17" x14ac:dyDescent="0.25">
      <c r="A1020" s="2">
        <v>42733</v>
      </c>
      <c r="B1020" s="2">
        <v>42738</v>
      </c>
      <c r="C1020" s="1" t="s">
        <v>35</v>
      </c>
      <c r="D1020" s="1" t="s">
        <v>737</v>
      </c>
      <c r="E1020" s="1" t="s">
        <v>28</v>
      </c>
      <c r="F1020" s="1" t="s">
        <v>20</v>
      </c>
      <c r="G1020" s="1" t="s">
        <v>219</v>
      </c>
      <c r="H1020" s="1" t="s">
        <v>152</v>
      </c>
      <c r="I1020" s="1" t="s">
        <v>23</v>
      </c>
      <c r="J1020" s="1" t="s">
        <v>32</v>
      </c>
      <c r="K1020" s="1" t="s">
        <v>52</v>
      </c>
      <c r="L1020" s="1" t="s">
        <v>1727</v>
      </c>
      <c r="M1020">
        <v>4</v>
      </c>
      <c r="N1020">
        <v>0.7</v>
      </c>
      <c r="O1020">
        <v>-27.9312</v>
      </c>
      <c r="P1020">
        <v>38.088000000000001</v>
      </c>
      <c r="Q1020">
        <v>66.019199999999998</v>
      </c>
    </row>
    <row r="1021" spans="1:17" x14ac:dyDescent="0.25">
      <c r="A1021" s="2">
        <v>42749</v>
      </c>
      <c r="B1021" s="2">
        <v>42751</v>
      </c>
      <c r="C1021" s="1" t="s">
        <v>107</v>
      </c>
      <c r="D1021" s="1" t="s">
        <v>1728</v>
      </c>
      <c r="E1021" s="1" t="s">
        <v>28</v>
      </c>
      <c r="F1021" s="1" t="s">
        <v>20</v>
      </c>
      <c r="G1021" s="1" t="s">
        <v>197</v>
      </c>
      <c r="H1021" s="1" t="s">
        <v>198</v>
      </c>
      <c r="I1021" s="1" t="s">
        <v>31</v>
      </c>
      <c r="J1021" s="1" t="s">
        <v>99</v>
      </c>
      <c r="K1021" s="1" t="s">
        <v>111</v>
      </c>
      <c r="L1021" s="1" t="s">
        <v>1292</v>
      </c>
      <c r="M1021">
        <v>7</v>
      </c>
      <c r="N1021">
        <v>0.2</v>
      </c>
      <c r="O1021">
        <v>-14.793100000000001</v>
      </c>
      <c r="P1021">
        <v>169.06399999999999</v>
      </c>
      <c r="Q1021">
        <v>183.8571</v>
      </c>
    </row>
    <row r="1022" spans="1:17" x14ac:dyDescent="0.25">
      <c r="A1022" s="2">
        <v>42071</v>
      </c>
      <c r="B1022" s="2">
        <v>42076</v>
      </c>
      <c r="C1022" s="1" t="s">
        <v>35</v>
      </c>
      <c r="D1022" s="1" t="s">
        <v>687</v>
      </c>
      <c r="E1022" s="1" t="s">
        <v>28</v>
      </c>
      <c r="F1022" s="1" t="s">
        <v>20</v>
      </c>
      <c r="G1022" s="1" t="s">
        <v>400</v>
      </c>
      <c r="H1022" s="1" t="s">
        <v>127</v>
      </c>
      <c r="I1022" s="1" t="s">
        <v>81</v>
      </c>
      <c r="J1022" s="1" t="s">
        <v>32</v>
      </c>
      <c r="K1022" s="1" t="s">
        <v>47</v>
      </c>
      <c r="L1022" s="1" t="s">
        <v>1572</v>
      </c>
      <c r="M1022">
        <v>3</v>
      </c>
      <c r="N1022">
        <v>0</v>
      </c>
      <c r="O1022">
        <v>9.3312000000000008</v>
      </c>
      <c r="P1022">
        <v>19.440000000000001</v>
      </c>
      <c r="Q1022">
        <v>10.1088</v>
      </c>
    </row>
    <row r="1023" spans="1:17" x14ac:dyDescent="0.25">
      <c r="A1023" s="2">
        <v>41736</v>
      </c>
      <c r="B1023" s="2">
        <v>41741</v>
      </c>
      <c r="C1023" s="1" t="s">
        <v>35</v>
      </c>
      <c r="D1023" s="1" t="s">
        <v>726</v>
      </c>
      <c r="E1023" s="1" t="s">
        <v>28</v>
      </c>
      <c r="F1023" s="1" t="s">
        <v>20</v>
      </c>
      <c r="G1023" s="1" t="s">
        <v>168</v>
      </c>
      <c r="H1023" s="1" t="s">
        <v>169</v>
      </c>
      <c r="I1023" s="1" t="s">
        <v>23</v>
      </c>
      <c r="J1023" s="1" t="s">
        <v>99</v>
      </c>
      <c r="K1023" s="1" t="s">
        <v>100</v>
      </c>
      <c r="L1023" s="1" t="s">
        <v>281</v>
      </c>
      <c r="M1023">
        <v>5</v>
      </c>
      <c r="N1023">
        <v>0</v>
      </c>
      <c r="O1023">
        <v>163.78700000000001</v>
      </c>
      <c r="P1023">
        <v>629.95000000000005</v>
      </c>
      <c r="Q1023">
        <v>466.16300000000001</v>
      </c>
    </row>
    <row r="1024" spans="1:17" x14ac:dyDescent="0.25">
      <c r="A1024" s="2">
        <v>42173</v>
      </c>
      <c r="B1024" s="2">
        <v>42177</v>
      </c>
      <c r="C1024" s="1" t="s">
        <v>35</v>
      </c>
      <c r="D1024" s="1" t="s">
        <v>1729</v>
      </c>
      <c r="E1024" s="1" t="s">
        <v>19</v>
      </c>
      <c r="F1024" s="1" t="s">
        <v>20</v>
      </c>
      <c r="G1024" s="1" t="s">
        <v>345</v>
      </c>
      <c r="H1024" s="1" t="s">
        <v>30</v>
      </c>
      <c r="I1024" s="1" t="s">
        <v>31</v>
      </c>
      <c r="J1024" s="1" t="s">
        <v>32</v>
      </c>
      <c r="K1024" s="1" t="s">
        <v>72</v>
      </c>
      <c r="L1024" s="1" t="s">
        <v>1730</v>
      </c>
      <c r="M1024">
        <v>2</v>
      </c>
      <c r="N1024">
        <v>0</v>
      </c>
      <c r="O1024">
        <v>15.074199999999999</v>
      </c>
      <c r="P1024">
        <v>51.98</v>
      </c>
      <c r="Q1024">
        <v>36.905799999999999</v>
      </c>
    </row>
    <row r="1025" spans="1:17" x14ac:dyDescent="0.25">
      <c r="A1025" s="2">
        <v>42112</v>
      </c>
      <c r="B1025" s="2">
        <v>42117</v>
      </c>
      <c r="C1025" s="1" t="s">
        <v>17</v>
      </c>
      <c r="D1025" s="1" t="s">
        <v>754</v>
      </c>
      <c r="E1025" s="1" t="s">
        <v>19</v>
      </c>
      <c r="F1025" s="1" t="s">
        <v>20</v>
      </c>
      <c r="G1025" s="1" t="s">
        <v>126</v>
      </c>
      <c r="H1025" s="1" t="s">
        <v>127</v>
      </c>
      <c r="I1025" s="1" t="s">
        <v>81</v>
      </c>
      <c r="J1025" s="1" t="s">
        <v>32</v>
      </c>
      <c r="K1025" s="1" t="s">
        <v>33</v>
      </c>
      <c r="L1025" s="1" t="s">
        <v>1731</v>
      </c>
      <c r="M1025">
        <v>3</v>
      </c>
      <c r="N1025">
        <v>0</v>
      </c>
      <c r="O1025">
        <v>10.3071</v>
      </c>
      <c r="P1025">
        <v>21.93</v>
      </c>
      <c r="Q1025">
        <v>11.6229</v>
      </c>
    </row>
    <row r="1026" spans="1:17" x14ac:dyDescent="0.25">
      <c r="A1026" s="2">
        <v>41943</v>
      </c>
      <c r="B1026" s="2">
        <v>41945</v>
      </c>
      <c r="C1026" s="1" t="s">
        <v>17</v>
      </c>
      <c r="D1026" s="1" t="s">
        <v>1732</v>
      </c>
      <c r="E1026" s="1" t="s">
        <v>19</v>
      </c>
      <c r="F1026" s="1" t="s">
        <v>20</v>
      </c>
      <c r="G1026" s="1" t="s">
        <v>1733</v>
      </c>
      <c r="H1026" s="1" t="s">
        <v>474</v>
      </c>
      <c r="I1026" s="1" t="s">
        <v>81</v>
      </c>
      <c r="J1026" s="1" t="s">
        <v>32</v>
      </c>
      <c r="K1026" s="1" t="s">
        <v>72</v>
      </c>
      <c r="L1026" s="1" t="s">
        <v>1734</v>
      </c>
      <c r="M1026">
        <v>5</v>
      </c>
      <c r="N1026">
        <v>0</v>
      </c>
      <c r="O1026">
        <v>18.715</v>
      </c>
      <c r="P1026">
        <v>49.25</v>
      </c>
      <c r="Q1026">
        <v>30.535</v>
      </c>
    </row>
    <row r="1027" spans="1:17" x14ac:dyDescent="0.25">
      <c r="A1027" s="2">
        <v>42053</v>
      </c>
      <c r="B1027" s="2">
        <v>42057</v>
      </c>
      <c r="C1027" s="1" t="s">
        <v>35</v>
      </c>
      <c r="D1027" s="1" t="s">
        <v>1735</v>
      </c>
      <c r="E1027" s="1" t="s">
        <v>28</v>
      </c>
      <c r="F1027" s="1" t="s">
        <v>20</v>
      </c>
      <c r="G1027" s="1" t="s">
        <v>29</v>
      </c>
      <c r="H1027" s="1" t="s">
        <v>30</v>
      </c>
      <c r="I1027" s="1" t="s">
        <v>31</v>
      </c>
      <c r="J1027" s="1" t="s">
        <v>32</v>
      </c>
      <c r="K1027" s="1" t="s">
        <v>33</v>
      </c>
      <c r="L1027" s="1" t="s">
        <v>1736</v>
      </c>
      <c r="M1027">
        <v>3</v>
      </c>
      <c r="N1027">
        <v>0</v>
      </c>
      <c r="O1027">
        <v>4.4352</v>
      </c>
      <c r="P1027">
        <v>9.24</v>
      </c>
      <c r="Q1027">
        <v>4.8048000000000002</v>
      </c>
    </row>
    <row r="1028" spans="1:17" x14ac:dyDescent="0.25">
      <c r="A1028" s="2">
        <v>42826</v>
      </c>
      <c r="B1028" s="2">
        <v>42828</v>
      </c>
      <c r="C1028" s="1" t="s">
        <v>107</v>
      </c>
      <c r="D1028" s="1" t="s">
        <v>1737</v>
      </c>
      <c r="E1028" s="1" t="s">
        <v>28</v>
      </c>
      <c r="F1028" s="1" t="s">
        <v>20</v>
      </c>
      <c r="G1028" s="1" t="s">
        <v>71</v>
      </c>
      <c r="H1028" s="1" t="s">
        <v>30</v>
      </c>
      <c r="I1028" s="1" t="s">
        <v>31</v>
      </c>
      <c r="J1028" s="1" t="s">
        <v>24</v>
      </c>
      <c r="K1028" s="1" t="s">
        <v>25</v>
      </c>
      <c r="L1028" s="1" t="s">
        <v>1738</v>
      </c>
      <c r="M1028">
        <v>8</v>
      </c>
      <c r="N1028">
        <v>0.15</v>
      </c>
      <c r="O1028">
        <v>85.176000000000002</v>
      </c>
      <c r="P1028">
        <v>482.66399999999999</v>
      </c>
      <c r="Q1028">
        <v>397.488</v>
      </c>
    </row>
    <row r="1029" spans="1:17" x14ac:dyDescent="0.25">
      <c r="A1029" s="2">
        <v>42009</v>
      </c>
      <c r="B1029" s="2">
        <v>42014</v>
      </c>
      <c r="C1029" s="1" t="s">
        <v>35</v>
      </c>
      <c r="D1029" s="1" t="s">
        <v>1739</v>
      </c>
      <c r="E1029" s="1" t="s">
        <v>55</v>
      </c>
      <c r="F1029" s="1" t="s">
        <v>20</v>
      </c>
      <c r="G1029" s="1" t="s">
        <v>50</v>
      </c>
      <c r="H1029" s="1" t="s">
        <v>51</v>
      </c>
      <c r="I1029" s="1" t="s">
        <v>31</v>
      </c>
      <c r="J1029" s="1" t="s">
        <v>24</v>
      </c>
      <c r="K1029" s="1" t="s">
        <v>82</v>
      </c>
      <c r="L1029" s="1" t="s">
        <v>522</v>
      </c>
      <c r="M1029">
        <v>1</v>
      </c>
      <c r="N1029">
        <v>0.2</v>
      </c>
      <c r="O1029">
        <v>-6.9282000000000004</v>
      </c>
      <c r="P1029">
        <v>61.584000000000003</v>
      </c>
      <c r="Q1029">
        <v>68.512200000000007</v>
      </c>
    </row>
    <row r="1030" spans="1:17" x14ac:dyDescent="0.25">
      <c r="A1030" s="2">
        <v>42453</v>
      </c>
      <c r="B1030" s="2">
        <v>42455</v>
      </c>
      <c r="C1030" s="1" t="s">
        <v>107</v>
      </c>
      <c r="D1030" s="1" t="s">
        <v>1205</v>
      </c>
      <c r="E1030" s="1" t="s">
        <v>28</v>
      </c>
      <c r="F1030" s="1" t="s">
        <v>20</v>
      </c>
      <c r="G1030" s="1" t="s">
        <v>496</v>
      </c>
      <c r="H1030" s="1" t="s">
        <v>123</v>
      </c>
      <c r="I1030" s="1" t="s">
        <v>58</v>
      </c>
      <c r="J1030" s="1" t="s">
        <v>32</v>
      </c>
      <c r="K1030" s="1" t="s">
        <v>47</v>
      </c>
      <c r="L1030" s="1" t="s">
        <v>1740</v>
      </c>
      <c r="M1030">
        <v>1</v>
      </c>
      <c r="N1030">
        <v>0</v>
      </c>
      <c r="O1030">
        <v>10.3408</v>
      </c>
      <c r="P1030">
        <v>22.48</v>
      </c>
      <c r="Q1030">
        <v>12.139200000000001</v>
      </c>
    </row>
    <row r="1031" spans="1:17" x14ac:dyDescent="0.25">
      <c r="A1031" s="2">
        <v>41724</v>
      </c>
      <c r="B1031" s="2">
        <v>41728</v>
      </c>
      <c r="C1031" s="1" t="s">
        <v>35</v>
      </c>
      <c r="D1031" s="1" t="s">
        <v>231</v>
      </c>
      <c r="E1031" s="1" t="s">
        <v>28</v>
      </c>
      <c r="F1031" s="1" t="s">
        <v>20</v>
      </c>
      <c r="G1031" s="1" t="s">
        <v>29</v>
      </c>
      <c r="H1031" s="1" t="s">
        <v>30</v>
      </c>
      <c r="I1031" s="1" t="s">
        <v>31</v>
      </c>
      <c r="J1031" s="1" t="s">
        <v>99</v>
      </c>
      <c r="K1031" s="1" t="s">
        <v>111</v>
      </c>
      <c r="L1031" s="1" t="s">
        <v>287</v>
      </c>
      <c r="M1031">
        <v>3</v>
      </c>
      <c r="N1031">
        <v>0</v>
      </c>
      <c r="O1031">
        <v>8.6189999999999998</v>
      </c>
      <c r="P1031">
        <v>66.3</v>
      </c>
      <c r="Q1031">
        <v>57.680999999999997</v>
      </c>
    </row>
    <row r="1032" spans="1:17" x14ac:dyDescent="0.25">
      <c r="A1032" s="2">
        <v>42300</v>
      </c>
      <c r="B1032" s="2">
        <v>42300</v>
      </c>
      <c r="C1032" s="1" t="s">
        <v>434</v>
      </c>
      <c r="D1032" s="1" t="s">
        <v>1510</v>
      </c>
      <c r="E1032" s="1" t="s">
        <v>19</v>
      </c>
      <c r="F1032" s="1" t="s">
        <v>20</v>
      </c>
      <c r="G1032" s="1" t="s">
        <v>582</v>
      </c>
      <c r="H1032" s="1" t="s">
        <v>38</v>
      </c>
      <c r="I1032" s="1" t="s">
        <v>23</v>
      </c>
      <c r="J1032" s="1" t="s">
        <v>99</v>
      </c>
      <c r="K1032" s="1" t="s">
        <v>100</v>
      </c>
      <c r="L1032" s="1" t="s">
        <v>1271</v>
      </c>
      <c r="M1032">
        <v>7</v>
      </c>
      <c r="N1032">
        <v>0.2</v>
      </c>
      <c r="O1032">
        <v>-13.2867</v>
      </c>
      <c r="P1032">
        <v>55.944000000000003</v>
      </c>
      <c r="Q1032">
        <v>69.230699999999999</v>
      </c>
    </row>
    <row r="1033" spans="1:17" x14ac:dyDescent="0.25">
      <c r="A1033" s="2">
        <v>42300</v>
      </c>
      <c r="B1033" s="2">
        <v>42305</v>
      </c>
      <c r="C1033" s="1" t="s">
        <v>35</v>
      </c>
      <c r="D1033" s="1" t="s">
        <v>369</v>
      </c>
      <c r="E1033" s="1" t="s">
        <v>28</v>
      </c>
      <c r="F1033" s="1" t="s">
        <v>20</v>
      </c>
      <c r="G1033" s="1" t="s">
        <v>50</v>
      </c>
      <c r="H1033" s="1" t="s">
        <v>51</v>
      </c>
      <c r="I1033" s="1" t="s">
        <v>31</v>
      </c>
      <c r="J1033" s="1" t="s">
        <v>32</v>
      </c>
      <c r="K1033" s="1" t="s">
        <v>52</v>
      </c>
      <c r="L1033" s="1" t="s">
        <v>985</v>
      </c>
      <c r="M1033">
        <v>1</v>
      </c>
      <c r="N1033">
        <v>0.2</v>
      </c>
      <c r="O1033">
        <v>1.1225000000000001</v>
      </c>
      <c r="P1033">
        <v>3.5920000000000001</v>
      </c>
      <c r="Q1033">
        <v>2.4695</v>
      </c>
    </row>
    <row r="1034" spans="1:17" x14ac:dyDescent="0.25">
      <c r="A1034" s="2">
        <v>42476</v>
      </c>
      <c r="B1034" s="2">
        <v>42480</v>
      </c>
      <c r="C1034" s="1" t="s">
        <v>35</v>
      </c>
      <c r="D1034" s="1" t="s">
        <v>1741</v>
      </c>
      <c r="E1034" s="1" t="s">
        <v>28</v>
      </c>
      <c r="F1034" s="1" t="s">
        <v>20</v>
      </c>
      <c r="G1034" s="1" t="s">
        <v>1742</v>
      </c>
      <c r="H1034" s="1" t="s">
        <v>298</v>
      </c>
      <c r="I1034" s="1" t="s">
        <v>81</v>
      </c>
      <c r="J1034" s="1" t="s">
        <v>99</v>
      </c>
      <c r="K1034" s="1" t="s">
        <v>354</v>
      </c>
      <c r="L1034" s="1" t="s">
        <v>1743</v>
      </c>
      <c r="M1034">
        <v>7</v>
      </c>
      <c r="N1034">
        <v>0</v>
      </c>
      <c r="O1034">
        <v>2365.9818</v>
      </c>
      <c r="P1034">
        <v>9099.93</v>
      </c>
      <c r="Q1034">
        <v>6733.9482000000007</v>
      </c>
    </row>
    <row r="1035" spans="1:17" x14ac:dyDescent="0.25">
      <c r="A1035" s="2">
        <v>42141</v>
      </c>
      <c r="B1035" s="2">
        <v>42145</v>
      </c>
      <c r="C1035" s="1" t="s">
        <v>35</v>
      </c>
      <c r="D1035" s="1" t="s">
        <v>108</v>
      </c>
      <c r="E1035" s="1" t="s">
        <v>28</v>
      </c>
      <c r="F1035" s="1" t="s">
        <v>20</v>
      </c>
      <c r="G1035" s="1" t="s">
        <v>91</v>
      </c>
      <c r="H1035" s="1" t="s">
        <v>57</v>
      </c>
      <c r="I1035" s="1" t="s">
        <v>58</v>
      </c>
      <c r="J1035" s="1" t="s">
        <v>32</v>
      </c>
      <c r="K1035" s="1" t="s">
        <v>52</v>
      </c>
      <c r="L1035" s="1" t="s">
        <v>1744</v>
      </c>
      <c r="M1035">
        <v>5</v>
      </c>
      <c r="N1035">
        <v>0.8</v>
      </c>
      <c r="O1035">
        <v>-49.92</v>
      </c>
      <c r="P1035">
        <v>33.28</v>
      </c>
      <c r="Q1035">
        <v>83.2</v>
      </c>
    </row>
    <row r="1036" spans="1:17" x14ac:dyDescent="0.25">
      <c r="A1036" s="2">
        <v>42804</v>
      </c>
      <c r="B1036" s="2">
        <v>42810</v>
      </c>
      <c r="C1036" s="1" t="s">
        <v>35</v>
      </c>
      <c r="D1036" s="1" t="s">
        <v>84</v>
      </c>
      <c r="E1036" s="1" t="s">
        <v>19</v>
      </c>
      <c r="F1036" s="1" t="s">
        <v>20</v>
      </c>
      <c r="G1036" s="1" t="s">
        <v>79</v>
      </c>
      <c r="H1036" s="1" t="s">
        <v>80</v>
      </c>
      <c r="I1036" s="1" t="s">
        <v>81</v>
      </c>
      <c r="J1036" s="1" t="s">
        <v>99</v>
      </c>
      <c r="K1036" s="1" t="s">
        <v>100</v>
      </c>
      <c r="L1036" s="1" t="s">
        <v>976</v>
      </c>
      <c r="M1036">
        <v>3</v>
      </c>
      <c r="N1036">
        <v>0.4</v>
      </c>
      <c r="O1036">
        <v>-10.7964</v>
      </c>
      <c r="P1036">
        <v>53.981999999999999</v>
      </c>
      <c r="Q1036">
        <v>64.778400000000005</v>
      </c>
    </row>
    <row r="1037" spans="1:17" x14ac:dyDescent="0.25">
      <c r="A1037" s="2">
        <v>42970</v>
      </c>
      <c r="B1037" s="2">
        <v>42973</v>
      </c>
      <c r="C1037" s="1" t="s">
        <v>17</v>
      </c>
      <c r="D1037" s="1" t="s">
        <v>408</v>
      </c>
      <c r="E1037" s="1" t="s">
        <v>19</v>
      </c>
      <c r="F1037" s="1" t="s">
        <v>20</v>
      </c>
      <c r="G1037" s="1" t="s">
        <v>1544</v>
      </c>
      <c r="H1037" s="1" t="s">
        <v>38</v>
      </c>
      <c r="I1037" s="1" t="s">
        <v>23</v>
      </c>
      <c r="J1037" s="1" t="s">
        <v>99</v>
      </c>
      <c r="K1037" s="1" t="s">
        <v>100</v>
      </c>
      <c r="L1037" s="1" t="s">
        <v>1745</v>
      </c>
      <c r="M1037">
        <v>13</v>
      </c>
      <c r="N1037">
        <v>0.2</v>
      </c>
      <c r="O1037">
        <v>327.59219999999999</v>
      </c>
      <c r="P1037">
        <v>4367.8959999999997</v>
      </c>
      <c r="Q1037">
        <v>4040.3037999999997</v>
      </c>
    </row>
    <row r="1038" spans="1:17" x14ac:dyDescent="0.25">
      <c r="A1038" s="2">
        <v>41873</v>
      </c>
      <c r="B1038" s="2">
        <v>41876</v>
      </c>
      <c r="C1038" s="1" t="s">
        <v>17</v>
      </c>
      <c r="D1038" s="1" t="s">
        <v>934</v>
      </c>
      <c r="E1038" s="1" t="s">
        <v>55</v>
      </c>
      <c r="F1038" s="1" t="s">
        <v>20</v>
      </c>
      <c r="G1038" s="1" t="s">
        <v>1742</v>
      </c>
      <c r="H1038" s="1" t="s">
        <v>214</v>
      </c>
      <c r="I1038" s="1" t="s">
        <v>81</v>
      </c>
      <c r="J1038" s="1" t="s">
        <v>32</v>
      </c>
      <c r="K1038" s="1" t="s">
        <v>72</v>
      </c>
      <c r="L1038" s="1" t="s">
        <v>385</v>
      </c>
      <c r="M1038">
        <v>1</v>
      </c>
      <c r="N1038">
        <v>0.2</v>
      </c>
      <c r="O1038">
        <v>1.0268999999999999</v>
      </c>
      <c r="P1038">
        <v>3.9119999999999999</v>
      </c>
      <c r="Q1038">
        <v>2.8851</v>
      </c>
    </row>
    <row r="1039" spans="1:17" x14ac:dyDescent="0.25">
      <c r="A1039" s="2">
        <v>42647</v>
      </c>
      <c r="B1039" s="2">
        <v>42647</v>
      </c>
      <c r="C1039" s="1" t="s">
        <v>434</v>
      </c>
      <c r="D1039" s="1" t="s">
        <v>945</v>
      </c>
      <c r="E1039" s="1" t="s">
        <v>19</v>
      </c>
      <c r="F1039" s="1" t="s">
        <v>20</v>
      </c>
      <c r="G1039" s="1" t="s">
        <v>1746</v>
      </c>
      <c r="H1039" s="1" t="s">
        <v>57</v>
      </c>
      <c r="I1039" s="1" t="s">
        <v>58</v>
      </c>
      <c r="J1039" s="1" t="s">
        <v>32</v>
      </c>
      <c r="K1039" s="1" t="s">
        <v>94</v>
      </c>
      <c r="L1039" s="1" t="s">
        <v>921</v>
      </c>
      <c r="M1039">
        <v>7</v>
      </c>
      <c r="N1039">
        <v>0.2</v>
      </c>
      <c r="O1039">
        <v>19.4194</v>
      </c>
      <c r="P1039">
        <v>59.752000000000002</v>
      </c>
      <c r="Q1039">
        <v>40.332599999999999</v>
      </c>
    </row>
    <row r="1040" spans="1:17" x14ac:dyDescent="0.25">
      <c r="A1040" s="2">
        <v>41938</v>
      </c>
      <c r="B1040" s="2">
        <v>41942</v>
      </c>
      <c r="C1040" s="1" t="s">
        <v>17</v>
      </c>
      <c r="D1040" s="1" t="s">
        <v>1747</v>
      </c>
      <c r="E1040" s="1" t="s">
        <v>19</v>
      </c>
      <c r="F1040" s="1" t="s">
        <v>20</v>
      </c>
      <c r="G1040" s="1" t="s">
        <v>50</v>
      </c>
      <c r="H1040" s="1" t="s">
        <v>51</v>
      </c>
      <c r="I1040" s="1" t="s">
        <v>31</v>
      </c>
      <c r="J1040" s="1" t="s">
        <v>24</v>
      </c>
      <c r="K1040" s="1" t="s">
        <v>42</v>
      </c>
      <c r="L1040" s="1" t="s">
        <v>589</v>
      </c>
      <c r="M1040">
        <v>4</v>
      </c>
      <c r="N1040">
        <v>0</v>
      </c>
      <c r="O1040">
        <v>3.1960000000000002</v>
      </c>
      <c r="P1040">
        <v>63.92</v>
      </c>
      <c r="Q1040">
        <v>60.724000000000004</v>
      </c>
    </row>
    <row r="1041" spans="1:17" x14ac:dyDescent="0.25">
      <c r="A1041" s="2">
        <v>42211</v>
      </c>
      <c r="B1041" s="2">
        <v>42218</v>
      </c>
      <c r="C1041" s="1" t="s">
        <v>35</v>
      </c>
      <c r="D1041" s="1" t="s">
        <v>237</v>
      </c>
      <c r="E1041" s="1" t="s">
        <v>19</v>
      </c>
      <c r="F1041" s="1" t="s">
        <v>20</v>
      </c>
      <c r="G1041" s="1" t="s">
        <v>71</v>
      </c>
      <c r="H1041" s="1" t="s">
        <v>30</v>
      </c>
      <c r="I1041" s="1" t="s">
        <v>31</v>
      </c>
      <c r="J1041" s="1" t="s">
        <v>32</v>
      </c>
      <c r="K1041" s="1" t="s">
        <v>94</v>
      </c>
      <c r="L1041" s="1" t="s">
        <v>1748</v>
      </c>
      <c r="M1041">
        <v>2</v>
      </c>
      <c r="N1041">
        <v>0</v>
      </c>
      <c r="O1041">
        <v>78.894199999999998</v>
      </c>
      <c r="P1041">
        <v>167.86</v>
      </c>
      <c r="Q1041">
        <v>88.965800000000016</v>
      </c>
    </row>
    <row r="1042" spans="1:17" x14ac:dyDescent="0.25">
      <c r="A1042" s="2">
        <v>42394</v>
      </c>
      <c r="B1042" s="2">
        <v>42396</v>
      </c>
      <c r="C1042" s="1" t="s">
        <v>107</v>
      </c>
      <c r="D1042" s="1" t="s">
        <v>1071</v>
      </c>
      <c r="E1042" s="1" t="s">
        <v>28</v>
      </c>
      <c r="F1042" s="1" t="s">
        <v>20</v>
      </c>
      <c r="G1042" s="1" t="s">
        <v>681</v>
      </c>
      <c r="H1042" s="1" t="s">
        <v>298</v>
      </c>
      <c r="I1042" s="1" t="s">
        <v>81</v>
      </c>
      <c r="J1042" s="1" t="s">
        <v>32</v>
      </c>
      <c r="K1042" s="1" t="s">
        <v>72</v>
      </c>
      <c r="L1042" s="1" t="s">
        <v>1749</v>
      </c>
      <c r="M1042">
        <v>3</v>
      </c>
      <c r="N1042">
        <v>0</v>
      </c>
      <c r="O1042">
        <v>2.3025000000000002</v>
      </c>
      <c r="P1042">
        <v>9.2100000000000009</v>
      </c>
      <c r="Q1042">
        <v>6.9075000000000006</v>
      </c>
    </row>
    <row r="1043" spans="1:17" x14ac:dyDescent="0.25">
      <c r="A1043" s="2">
        <v>43011</v>
      </c>
      <c r="B1043" s="2">
        <v>43017</v>
      </c>
      <c r="C1043" s="1" t="s">
        <v>35</v>
      </c>
      <c r="D1043" s="1" t="s">
        <v>408</v>
      </c>
      <c r="E1043" s="1" t="s">
        <v>19</v>
      </c>
      <c r="F1043" s="1" t="s">
        <v>20</v>
      </c>
      <c r="G1043" s="1" t="s">
        <v>742</v>
      </c>
      <c r="H1043" s="1" t="s">
        <v>38</v>
      </c>
      <c r="I1043" s="1" t="s">
        <v>23</v>
      </c>
      <c r="J1043" s="1" t="s">
        <v>32</v>
      </c>
      <c r="K1043" s="1" t="s">
        <v>47</v>
      </c>
      <c r="L1043" s="1" t="s">
        <v>1750</v>
      </c>
      <c r="M1043">
        <v>3</v>
      </c>
      <c r="N1043">
        <v>0.2</v>
      </c>
      <c r="O1043">
        <v>5.4432</v>
      </c>
      <c r="P1043">
        <v>15.552</v>
      </c>
      <c r="Q1043">
        <v>10.108799999999999</v>
      </c>
    </row>
    <row r="1044" spans="1:17" x14ac:dyDescent="0.25">
      <c r="A1044" s="2">
        <v>41720</v>
      </c>
      <c r="B1044" s="2">
        <v>41720</v>
      </c>
      <c r="C1044" s="1" t="s">
        <v>434</v>
      </c>
      <c r="D1044" s="1" t="s">
        <v>1751</v>
      </c>
      <c r="E1044" s="1" t="s">
        <v>19</v>
      </c>
      <c r="F1044" s="1" t="s">
        <v>20</v>
      </c>
      <c r="G1044" s="1" t="s">
        <v>1752</v>
      </c>
      <c r="H1044" s="1" t="s">
        <v>123</v>
      </c>
      <c r="I1044" s="1" t="s">
        <v>58</v>
      </c>
      <c r="J1044" s="1" t="s">
        <v>32</v>
      </c>
      <c r="K1044" s="1" t="s">
        <v>72</v>
      </c>
      <c r="L1044" s="1" t="s">
        <v>484</v>
      </c>
      <c r="M1044">
        <v>2</v>
      </c>
      <c r="N1044">
        <v>0</v>
      </c>
      <c r="O1044">
        <v>6.5119999999999996</v>
      </c>
      <c r="P1044">
        <v>16.28</v>
      </c>
      <c r="Q1044">
        <v>9.7680000000000007</v>
      </c>
    </row>
    <row r="1045" spans="1:17" x14ac:dyDescent="0.25">
      <c r="A1045" s="2">
        <v>42631</v>
      </c>
      <c r="B1045" s="2">
        <v>42638</v>
      </c>
      <c r="C1045" s="1" t="s">
        <v>35</v>
      </c>
      <c r="D1045" s="1" t="s">
        <v>1360</v>
      </c>
      <c r="E1045" s="1" t="s">
        <v>19</v>
      </c>
      <c r="F1045" s="1" t="s">
        <v>20</v>
      </c>
      <c r="G1045" s="1" t="s">
        <v>507</v>
      </c>
      <c r="H1045" s="1" t="s">
        <v>127</v>
      </c>
      <c r="I1045" s="1" t="s">
        <v>81</v>
      </c>
      <c r="J1045" s="1" t="s">
        <v>24</v>
      </c>
      <c r="K1045" s="1" t="s">
        <v>82</v>
      </c>
      <c r="L1045" s="1" t="s">
        <v>1753</v>
      </c>
      <c r="M1045">
        <v>2</v>
      </c>
      <c r="N1045">
        <v>0.1</v>
      </c>
      <c r="O1045">
        <v>140.39599999999999</v>
      </c>
      <c r="P1045">
        <v>631.78200000000004</v>
      </c>
      <c r="Q1045">
        <v>491.38600000000008</v>
      </c>
    </row>
    <row r="1046" spans="1:17" x14ac:dyDescent="0.25">
      <c r="A1046" s="2">
        <v>41754</v>
      </c>
      <c r="B1046" s="2">
        <v>41759</v>
      </c>
      <c r="C1046" s="1" t="s">
        <v>35</v>
      </c>
      <c r="D1046" s="1" t="s">
        <v>1135</v>
      </c>
      <c r="E1046" s="1" t="s">
        <v>55</v>
      </c>
      <c r="F1046" s="1" t="s">
        <v>20</v>
      </c>
      <c r="G1046" s="1" t="s">
        <v>1754</v>
      </c>
      <c r="H1046" s="1" t="s">
        <v>30</v>
      </c>
      <c r="I1046" s="1" t="s">
        <v>31</v>
      </c>
      <c r="J1046" s="1" t="s">
        <v>24</v>
      </c>
      <c r="K1046" s="1" t="s">
        <v>42</v>
      </c>
      <c r="L1046" s="1" t="s">
        <v>1465</v>
      </c>
      <c r="M1046">
        <v>5</v>
      </c>
      <c r="N1046">
        <v>0</v>
      </c>
      <c r="O1046">
        <v>63.682499999999997</v>
      </c>
      <c r="P1046">
        <v>303.25</v>
      </c>
      <c r="Q1046">
        <v>239.5675</v>
      </c>
    </row>
    <row r="1047" spans="1:17" x14ac:dyDescent="0.25">
      <c r="A1047" s="2">
        <v>42730</v>
      </c>
      <c r="B1047" s="2">
        <v>42731</v>
      </c>
      <c r="C1047" s="1" t="s">
        <v>107</v>
      </c>
      <c r="D1047" s="1" t="s">
        <v>356</v>
      </c>
      <c r="E1047" s="1" t="s">
        <v>19</v>
      </c>
      <c r="F1047" s="1" t="s">
        <v>20</v>
      </c>
      <c r="G1047" s="1" t="s">
        <v>1123</v>
      </c>
      <c r="H1047" s="1" t="s">
        <v>198</v>
      </c>
      <c r="I1047" s="1" t="s">
        <v>31</v>
      </c>
      <c r="J1047" s="1" t="s">
        <v>32</v>
      </c>
      <c r="K1047" s="1" t="s">
        <v>72</v>
      </c>
      <c r="L1047" s="1" t="s">
        <v>1755</v>
      </c>
      <c r="M1047">
        <v>2</v>
      </c>
      <c r="N1047">
        <v>0.2</v>
      </c>
      <c r="O1047">
        <v>2.5488</v>
      </c>
      <c r="P1047">
        <v>11.327999999999999</v>
      </c>
      <c r="Q1047">
        <v>8.7791999999999994</v>
      </c>
    </row>
    <row r="1048" spans="1:17" x14ac:dyDescent="0.25">
      <c r="A1048" s="2">
        <v>41765</v>
      </c>
      <c r="B1048" s="2">
        <v>41770</v>
      </c>
      <c r="C1048" s="1" t="s">
        <v>35</v>
      </c>
      <c r="D1048" s="1" t="s">
        <v>93</v>
      </c>
      <c r="E1048" s="1" t="s">
        <v>55</v>
      </c>
      <c r="F1048" s="1" t="s">
        <v>20</v>
      </c>
      <c r="G1048" s="1" t="s">
        <v>29</v>
      </c>
      <c r="H1048" s="1" t="s">
        <v>30</v>
      </c>
      <c r="I1048" s="1" t="s">
        <v>31</v>
      </c>
      <c r="J1048" s="1" t="s">
        <v>32</v>
      </c>
      <c r="K1048" s="1" t="s">
        <v>33</v>
      </c>
      <c r="L1048" s="1" t="s">
        <v>1756</v>
      </c>
      <c r="M1048">
        <v>2</v>
      </c>
      <c r="N1048">
        <v>0</v>
      </c>
      <c r="O1048">
        <v>2.7166000000000001</v>
      </c>
      <c r="P1048">
        <v>5.78</v>
      </c>
      <c r="Q1048">
        <v>3.0634000000000001</v>
      </c>
    </row>
    <row r="1049" spans="1:17" x14ac:dyDescent="0.25">
      <c r="A1049" s="2">
        <v>41990</v>
      </c>
      <c r="B1049" s="2">
        <v>41997</v>
      </c>
      <c r="C1049" s="1" t="s">
        <v>35</v>
      </c>
      <c r="D1049" s="1" t="s">
        <v>1757</v>
      </c>
      <c r="E1049" s="1" t="s">
        <v>19</v>
      </c>
      <c r="F1049" s="1" t="s">
        <v>20</v>
      </c>
      <c r="G1049" s="1" t="s">
        <v>213</v>
      </c>
      <c r="H1049" s="1" t="s">
        <v>214</v>
      </c>
      <c r="I1049" s="1" t="s">
        <v>81</v>
      </c>
      <c r="J1049" s="1" t="s">
        <v>32</v>
      </c>
      <c r="K1049" s="1" t="s">
        <v>52</v>
      </c>
      <c r="L1049" s="1" t="s">
        <v>1758</v>
      </c>
      <c r="M1049">
        <v>4</v>
      </c>
      <c r="N1049">
        <v>0.7</v>
      </c>
      <c r="O1049">
        <v>-4.0216000000000003</v>
      </c>
      <c r="P1049">
        <v>5.484</v>
      </c>
      <c r="Q1049">
        <v>9.5056000000000012</v>
      </c>
    </row>
    <row r="1050" spans="1:17" x14ac:dyDescent="0.25">
      <c r="A1050" s="2">
        <v>41702</v>
      </c>
      <c r="B1050" s="2">
        <v>41707</v>
      </c>
      <c r="C1050" s="1" t="s">
        <v>35</v>
      </c>
      <c r="D1050" s="1" t="s">
        <v>530</v>
      </c>
      <c r="E1050" s="1" t="s">
        <v>19</v>
      </c>
      <c r="F1050" s="1" t="s">
        <v>20</v>
      </c>
      <c r="G1050" s="1" t="s">
        <v>1759</v>
      </c>
      <c r="H1050" s="1" t="s">
        <v>38</v>
      </c>
      <c r="I1050" s="1" t="s">
        <v>23</v>
      </c>
      <c r="J1050" s="1" t="s">
        <v>32</v>
      </c>
      <c r="K1050" s="1" t="s">
        <v>72</v>
      </c>
      <c r="L1050" s="1" t="s">
        <v>1593</v>
      </c>
      <c r="M1050">
        <v>3</v>
      </c>
      <c r="N1050">
        <v>0.2</v>
      </c>
      <c r="O1050">
        <v>2.3328000000000002</v>
      </c>
      <c r="P1050">
        <v>15.552</v>
      </c>
      <c r="Q1050">
        <v>13.219199999999999</v>
      </c>
    </row>
    <row r="1051" spans="1:17" x14ac:dyDescent="0.25">
      <c r="A1051" s="2">
        <v>42873</v>
      </c>
      <c r="B1051" s="2">
        <v>42874</v>
      </c>
      <c r="C1051" s="1" t="s">
        <v>107</v>
      </c>
      <c r="D1051" s="1" t="s">
        <v>1071</v>
      </c>
      <c r="E1051" s="1" t="s">
        <v>28</v>
      </c>
      <c r="F1051" s="1" t="s">
        <v>20</v>
      </c>
      <c r="G1051" s="1" t="s">
        <v>1760</v>
      </c>
      <c r="H1051" s="1" t="s">
        <v>429</v>
      </c>
      <c r="I1051" s="1" t="s">
        <v>23</v>
      </c>
      <c r="J1051" s="1" t="s">
        <v>32</v>
      </c>
      <c r="K1051" s="1" t="s">
        <v>59</v>
      </c>
      <c r="L1051" s="1" t="s">
        <v>1761</v>
      </c>
      <c r="M1051">
        <v>2</v>
      </c>
      <c r="N1051">
        <v>0</v>
      </c>
      <c r="O1051">
        <v>4.4824000000000002</v>
      </c>
      <c r="P1051">
        <v>17.239999999999998</v>
      </c>
      <c r="Q1051">
        <v>12.757599999999998</v>
      </c>
    </row>
    <row r="1052" spans="1:17" x14ac:dyDescent="0.25">
      <c r="A1052" s="2">
        <v>42573</v>
      </c>
      <c r="B1052" s="2">
        <v>42577</v>
      </c>
      <c r="C1052" s="1" t="s">
        <v>35</v>
      </c>
      <c r="D1052" s="1" t="s">
        <v>1401</v>
      </c>
      <c r="E1052" s="1" t="s">
        <v>19</v>
      </c>
      <c r="F1052" s="1" t="s">
        <v>20</v>
      </c>
      <c r="G1052" s="1" t="s">
        <v>114</v>
      </c>
      <c r="H1052" s="1" t="s">
        <v>115</v>
      </c>
      <c r="I1052" s="1" t="s">
        <v>58</v>
      </c>
      <c r="J1052" s="1" t="s">
        <v>99</v>
      </c>
      <c r="K1052" s="1" t="s">
        <v>111</v>
      </c>
      <c r="L1052" s="1" t="s">
        <v>1138</v>
      </c>
      <c r="M1052">
        <v>1</v>
      </c>
      <c r="N1052">
        <v>0</v>
      </c>
      <c r="O1052">
        <v>36.283499999999997</v>
      </c>
      <c r="P1052">
        <v>109.95</v>
      </c>
      <c r="Q1052">
        <v>73.666500000000013</v>
      </c>
    </row>
    <row r="1053" spans="1:17" x14ac:dyDescent="0.25">
      <c r="A1053" s="2">
        <v>42807</v>
      </c>
      <c r="B1053" s="2">
        <v>42814</v>
      </c>
      <c r="C1053" s="1" t="s">
        <v>35</v>
      </c>
      <c r="D1053" s="1" t="s">
        <v>871</v>
      </c>
      <c r="E1053" s="1" t="s">
        <v>19</v>
      </c>
      <c r="F1053" s="1" t="s">
        <v>20</v>
      </c>
      <c r="G1053" s="1" t="s">
        <v>306</v>
      </c>
      <c r="H1053" s="1" t="s">
        <v>198</v>
      </c>
      <c r="I1053" s="1" t="s">
        <v>31</v>
      </c>
      <c r="J1053" s="1" t="s">
        <v>32</v>
      </c>
      <c r="K1053" s="1" t="s">
        <v>476</v>
      </c>
      <c r="L1053" s="1" t="s">
        <v>1762</v>
      </c>
      <c r="M1053">
        <v>2</v>
      </c>
      <c r="N1053">
        <v>0.2</v>
      </c>
      <c r="O1053">
        <v>-299.8116</v>
      </c>
      <c r="P1053">
        <v>1332.4960000000001</v>
      </c>
      <c r="Q1053">
        <v>1632.3076000000001</v>
      </c>
    </row>
    <row r="1054" spans="1:17" x14ac:dyDescent="0.25">
      <c r="A1054" s="2">
        <v>42223</v>
      </c>
      <c r="B1054" s="2">
        <v>42227</v>
      </c>
      <c r="C1054" s="1" t="s">
        <v>35</v>
      </c>
      <c r="D1054" s="1" t="s">
        <v>980</v>
      </c>
      <c r="E1054" s="1" t="s">
        <v>28</v>
      </c>
      <c r="F1054" s="1" t="s">
        <v>20</v>
      </c>
      <c r="G1054" s="1" t="s">
        <v>1763</v>
      </c>
      <c r="H1054" s="1" t="s">
        <v>1764</v>
      </c>
      <c r="I1054" s="1" t="s">
        <v>31</v>
      </c>
      <c r="J1054" s="1" t="s">
        <v>32</v>
      </c>
      <c r="K1054" s="1" t="s">
        <v>52</v>
      </c>
      <c r="L1054" s="1" t="s">
        <v>1765</v>
      </c>
      <c r="M1054">
        <v>1</v>
      </c>
      <c r="N1054">
        <v>0.2</v>
      </c>
      <c r="O1054">
        <v>1.1151</v>
      </c>
      <c r="P1054">
        <v>3.3039999999999998</v>
      </c>
      <c r="Q1054">
        <v>2.1888999999999998</v>
      </c>
    </row>
    <row r="1055" spans="1:17" x14ac:dyDescent="0.25">
      <c r="A1055" s="2">
        <v>41722</v>
      </c>
      <c r="B1055" s="2">
        <v>41726</v>
      </c>
      <c r="C1055" s="1" t="s">
        <v>35</v>
      </c>
      <c r="D1055" s="1" t="s">
        <v>1766</v>
      </c>
      <c r="E1055" s="1" t="s">
        <v>19</v>
      </c>
      <c r="F1055" s="1" t="s">
        <v>20</v>
      </c>
      <c r="G1055" s="1" t="s">
        <v>126</v>
      </c>
      <c r="H1055" s="1" t="s">
        <v>127</v>
      </c>
      <c r="I1055" s="1" t="s">
        <v>81</v>
      </c>
      <c r="J1055" s="1" t="s">
        <v>32</v>
      </c>
      <c r="K1055" s="1" t="s">
        <v>47</v>
      </c>
      <c r="L1055" s="1" t="s">
        <v>1767</v>
      </c>
      <c r="M1055">
        <v>5</v>
      </c>
      <c r="N1055">
        <v>0</v>
      </c>
      <c r="O1055">
        <v>11.702999999999999</v>
      </c>
      <c r="P1055">
        <v>24.9</v>
      </c>
      <c r="Q1055">
        <v>13.196999999999999</v>
      </c>
    </row>
    <row r="1056" spans="1:17" x14ac:dyDescent="0.25">
      <c r="A1056" s="2">
        <v>42619</v>
      </c>
      <c r="B1056" s="2">
        <v>42621</v>
      </c>
      <c r="C1056" s="1" t="s">
        <v>107</v>
      </c>
      <c r="D1056" s="1" t="s">
        <v>1729</v>
      </c>
      <c r="E1056" s="1" t="s">
        <v>19</v>
      </c>
      <c r="F1056" s="1" t="s">
        <v>20</v>
      </c>
      <c r="G1056" s="1" t="s">
        <v>91</v>
      </c>
      <c r="H1056" s="1" t="s">
        <v>57</v>
      </c>
      <c r="I1056" s="1" t="s">
        <v>58</v>
      </c>
      <c r="J1056" s="1" t="s">
        <v>32</v>
      </c>
      <c r="K1056" s="1" t="s">
        <v>64</v>
      </c>
      <c r="L1056" s="1" t="s">
        <v>1078</v>
      </c>
      <c r="M1056">
        <v>1</v>
      </c>
      <c r="N1056">
        <v>0.2</v>
      </c>
      <c r="O1056">
        <v>0.80879999999999996</v>
      </c>
      <c r="P1056">
        <v>10.784000000000001</v>
      </c>
      <c r="Q1056">
        <v>9.975200000000001</v>
      </c>
    </row>
    <row r="1057" spans="1:17" x14ac:dyDescent="0.25">
      <c r="A1057" s="2">
        <v>42896</v>
      </c>
      <c r="B1057" s="2">
        <v>42900</v>
      </c>
      <c r="C1057" s="1" t="s">
        <v>35</v>
      </c>
      <c r="D1057" s="1" t="s">
        <v>1338</v>
      </c>
      <c r="E1057" s="1" t="s">
        <v>28</v>
      </c>
      <c r="F1057" s="1" t="s">
        <v>20</v>
      </c>
      <c r="G1057" s="1" t="s">
        <v>516</v>
      </c>
      <c r="H1057" s="1" t="s">
        <v>38</v>
      </c>
      <c r="I1057" s="1" t="s">
        <v>23</v>
      </c>
      <c r="J1057" s="1" t="s">
        <v>32</v>
      </c>
      <c r="K1057" s="1" t="s">
        <v>64</v>
      </c>
      <c r="L1057" s="1" t="s">
        <v>1768</v>
      </c>
      <c r="M1057">
        <v>8</v>
      </c>
      <c r="N1057">
        <v>0.2</v>
      </c>
      <c r="O1057">
        <v>84.22</v>
      </c>
      <c r="P1057">
        <v>1347.52</v>
      </c>
      <c r="Q1057">
        <v>1263.3</v>
      </c>
    </row>
    <row r="1058" spans="1:17" x14ac:dyDescent="0.25">
      <c r="A1058" s="2">
        <v>41690</v>
      </c>
      <c r="B1058" s="2">
        <v>41696</v>
      </c>
      <c r="C1058" s="1" t="s">
        <v>35</v>
      </c>
      <c r="D1058" s="1" t="s">
        <v>96</v>
      </c>
      <c r="E1058" s="1" t="s">
        <v>28</v>
      </c>
      <c r="F1058" s="1" t="s">
        <v>20</v>
      </c>
      <c r="G1058" s="1" t="s">
        <v>496</v>
      </c>
      <c r="H1058" s="1" t="s">
        <v>123</v>
      </c>
      <c r="I1058" s="1" t="s">
        <v>58</v>
      </c>
      <c r="J1058" s="1" t="s">
        <v>99</v>
      </c>
      <c r="K1058" s="1" t="s">
        <v>111</v>
      </c>
      <c r="L1058" s="1" t="s">
        <v>1769</v>
      </c>
      <c r="M1058">
        <v>3</v>
      </c>
      <c r="N1058">
        <v>0</v>
      </c>
      <c r="O1058">
        <v>22.4316</v>
      </c>
      <c r="P1058">
        <v>62.31</v>
      </c>
      <c r="Q1058">
        <v>39.878399999999999</v>
      </c>
    </row>
    <row r="1059" spans="1:17" x14ac:dyDescent="0.25">
      <c r="A1059" s="2">
        <v>41945</v>
      </c>
      <c r="B1059" s="2">
        <v>41949</v>
      </c>
      <c r="C1059" s="1" t="s">
        <v>35</v>
      </c>
      <c r="D1059" s="1" t="s">
        <v>1770</v>
      </c>
      <c r="E1059" s="1" t="s">
        <v>19</v>
      </c>
      <c r="F1059" s="1" t="s">
        <v>20</v>
      </c>
      <c r="G1059" s="1" t="s">
        <v>126</v>
      </c>
      <c r="H1059" s="1" t="s">
        <v>127</v>
      </c>
      <c r="I1059" s="1" t="s">
        <v>81</v>
      </c>
      <c r="J1059" s="1" t="s">
        <v>32</v>
      </c>
      <c r="K1059" s="1" t="s">
        <v>33</v>
      </c>
      <c r="L1059" s="1" t="s">
        <v>786</v>
      </c>
      <c r="M1059">
        <v>7</v>
      </c>
      <c r="N1059">
        <v>0</v>
      </c>
      <c r="O1059">
        <v>16.035599999999999</v>
      </c>
      <c r="P1059">
        <v>34.86</v>
      </c>
      <c r="Q1059">
        <v>18.824400000000001</v>
      </c>
    </row>
    <row r="1060" spans="1:17" x14ac:dyDescent="0.25">
      <c r="A1060" s="2">
        <v>42688</v>
      </c>
      <c r="B1060" s="2">
        <v>42692</v>
      </c>
      <c r="C1060" s="1" t="s">
        <v>35</v>
      </c>
      <c r="D1060" s="1" t="s">
        <v>344</v>
      </c>
      <c r="E1060" s="1" t="s">
        <v>19</v>
      </c>
      <c r="F1060" s="1" t="s">
        <v>20</v>
      </c>
      <c r="G1060" s="1" t="s">
        <v>91</v>
      </c>
      <c r="H1060" s="1" t="s">
        <v>57</v>
      </c>
      <c r="I1060" s="1" t="s">
        <v>58</v>
      </c>
      <c r="J1060" s="1" t="s">
        <v>32</v>
      </c>
      <c r="K1060" s="1" t="s">
        <v>52</v>
      </c>
      <c r="L1060" s="1" t="s">
        <v>1337</v>
      </c>
      <c r="M1060">
        <v>2</v>
      </c>
      <c r="N1060">
        <v>0.8</v>
      </c>
      <c r="O1060">
        <v>-3.9032</v>
      </c>
      <c r="P1060">
        <v>2.2959999999999998</v>
      </c>
      <c r="Q1060">
        <v>6.1991999999999994</v>
      </c>
    </row>
    <row r="1061" spans="1:17" x14ac:dyDescent="0.25">
      <c r="A1061" s="2">
        <v>42197</v>
      </c>
      <c r="B1061" s="2">
        <v>42202</v>
      </c>
      <c r="C1061" s="1" t="s">
        <v>17</v>
      </c>
      <c r="D1061" s="1" t="s">
        <v>590</v>
      </c>
      <c r="E1061" s="1" t="s">
        <v>19</v>
      </c>
      <c r="F1061" s="1" t="s">
        <v>20</v>
      </c>
      <c r="G1061" s="1" t="s">
        <v>136</v>
      </c>
      <c r="H1061" s="1" t="s">
        <v>98</v>
      </c>
      <c r="I1061" s="1" t="s">
        <v>58</v>
      </c>
      <c r="J1061" s="1" t="s">
        <v>24</v>
      </c>
      <c r="K1061" s="1" t="s">
        <v>82</v>
      </c>
      <c r="L1061" s="1" t="s">
        <v>1771</v>
      </c>
      <c r="M1061">
        <v>9</v>
      </c>
      <c r="N1061">
        <v>0.3</v>
      </c>
      <c r="O1061">
        <v>-5.4801000000000002</v>
      </c>
      <c r="P1061">
        <v>383.60700000000003</v>
      </c>
      <c r="Q1061">
        <v>389.08710000000002</v>
      </c>
    </row>
    <row r="1062" spans="1:17" x14ac:dyDescent="0.25">
      <c r="A1062" s="2">
        <v>42855</v>
      </c>
      <c r="B1062" s="2">
        <v>42857</v>
      </c>
      <c r="C1062" s="1" t="s">
        <v>107</v>
      </c>
      <c r="D1062" s="1" t="s">
        <v>986</v>
      </c>
      <c r="E1062" s="1" t="s">
        <v>19</v>
      </c>
      <c r="F1062" s="1" t="s">
        <v>20</v>
      </c>
      <c r="G1062" s="1" t="s">
        <v>436</v>
      </c>
      <c r="H1062" s="1" t="s">
        <v>284</v>
      </c>
      <c r="I1062" s="1" t="s">
        <v>81</v>
      </c>
      <c r="J1062" s="1" t="s">
        <v>32</v>
      </c>
      <c r="K1062" s="1" t="s">
        <v>33</v>
      </c>
      <c r="L1062" s="1" t="s">
        <v>1772</v>
      </c>
      <c r="M1062">
        <v>2</v>
      </c>
      <c r="N1062">
        <v>0</v>
      </c>
      <c r="O1062">
        <v>2.8224</v>
      </c>
      <c r="P1062">
        <v>5.76</v>
      </c>
      <c r="Q1062">
        <v>2.9375999999999998</v>
      </c>
    </row>
    <row r="1063" spans="1:17" x14ac:dyDescent="0.25">
      <c r="A1063" s="2">
        <v>42004</v>
      </c>
      <c r="B1063" s="2">
        <v>42009</v>
      </c>
      <c r="C1063" s="1" t="s">
        <v>35</v>
      </c>
      <c r="D1063" s="1" t="s">
        <v>1612</v>
      </c>
      <c r="E1063" s="1" t="s">
        <v>28</v>
      </c>
      <c r="F1063" s="1" t="s">
        <v>20</v>
      </c>
      <c r="G1063" s="1" t="s">
        <v>1201</v>
      </c>
      <c r="H1063" s="1" t="s">
        <v>57</v>
      </c>
      <c r="I1063" s="1" t="s">
        <v>58</v>
      </c>
      <c r="J1063" s="1" t="s">
        <v>32</v>
      </c>
      <c r="K1063" s="1" t="s">
        <v>94</v>
      </c>
      <c r="L1063" s="1" t="s">
        <v>263</v>
      </c>
      <c r="M1063">
        <v>2</v>
      </c>
      <c r="N1063">
        <v>0.2</v>
      </c>
      <c r="O1063">
        <v>17.968399999999999</v>
      </c>
      <c r="P1063">
        <v>49.567999999999998</v>
      </c>
      <c r="Q1063">
        <v>31.599599999999999</v>
      </c>
    </row>
    <row r="1064" spans="1:17" x14ac:dyDescent="0.25">
      <c r="A1064" s="2">
        <v>41748</v>
      </c>
      <c r="B1064" s="2">
        <v>41750</v>
      </c>
      <c r="C1064" s="1" t="s">
        <v>17</v>
      </c>
      <c r="D1064" s="1" t="s">
        <v>952</v>
      </c>
      <c r="E1064" s="1" t="s">
        <v>55</v>
      </c>
      <c r="F1064" s="1" t="s">
        <v>20</v>
      </c>
      <c r="G1064" s="1" t="s">
        <v>249</v>
      </c>
      <c r="H1064" s="1" t="s">
        <v>30</v>
      </c>
      <c r="I1064" s="1" t="s">
        <v>31</v>
      </c>
      <c r="J1064" s="1" t="s">
        <v>24</v>
      </c>
      <c r="K1064" s="1" t="s">
        <v>42</v>
      </c>
      <c r="L1064" s="1" t="s">
        <v>1773</v>
      </c>
      <c r="M1064">
        <v>3</v>
      </c>
      <c r="N1064">
        <v>0</v>
      </c>
      <c r="O1064">
        <v>26.649000000000001</v>
      </c>
      <c r="P1064">
        <v>76.14</v>
      </c>
      <c r="Q1064">
        <v>49.491</v>
      </c>
    </row>
    <row r="1065" spans="1:17" x14ac:dyDescent="0.25">
      <c r="A1065" s="2">
        <v>42716</v>
      </c>
      <c r="B1065" s="2">
        <v>42722</v>
      </c>
      <c r="C1065" s="1" t="s">
        <v>35</v>
      </c>
      <c r="D1065" s="1" t="s">
        <v>955</v>
      </c>
      <c r="E1065" s="1" t="s">
        <v>55</v>
      </c>
      <c r="F1065" s="1" t="s">
        <v>20</v>
      </c>
      <c r="G1065" s="1" t="s">
        <v>148</v>
      </c>
      <c r="H1065" s="1" t="s">
        <v>115</v>
      </c>
      <c r="I1065" s="1" t="s">
        <v>58</v>
      </c>
      <c r="J1065" s="1" t="s">
        <v>99</v>
      </c>
      <c r="K1065" s="1" t="s">
        <v>100</v>
      </c>
      <c r="L1065" s="1" t="s">
        <v>1332</v>
      </c>
      <c r="M1065">
        <v>7</v>
      </c>
      <c r="N1065">
        <v>0</v>
      </c>
      <c r="O1065">
        <v>184.22040000000001</v>
      </c>
      <c r="P1065">
        <v>657.93</v>
      </c>
      <c r="Q1065">
        <v>473.70959999999991</v>
      </c>
    </row>
    <row r="1066" spans="1:17" x14ac:dyDescent="0.25">
      <c r="A1066" s="2">
        <v>41740</v>
      </c>
      <c r="B1066" s="2">
        <v>41745</v>
      </c>
      <c r="C1066" s="1" t="s">
        <v>35</v>
      </c>
      <c r="D1066" s="1" t="s">
        <v>871</v>
      </c>
      <c r="E1066" s="1" t="s">
        <v>19</v>
      </c>
      <c r="F1066" s="1" t="s">
        <v>20</v>
      </c>
      <c r="G1066" s="1" t="s">
        <v>1774</v>
      </c>
      <c r="H1066" s="1" t="s">
        <v>1764</v>
      </c>
      <c r="I1066" s="1" t="s">
        <v>31</v>
      </c>
      <c r="J1066" s="1" t="s">
        <v>32</v>
      </c>
      <c r="K1066" s="1" t="s">
        <v>52</v>
      </c>
      <c r="L1066" s="1" t="s">
        <v>1351</v>
      </c>
      <c r="M1066">
        <v>1</v>
      </c>
      <c r="N1066">
        <v>0.2</v>
      </c>
      <c r="O1066">
        <v>3.3544</v>
      </c>
      <c r="P1066">
        <v>9.5839999999999996</v>
      </c>
      <c r="Q1066">
        <v>6.2295999999999996</v>
      </c>
    </row>
    <row r="1067" spans="1:17" x14ac:dyDescent="0.25">
      <c r="A1067" s="2">
        <v>42164</v>
      </c>
      <c r="B1067" s="2">
        <v>42170</v>
      </c>
      <c r="C1067" s="1" t="s">
        <v>35</v>
      </c>
      <c r="D1067" s="1" t="s">
        <v>1775</v>
      </c>
      <c r="E1067" s="1" t="s">
        <v>55</v>
      </c>
      <c r="F1067" s="1" t="s">
        <v>20</v>
      </c>
      <c r="G1067" s="1" t="s">
        <v>1776</v>
      </c>
      <c r="H1067" s="1" t="s">
        <v>144</v>
      </c>
      <c r="I1067" s="1" t="s">
        <v>23</v>
      </c>
      <c r="J1067" s="1" t="s">
        <v>32</v>
      </c>
      <c r="K1067" s="1" t="s">
        <v>52</v>
      </c>
      <c r="L1067" s="1" t="s">
        <v>561</v>
      </c>
      <c r="M1067">
        <v>3</v>
      </c>
      <c r="N1067">
        <v>0</v>
      </c>
      <c r="O1067">
        <v>56.55</v>
      </c>
      <c r="P1067">
        <v>113.1</v>
      </c>
      <c r="Q1067">
        <v>56.55</v>
      </c>
    </row>
    <row r="1068" spans="1:17" x14ac:dyDescent="0.25">
      <c r="A1068" s="2">
        <v>42216</v>
      </c>
      <c r="B1068" s="2">
        <v>42222</v>
      </c>
      <c r="C1068" s="1" t="s">
        <v>35</v>
      </c>
      <c r="D1068" s="1" t="s">
        <v>447</v>
      </c>
      <c r="E1068" s="1" t="s">
        <v>28</v>
      </c>
      <c r="F1068" s="1" t="s">
        <v>20</v>
      </c>
      <c r="G1068" s="1" t="s">
        <v>1777</v>
      </c>
      <c r="H1068" s="1" t="s">
        <v>502</v>
      </c>
      <c r="I1068" s="1" t="s">
        <v>23</v>
      </c>
      <c r="J1068" s="1" t="s">
        <v>99</v>
      </c>
      <c r="K1068" s="1" t="s">
        <v>111</v>
      </c>
      <c r="L1068" s="1" t="s">
        <v>360</v>
      </c>
      <c r="M1068">
        <v>6</v>
      </c>
      <c r="N1068">
        <v>0</v>
      </c>
      <c r="O1068">
        <v>105.468</v>
      </c>
      <c r="P1068">
        <v>239.7</v>
      </c>
      <c r="Q1068">
        <v>134.23199999999997</v>
      </c>
    </row>
    <row r="1069" spans="1:17" x14ac:dyDescent="0.25">
      <c r="A1069" s="2">
        <v>42393</v>
      </c>
      <c r="B1069" s="2">
        <v>42395</v>
      </c>
      <c r="C1069" s="1" t="s">
        <v>17</v>
      </c>
      <c r="D1069" s="1" t="s">
        <v>1085</v>
      </c>
      <c r="E1069" s="1" t="s">
        <v>28</v>
      </c>
      <c r="F1069" s="1" t="s">
        <v>20</v>
      </c>
      <c r="G1069" s="1" t="s">
        <v>1044</v>
      </c>
      <c r="H1069" s="1" t="s">
        <v>502</v>
      </c>
      <c r="I1069" s="1" t="s">
        <v>23</v>
      </c>
      <c r="J1069" s="1" t="s">
        <v>32</v>
      </c>
      <c r="K1069" s="1" t="s">
        <v>52</v>
      </c>
      <c r="L1069" s="1" t="s">
        <v>1778</v>
      </c>
      <c r="M1069">
        <v>4</v>
      </c>
      <c r="N1069">
        <v>0</v>
      </c>
      <c r="O1069">
        <v>15.68</v>
      </c>
      <c r="P1069">
        <v>31.36</v>
      </c>
      <c r="Q1069">
        <v>15.68</v>
      </c>
    </row>
    <row r="1070" spans="1:17" x14ac:dyDescent="0.25">
      <c r="A1070" s="2">
        <v>42268</v>
      </c>
      <c r="B1070" s="2">
        <v>42273</v>
      </c>
      <c r="C1070" s="1" t="s">
        <v>35</v>
      </c>
      <c r="D1070" s="1" t="s">
        <v>721</v>
      </c>
      <c r="E1070" s="1" t="s">
        <v>55</v>
      </c>
      <c r="F1070" s="1" t="s">
        <v>20</v>
      </c>
      <c r="G1070" s="1" t="s">
        <v>1779</v>
      </c>
      <c r="H1070" s="1" t="s">
        <v>423</v>
      </c>
      <c r="I1070" s="1" t="s">
        <v>81</v>
      </c>
      <c r="J1070" s="1" t="s">
        <v>99</v>
      </c>
      <c r="K1070" s="1" t="s">
        <v>100</v>
      </c>
      <c r="L1070" s="1" t="s">
        <v>1780</v>
      </c>
      <c r="M1070">
        <v>2</v>
      </c>
      <c r="N1070">
        <v>0</v>
      </c>
      <c r="O1070">
        <v>147.47499999999999</v>
      </c>
      <c r="P1070">
        <v>589.9</v>
      </c>
      <c r="Q1070">
        <v>442.42499999999995</v>
      </c>
    </row>
    <row r="1071" spans="1:17" x14ac:dyDescent="0.25">
      <c r="A1071" s="2">
        <v>42624</v>
      </c>
      <c r="B1071" s="2">
        <v>42629</v>
      </c>
      <c r="C1071" s="1" t="s">
        <v>35</v>
      </c>
      <c r="D1071" s="1" t="s">
        <v>1268</v>
      </c>
      <c r="E1071" s="1" t="s">
        <v>19</v>
      </c>
      <c r="F1071" s="1" t="s">
        <v>20</v>
      </c>
      <c r="G1071" s="1" t="s">
        <v>1474</v>
      </c>
      <c r="H1071" s="1" t="s">
        <v>144</v>
      </c>
      <c r="I1071" s="1" t="s">
        <v>23</v>
      </c>
      <c r="J1071" s="1" t="s">
        <v>99</v>
      </c>
      <c r="K1071" s="1" t="s">
        <v>573</v>
      </c>
      <c r="L1071" s="1" t="s">
        <v>1781</v>
      </c>
      <c r="M1071">
        <v>8</v>
      </c>
      <c r="N1071">
        <v>0</v>
      </c>
      <c r="O1071">
        <v>751.9624</v>
      </c>
      <c r="P1071">
        <v>1599.92</v>
      </c>
      <c r="Q1071">
        <v>847.95760000000007</v>
      </c>
    </row>
    <row r="1072" spans="1:17" x14ac:dyDescent="0.25">
      <c r="A1072" s="2">
        <v>42594</v>
      </c>
      <c r="B1072" s="2">
        <v>42598</v>
      </c>
      <c r="C1072" s="1" t="s">
        <v>35</v>
      </c>
      <c r="D1072" s="1" t="s">
        <v>1782</v>
      </c>
      <c r="E1072" s="1" t="s">
        <v>55</v>
      </c>
      <c r="F1072" s="1" t="s">
        <v>20</v>
      </c>
      <c r="G1072" s="1" t="s">
        <v>126</v>
      </c>
      <c r="H1072" s="1" t="s">
        <v>127</v>
      </c>
      <c r="I1072" s="1" t="s">
        <v>81</v>
      </c>
      <c r="J1072" s="1" t="s">
        <v>24</v>
      </c>
      <c r="K1072" s="1" t="s">
        <v>82</v>
      </c>
      <c r="L1072" s="1" t="s">
        <v>531</v>
      </c>
      <c r="M1072">
        <v>2</v>
      </c>
      <c r="N1072">
        <v>0.1</v>
      </c>
      <c r="O1072">
        <v>-8.0980000000000008</v>
      </c>
      <c r="P1072">
        <v>145.76400000000001</v>
      </c>
      <c r="Q1072">
        <v>153.86200000000002</v>
      </c>
    </row>
    <row r="1073" spans="1:17" x14ac:dyDescent="0.25">
      <c r="A1073" s="2">
        <v>41789</v>
      </c>
      <c r="B1073" s="2">
        <v>41795</v>
      </c>
      <c r="C1073" s="1" t="s">
        <v>35</v>
      </c>
      <c r="D1073" s="1" t="s">
        <v>1783</v>
      </c>
      <c r="E1073" s="1" t="s">
        <v>28</v>
      </c>
      <c r="F1073" s="1" t="s">
        <v>20</v>
      </c>
      <c r="G1073" s="1" t="s">
        <v>496</v>
      </c>
      <c r="H1073" s="1" t="s">
        <v>144</v>
      </c>
      <c r="I1073" s="1" t="s">
        <v>23</v>
      </c>
      <c r="J1073" s="1" t="s">
        <v>32</v>
      </c>
      <c r="K1073" s="1" t="s">
        <v>47</v>
      </c>
      <c r="L1073" s="1" t="s">
        <v>1784</v>
      </c>
      <c r="M1073">
        <v>3</v>
      </c>
      <c r="N1073">
        <v>0</v>
      </c>
      <c r="O1073">
        <v>6.1289999999999996</v>
      </c>
      <c r="P1073">
        <v>13.62</v>
      </c>
      <c r="Q1073">
        <v>7.4909999999999997</v>
      </c>
    </row>
    <row r="1074" spans="1:17" x14ac:dyDescent="0.25">
      <c r="A1074" s="2">
        <v>42379</v>
      </c>
      <c r="B1074" s="2">
        <v>42386</v>
      </c>
      <c r="C1074" s="1" t="s">
        <v>35</v>
      </c>
      <c r="D1074" s="1" t="s">
        <v>74</v>
      </c>
      <c r="E1074" s="1" t="s">
        <v>28</v>
      </c>
      <c r="F1074" s="1" t="s">
        <v>20</v>
      </c>
      <c r="G1074" s="1" t="s">
        <v>50</v>
      </c>
      <c r="H1074" s="1" t="s">
        <v>51</v>
      </c>
      <c r="I1074" s="1" t="s">
        <v>31</v>
      </c>
      <c r="J1074" s="1" t="s">
        <v>24</v>
      </c>
      <c r="K1074" s="1" t="s">
        <v>42</v>
      </c>
      <c r="L1074" s="1" t="s">
        <v>1041</v>
      </c>
      <c r="M1074">
        <v>4</v>
      </c>
      <c r="N1074">
        <v>0</v>
      </c>
      <c r="O1074">
        <v>34.365600000000001</v>
      </c>
      <c r="P1074">
        <v>79.92</v>
      </c>
      <c r="Q1074">
        <v>45.554400000000001</v>
      </c>
    </row>
    <row r="1075" spans="1:17" x14ac:dyDescent="0.25">
      <c r="A1075" s="2">
        <v>41993</v>
      </c>
      <c r="B1075" s="2">
        <v>41995</v>
      </c>
      <c r="C1075" s="1" t="s">
        <v>107</v>
      </c>
      <c r="D1075" s="1" t="s">
        <v>1409</v>
      </c>
      <c r="E1075" s="1" t="s">
        <v>19</v>
      </c>
      <c r="F1075" s="1" t="s">
        <v>20</v>
      </c>
      <c r="G1075" s="1" t="s">
        <v>442</v>
      </c>
      <c r="H1075" s="1" t="s">
        <v>140</v>
      </c>
      <c r="I1075" s="1" t="s">
        <v>31</v>
      </c>
      <c r="J1075" s="1" t="s">
        <v>24</v>
      </c>
      <c r="K1075" s="1" t="s">
        <v>42</v>
      </c>
      <c r="L1075" s="1" t="s">
        <v>1515</v>
      </c>
      <c r="M1075">
        <v>2</v>
      </c>
      <c r="N1075">
        <v>0.2</v>
      </c>
      <c r="O1075">
        <v>10.393599999999999</v>
      </c>
      <c r="P1075">
        <v>51.968000000000004</v>
      </c>
      <c r="Q1075">
        <v>41.574400000000004</v>
      </c>
    </row>
    <row r="1076" spans="1:17" x14ac:dyDescent="0.25">
      <c r="A1076" s="2">
        <v>42507</v>
      </c>
      <c r="B1076" s="2">
        <v>42508</v>
      </c>
      <c r="C1076" s="1" t="s">
        <v>107</v>
      </c>
      <c r="D1076" s="1" t="s">
        <v>441</v>
      </c>
      <c r="E1076" s="1" t="s">
        <v>19</v>
      </c>
      <c r="F1076" s="1" t="s">
        <v>20</v>
      </c>
      <c r="G1076" s="1" t="s">
        <v>1785</v>
      </c>
      <c r="H1076" s="1" t="s">
        <v>284</v>
      </c>
      <c r="I1076" s="1" t="s">
        <v>81</v>
      </c>
      <c r="J1076" s="1" t="s">
        <v>32</v>
      </c>
      <c r="K1076" s="1" t="s">
        <v>476</v>
      </c>
      <c r="L1076" s="1" t="s">
        <v>1786</v>
      </c>
      <c r="M1076">
        <v>7</v>
      </c>
      <c r="N1076">
        <v>0</v>
      </c>
      <c r="O1076">
        <v>18.8993</v>
      </c>
      <c r="P1076">
        <v>65.17</v>
      </c>
      <c r="Q1076">
        <v>46.270700000000005</v>
      </c>
    </row>
    <row r="1077" spans="1:17" x14ac:dyDescent="0.25">
      <c r="A1077" s="2">
        <v>41729</v>
      </c>
      <c r="B1077" s="2">
        <v>41729</v>
      </c>
      <c r="C1077" s="1" t="s">
        <v>434</v>
      </c>
      <c r="D1077" s="1" t="s">
        <v>1218</v>
      </c>
      <c r="E1077" s="1" t="s">
        <v>19</v>
      </c>
      <c r="F1077" s="1" t="s">
        <v>20</v>
      </c>
      <c r="G1077" s="1" t="s">
        <v>79</v>
      </c>
      <c r="H1077" s="1" t="s">
        <v>80</v>
      </c>
      <c r="I1077" s="1" t="s">
        <v>81</v>
      </c>
      <c r="J1077" s="1" t="s">
        <v>32</v>
      </c>
      <c r="K1077" s="1" t="s">
        <v>52</v>
      </c>
      <c r="L1077" s="1" t="s">
        <v>1787</v>
      </c>
      <c r="M1077">
        <v>1</v>
      </c>
      <c r="N1077">
        <v>0.7</v>
      </c>
      <c r="O1077">
        <v>-0.59640000000000004</v>
      </c>
      <c r="P1077">
        <v>0.85199999999999998</v>
      </c>
      <c r="Q1077">
        <v>1.4483999999999999</v>
      </c>
    </row>
    <row r="1078" spans="1:17" x14ac:dyDescent="0.25">
      <c r="A1078" s="2">
        <v>42287</v>
      </c>
      <c r="B1078" s="2">
        <v>42288</v>
      </c>
      <c r="C1078" s="1" t="s">
        <v>107</v>
      </c>
      <c r="D1078" s="1" t="s">
        <v>666</v>
      </c>
      <c r="E1078" s="1" t="s">
        <v>28</v>
      </c>
      <c r="F1078" s="1" t="s">
        <v>20</v>
      </c>
      <c r="G1078" s="1" t="s">
        <v>71</v>
      </c>
      <c r="H1078" s="1" t="s">
        <v>30</v>
      </c>
      <c r="I1078" s="1" t="s">
        <v>31</v>
      </c>
      <c r="J1078" s="1" t="s">
        <v>32</v>
      </c>
      <c r="K1078" s="1" t="s">
        <v>47</v>
      </c>
      <c r="L1078" s="1" t="s">
        <v>1651</v>
      </c>
      <c r="M1078">
        <v>7</v>
      </c>
      <c r="N1078">
        <v>0</v>
      </c>
      <c r="O1078">
        <v>21.7728</v>
      </c>
      <c r="P1078">
        <v>45.36</v>
      </c>
      <c r="Q1078">
        <v>23.587199999999999</v>
      </c>
    </row>
    <row r="1079" spans="1:17" x14ac:dyDescent="0.25">
      <c r="A1079" s="2">
        <v>42112</v>
      </c>
      <c r="B1079" s="2">
        <v>42114</v>
      </c>
      <c r="C1079" s="1" t="s">
        <v>17</v>
      </c>
      <c r="D1079" s="1" t="s">
        <v>934</v>
      </c>
      <c r="E1079" s="1" t="s">
        <v>55</v>
      </c>
      <c r="F1079" s="1" t="s">
        <v>20</v>
      </c>
      <c r="G1079" s="1" t="s">
        <v>29</v>
      </c>
      <c r="H1079" s="1" t="s">
        <v>30</v>
      </c>
      <c r="I1079" s="1" t="s">
        <v>31</v>
      </c>
      <c r="J1079" s="1" t="s">
        <v>32</v>
      </c>
      <c r="K1079" s="1" t="s">
        <v>64</v>
      </c>
      <c r="L1079" s="1" t="s">
        <v>1788</v>
      </c>
      <c r="M1079">
        <v>7</v>
      </c>
      <c r="N1079">
        <v>0</v>
      </c>
      <c r="O1079">
        <v>9.4717000000000002</v>
      </c>
      <c r="P1079">
        <v>947.17</v>
      </c>
      <c r="Q1079">
        <v>937.6982999999999</v>
      </c>
    </row>
    <row r="1080" spans="1:17" x14ac:dyDescent="0.25">
      <c r="A1080" s="2">
        <v>42512</v>
      </c>
      <c r="B1080" s="2">
        <v>42512</v>
      </c>
      <c r="C1080" s="1" t="s">
        <v>434</v>
      </c>
      <c r="D1080" s="1" t="s">
        <v>619</v>
      </c>
      <c r="E1080" s="1" t="s">
        <v>19</v>
      </c>
      <c r="F1080" s="1" t="s">
        <v>20</v>
      </c>
      <c r="G1080" s="1" t="s">
        <v>1789</v>
      </c>
      <c r="H1080" s="1" t="s">
        <v>429</v>
      </c>
      <c r="I1080" s="1" t="s">
        <v>23</v>
      </c>
      <c r="J1080" s="1" t="s">
        <v>32</v>
      </c>
      <c r="K1080" s="1" t="s">
        <v>33</v>
      </c>
      <c r="L1080" s="1" t="s">
        <v>1790</v>
      </c>
      <c r="M1080">
        <v>3</v>
      </c>
      <c r="N1080">
        <v>0</v>
      </c>
      <c r="O1080">
        <v>7.2176999999999998</v>
      </c>
      <c r="P1080">
        <v>14.73</v>
      </c>
      <c r="Q1080">
        <v>7.5123000000000006</v>
      </c>
    </row>
    <row r="1081" spans="1:17" x14ac:dyDescent="0.25">
      <c r="A1081" s="2">
        <v>42432</v>
      </c>
      <c r="B1081" s="2">
        <v>42432</v>
      </c>
      <c r="C1081" s="1" t="s">
        <v>434</v>
      </c>
      <c r="D1081" s="1" t="s">
        <v>957</v>
      </c>
      <c r="E1081" s="1" t="s">
        <v>28</v>
      </c>
      <c r="F1081" s="1" t="s">
        <v>20</v>
      </c>
      <c r="G1081" s="1" t="s">
        <v>71</v>
      </c>
      <c r="H1081" s="1" t="s">
        <v>30</v>
      </c>
      <c r="I1081" s="1" t="s">
        <v>31</v>
      </c>
      <c r="J1081" s="1" t="s">
        <v>32</v>
      </c>
      <c r="K1081" s="1" t="s">
        <v>476</v>
      </c>
      <c r="L1081" s="1" t="s">
        <v>1791</v>
      </c>
      <c r="M1081">
        <v>3</v>
      </c>
      <c r="N1081">
        <v>0</v>
      </c>
      <c r="O1081">
        <v>7.6050000000000004</v>
      </c>
      <c r="P1081">
        <v>25.35</v>
      </c>
      <c r="Q1081">
        <v>17.745000000000001</v>
      </c>
    </row>
    <row r="1082" spans="1:17" x14ac:dyDescent="0.25">
      <c r="A1082" s="2">
        <v>42650</v>
      </c>
      <c r="B1082" s="2">
        <v>42652</v>
      </c>
      <c r="C1082" s="1" t="s">
        <v>107</v>
      </c>
      <c r="D1082" s="1" t="s">
        <v>988</v>
      </c>
      <c r="E1082" s="1" t="s">
        <v>28</v>
      </c>
      <c r="F1082" s="1" t="s">
        <v>20</v>
      </c>
      <c r="G1082" s="1" t="s">
        <v>1305</v>
      </c>
      <c r="H1082" s="1" t="s">
        <v>51</v>
      </c>
      <c r="I1082" s="1" t="s">
        <v>31</v>
      </c>
      <c r="J1082" s="1" t="s">
        <v>99</v>
      </c>
      <c r="K1082" s="1" t="s">
        <v>354</v>
      </c>
      <c r="L1082" s="1" t="s">
        <v>1792</v>
      </c>
      <c r="M1082">
        <v>3</v>
      </c>
      <c r="N1082">
        <v>0.2</v>
      </c>
      <c r="O1082">
        <v>62.82</v>
      </c>
      <c r="P1082">
        <v>837.6</v>
      </c>
      <c r="Q1082">
        <v>774.78</v>
      </c>
    </row>
    <row r="1083" spans="1:17" x14ac:dyDescent="0.25">
      <c r="A1083" s="2">
        <v>42888</v>
      </c>
      <c r="B1083" s="2">
        <v>42889</v>
      </c>
      <c r="C1083" s="1" t="s">
        <v>434</v>
      </c>
      <c r="D1083" s="1" t="s">
        <v>1793</v>
      </c>
      <c r="E1083" s="1" t="s">
        <v>19</v>
      </c>
      <c r="F1083" s="1" t="s">
        <v>20</v>
      </c>
      <c r="G1083" s="1" t="s">
        <v>516</v>
      </c>
      <c r="H1083" s="1" t="s">
        <v>46</v>
      </c>
      <c r="I1083" s="1" t="s">
        <v>23</v>
      </c>
      <c r="J1083" s="1" t="s">
        <v>32</v>
      </c>
      <c r="K1083" s="1" t="s">
        <v>47</v>
      </c>
      <c r="L1083" s="1" t="s">
        <v>1794</v>
      </c>
      <c r="M1083">
        <v>4</v>
      </c>
      <c r="N1083">
        <v>0.2</v>
      </c>
      <c r="O1083">
        <v>9.1872000000000007</v>
      </c>
      <c r="P1083">
        <v>25.344000000000001</v>
      </c>
      <c r="Q1083">
        <v>16.1568</v>
      </c>
    </row>
    <row r="1084" spans="1:17" x14ac:dyDescent="0.25">
      <c r="A1084" s="2">
        <v>41943</v>
      </c>
      <c r="B1084" s="2">
        <v>41946</v>
      </c>
      <c r="C1084" s="1" t="s">
        <v>17</v>
      </c>
      <c r="D1084" s="1" t="s">
        <v>1795</v>
      </c>
      <c r="E1084" s="1" t="s">
        <v>19</v>
      </c>
      <c r="F1084" s="1" t="s">
        <v>20</v>
      </c>
      <c r="G1084" s="1" t="s">
        <v>1796</v>
      </c>
      <c r="H1084" s="1" t="s">
        <v>140</v>
      </c>
      <c r="I1084" s="1" t="s">
        <v>31</v>
      </c>
      <c r="J1084" s="1" t="s">
        <v>99</v>
      </c>
      <c r="K1084" s="1" t="s">
        <v>100</v>
      </c>
      <c r="L1084" s="1" t="s">
        <v>949</v>
      </c>
      <c r="M1084">
        <v>8</v>
      </c>
      <c r="N1084">
        <v>0.2</v>
      </c>
      <c r="O1084">
        <v>83.512799999999999</v>
      </c>
      <c r="P1084">
        <v>742.33600000000001</v>
      </c>
      <c r="Q1084">
        <v>658.82320000000004</v>
      </c>
    </row>
    <row r="1085" spans="1:17" x14ac:dyDescent="0.25">
      <c r="A1085" s="2">
        <v>42419</v>
      </c>
      <c r="B1085" s="2">
        <v>42423</v>
      </c>
      <c r="C1085" s="1" t="s">
        <v>17</v>
      </c>
      <c r="D1085" s="1" t="s">
        <v>823</v>
      </c>
      <c r="E1085" s="1" t="s">
        <v>28</v>
      </c>
      <c r="F1085" s="1" t="s">
        <v>20</v>
      </c>
      <c r="G1085" s="1" t="s">
        <v>400</v>
      </c>
      <c r="H1085" s="1" t="s">
        <v>127</v>
      </c>
      <c r="I1085" s="1" t="s">
        <v>81</v>
      </c>
      <c r="J1085" s="1" t="s">
        <v>32</v>
      </c>
      <c r="K1085" s="1" t="s">
        <v>33</v>
      </c>
      <c r="L1085" s="1" t="s">
        <v>1756</v>
      </c>
      <c r="M1085">
        <v>3</v>
      </c>
      <c r="N1085">
        <v>0</v>
      </c>
      <c r="O1085">
        <v>4.0749000000000004</v>
      </c>
      <c r="P1085">
        <v>8.67</v>
      </c>
      <c r="Q1085">
        <v>4.5950999999999995</v>
      </c>
    </row>
    <row r="1086" spans="1:17" x14ac:dyDescent="0.25">
      <c r="A1086" s="2">
        <v>41828</v>
      </c>
      <c r="B1086" s="2">
        <v>41830</v>
      </c>
      <c r="C1086" s="1" t="s">
        <v>107</v>
      </c>
      <c r="D1086" s="1" t="s">
        <v>1536</v>
      </c>
      <c r="E1086" s="1" t="s">
        <v>19</v>
      </c>
      <c r="F1086" s="1" t="s">
        <v>20</v>
      </c>
      <c r="G1086" s="1" t="s">
        <v>1704</v>
      </c>
      <c r="H1086" s="1" t="s">
        <v>127</v>
      </c>
      <c r="I1086" s="1" t="s">
        <v>81</v>
      </c>
      <c r="J1086" s="1" t="s">
        <v>24</v>
      </c>
      <c r="K1086" s="1" t="s">
        <v>82</v>
      </c>
      <c r="L1086" s="1" t="s">
        <v>1691</v>
      </c>
      <c r="M1086">
        <v>1</v>
      </c>
      <c r="N1086">
        <v>0.1</v>
      </c>
      <c r="O1086">
        <v>10.647</v>
      </c>
      <c r="P1086">
        <v>63.881999999999998</v>
      </c>
      <c r="Q1086">
        <v>53.234999999999999</v>
      </c>
    </row>
    <row r="1087" spans="1:17" x14ac:dyDescent="0.25">
      <c r="A1087" s="2">
        <v>42763</v>
      </c>
      <c r="B1087" s="2">
        <v>42767</v>
      </c>
      <c r="C1087" s="1" t="s">
        <v>35</v>
      </c>
      <c r="D1087" s="1" t="s">
        <v>1571</v>
      </c>
      <c r="E1087" s="1" t="s">
        <v>19</v>
      </c>
      <c r="F1087" s="1" t="s">
        <v>20</v>
      </c>
      <c r="G1087" s="1" t="s">
        <v>1797</v>
      </c>
      <c r="H1087" s="1" t="s">
        <v>1798</v>
      </c>
      <c r="I1087" s="1" t="s">
        <v>58</v>
      </c>
      <c r="J1087" s="1" t="s">
        <v>32</v>
      </c>
      <c r="K1087" s="1" t="s">
        <v>47</v>
      </c>
      <c r="L1087" s="1" t="s">
        <v>1190</v>
      </c>
      <c r="M1087">
        <v>5</v>
      </c>
      <c r="N1087">
        <v>0</v>
      </c>
      <c r="O1087">
        <v>137.15100000000001</v>
      </c>
      <c r="P1087">
        <v>279.89999999999998</v>
      </c>
      <c r="Q1087">
        <v>142.74899999999997</v>
      </c>
    </row>
    <row r="1088" spans="1:17" x14ac:dyDescent="0.25">
      <c r="A1088" s="2">
        <v>42184</v>
      </c>
      <c r="B1088" s="2">
        <v>42189</v>
      </c>
      <c r="C1088" s="1" t="s">
        <v>35</v>
      </c>
      <c r="D1088" s="1" t="s">
        <v>1799</v>
      </c>
      <c r="E1088" s="1" t="s">
        <v>19</v>
      </c>
      <c r="F1088" s="1" t="s">
        <v>20</v>
      </c>
      <c r="G1088" s="1" t="s">
        <v>126</v>
      </c>
      <c r="H1088" s="1" t="s">
        <v>127</v>
      </c>
      <c r="I1088" s="1" t="s">
        <v>81</v>
      </c>
      <c r="J1088" s="1" t="s">
        <v>32</v>
      </c>
      <c r="K1088" s="1" t="s">
        <v>47</v>
      </c>
      <c r="L1088" s="1" t="s">
        <v>1059</v>
      </c>
      <c r="M1088">
        <v>4</v>
      </c>
      <c r="N1088">
        <v>0</v>
      </c>
      <c r="O1088">
        <v>11.231999999999999</v>
      </c>
      <c r="P1088">
        <v>24.96</v>
      </c>
      <c r="Q1088">
        <v>13.728000000000002</v>
      </c>
    </row>
    <row r="1089" spans="1:17" x14ac:dyDescent="0.25">
      <c r="A1089" s="2">
        <v>42229</v>
      </c>
      <c r="B1089" s="2">
        <v>42233</v>
      </c>
      <c r="C1089" s="1" t="s">
        <v>35</v>
      </c>
      <c r="D1089" s="1" t="s">
        <v>655</v>
      </c>
      <c r="E1089" s="1" t="s">
        <v>19</v>
      </c>
      <c r="F1089" s="1" t="s">
        <v>20</v>
      </c>
      <c r="G1089" s="1" t="s">
        <v>1800</v>
      </c>
      <c r="H1089" s="1" t="s">
        <v>429</v>
      </c>
      <c r="I1089" s="1" t="s">
        <v>23</v>
      </c>
      <c r="J1089" s="1" t="s">
        <v>32</v>
      </c>
      <c r="K1089" s="1" t="s">
        <v>52</v>
      </c>
      <c r="L1089" s="1" t="s">
        <v>1455</v>
      </c>
      <c r="M1089">
        <v>3</v>
      </c>
      <c r="N1089">
        <v>0</v>
      </c>
      <c r="O1089">
        <v>2.7071999999999998</v>
      </c>
      <c r="P1089">
        <v>5.64</v>
      </c>
      <c r="Q1089">
        <v>2.9327999999999999</v>
      </c>
    </row>
    <row r="1090" spans="1:17" x14ac:dyDescent="0.25">
      <c r="A1090" s="2">
        <v>42504</v>
      </c>
      <c r="B1090" s="2">
        <v>42509</v>
      </c>
      <c r="C1090" s="1" t="s">
        <v>35</v>
      </c>
      <c r="D1090" s="1" t="s">
        <v>435</v>
      </c>
      <c r="E1090" s="1" t="s">
        <v>28</v>
      </c>
      <c r="F1090" s="1" t="s">
        <v>20</v>
      </c>
      <c r="G1090" s="1" t="s">
        <v>516</v>
      </c>
      <c r="H1090" s="1" t="s">
        <v>38</v>
      </c>
      <c r="I1090" s="1" t="s">
        <v>23</v>
      </c>
      <c r="J1090" s="1" t="s">
        <v>32</v>
      </c>
      <c r="K1090" s="1" t="s">
        <v>52</v>
      </c>
      <c r="L1090" s="1" t="s">
        <v>1440</v>
      </c>
      <c r="M1090">
        <v>3</v>
      </c>
      <c r="N1090">
        <v>0.7</v>
      </c>
      <c r="O1090">
        <v>-44.1462</v>
      </c>
      <c r="P1090">
        <v>57.582000000000001</v>
      </c>
      <c r="Q1090">
        <v>101.7282</v>
      </c>
    </row>
    <row r="1091" spans="1:17" x14ac:dyDescent="0.25">
      <c r="A1091" s="2">
        <v>42929</v>
      </c>
      <c r="B1091" s="2">
        <v>42933</v>
      </c>
      <c r="C1091" s="1" t="s">
        <v>17</v>
      </c>
      <c r="D1091" s="1" t="s">
        <v>1801</v>
      </c>
      <c r="E1091" s="1" t="s">
        <v>19</v>
      </c>
      <c r="F1091" s="1" t="s">
        <v>20</v>
      </c>
      <c r="G1091" s="1" t="s">
        <v>79</v>
      </c>
      <c r="H1091" s="1" t="s">
        <v>80</v>
      </c>
      <c r="I1091" s="1" t="s">
        <v>81</v>
      </c>
      <c r="J1091" s="1" t="s">
        <v>99</v>
      </c>
      <c r="K1091" s="1" t="s">
        <v>100</v>
      </c>
      <c r="L1091" s="1" t="s">
        <v>1802</v>
      </c>
      <c r="M1091">
        <v>1</v>
      </c>
      <c r="N1091">
        <v>0.4</v>
      </c>
      <c r="O1091">
        <v>-7.2588999999999997</v>
      </c>
      <c r="P1091">
        <v>39.594000000000001</v>
      </c>
      <c r="Q1091">
        <v>46.852899999999998</v>
      </c>
    </row>
    <row r="1092" spans="1:17" x14ac:dyDescent="0.25">
      <c r="A1092" s="2">
        <v>42365</v>
      </c>
      <c r="B1092" s="2">
        <v>42368</v>
      </c>
      <c r="C1092" s="1" t="s">
        <v>107</v>
      </c>
      <c r="D1092" s="1" t="s">
        <v>1587</v>
      </c>
      <c r="E1092" s="1" t="s">
        <v>19</v>
      </c>
      <c r="F1092" s="1" t="s">
        <v>20</v>
      </c>
      <c r="G1092" s="1" t="s">
        <v>1579</v>
      </c>
      <c r="H1092" s="1" t="s">
        <v>63</v>
      </c>
      <c r="I1092" s="1" t="s">
        <v>58</v>
      </c>
      <c r="J1092" s="1" t="s">
        <v>32</v>
      </c>
      <c r="K1092" s="1" t="s">
        <v>47</v>
      </c>
      <c r="L1092" s="1" t="s">
        <v>1803</v>
      </c>
      <c r="M1092">
        <v>4</v>
      </c>
      <c r="N1092">
        <v>0</v>
      </c>
      <c r="O1092">
        <v>91.950800000000001</v>
      </c>
      <c r="P1092">
        <v>195.64</v>
      </c>
      <c r="Q1092">
        <v>103.68919999999999</v>
      </c>
    </row>
    <row r="1093" spans="1:17" x14ac:dyDescent="0.25">
      <c r="A1093" s="2">
        <v>42101</v>
      </c>
      <c r="B1093" s="2">
        <v>42105</v>
      </c>
      <c r="C1093" s="1" t="s">
        <v>35</v>
      </c>
      <c r="D1093" s="1" t="s">
        <v>1804</v>
      </c>
      <c r="E1093" s="1" t="s">
        <v>19</v>
      </c>
      <c r="F1093" s="1" t="s">
        <v>20</v>
      </c>
      <c r="G1093" s="1" t="s">
        <v>265</v>
      </c>
      <c r="H1093" s="1" t="s">
        <v>57</v>
      </c>
      <c r="I1093" s="1" t="s">
        <v>58</v>
      </c>
      <c r="J1093" s="1" t="s">
        <v>32</v>
      </c>
      <c r="K1093" s="1" t="s">
        <v>59</v>
      </c>
      <c r="L1093" s="1" t="s">
        <v>1805</v>
      </c>
      <c r="M1093">
        <v>8</v>
      </c>
      <c r="N1093">
        <v>0.8</v>
      </c>
      <c r="O1093">
        <v>-1181.2824000000001</v>
      </c>
      <c r="P1093">
        <v>463.24799999999999</v>
      </c>
      <c r="Q1093">
        <v>1644.5304000000001</v>
      </c>
    </row>
    <row r="1094" spans="1:17" x14ac:dyDescent="0.25">
      <c r="A1094" s="2">
        <v>43007</v>
      </c>
      <c r="B1094" s="2">
        <v>43012</v>
      </c>
      <c r="C1094" s="1" t="s">
        <v>35</v>
      </c>
      <c r="D1094" s="1" t="s">
        <v>1218</v>
      </c>
      <c r="E1094" s="1" t="s">
        <v>19</v>
      </c>
      <c r="F1094" s="1" t="s">
        <v>20</v>
      </c>
      <c r="G1094" s="1" t="s">
        <v>151</v>
      </c>
      <c r="H1094" s="1" t="s">
        <v>152</v>
      </c>
      <c r="I1094" s="1" t="s">
        <v>23</v>
      </c>
      <c r="J1094" s="1" t="s">
        <v>32</v>
      </c>
      <c r="K1094" s="1" t="s">
        <v>64</v>
      </c>
      <c r="L1094" s="1" t="s">
        <v>1806</v>
      </c>
      <c r="M1094">
        <v>5</v>
      </c>
      <c r="N1094">
        <v>0.2</v>
      </c>
      <c r="O1094">
        <v>-54.881999999999998</v>
      </c>
      <c r="P1094">
        <v>243.92</v>
      </c>
      <c r="Q1094">
        <v>298.80199999999996</v>
      </c>
    </row>
    <row r="1095" spans="1:17" x14ac:dyDescent="0.25">
      <c r="A1095" s="2">
        <v>42208</v>
      </c>
      <c r="B1095" s="2">
        <v>42211</v>
      </c>
      <c r="C1095" s="1" t="s">
        <v>17</v>
      </c>
      <c r="D1095" s="1" t="s">
        <v>641</v>
      </c>
      <c r="E1095" s="1" t="s">
        <v>19</v>
      </c>
      <c r="F1095" s="1" t="s">
        <v>20</v>
      </c>
      <c r="G1095" s="1" t="s">
        <v>172</v>
      </c>
      <c r="H1095" s="1" t="s">
        <v>127</v>
      </c>
      <c r="I1095" s="1" t="s">
        <v>81</v>
      </c>
      <c r="J1095" s="1" t="s">
        <v>32</v>
      </c>
      <c r="K1095" s="1" t="s">
        <v>52</v>
      </c>
      <c r="L1095" s="1" t="s">
        <v>1807</v>
      </c>
      <c r="M1095">
        <v>3</v>
      </c>
      <c r="N1095">
        <v>0.2</v>
      </c>
      <c r="O1095">
        <v>3.6791999999999998</v>
      </c>
      <c r="P1095">
        <v>10.512</v>
      </c>
      <c r="Q1095">
        <v>6.8328000000000007</v>
      </c>
    </row>
    <row r="1096" spans="1:17" x14ac:dyDescent="0.25">
      <c r="A1096" s="2">
        <v>42017</v>
      </c>
      <c r="B1096" s="2">
        <v>42021</v>
      </c>
      <c r="C1096" s="1" t="s">
        <v>35</v>
      </c>
      <c r="D1096" s="1" t="s">
        <v>494</v>
      </c>
      <c r="E1096" s="1" t="s">
        <v>19</v>
      </c>
      <c r="F1096" s="1" t="s">
        <v>20</v>
      </c>
      <c r="G1096" s="1" t="s">
        <v>29</v>
      </c>
      <c r="H1096" s="1" t="s">
        <v>30</v>
      </c>
      <c r="I1096" s="1" t="s">
        <v>31</v>
      </c>
      <c r="J1096" s="1" t="s">
        <v>32</v>
      </c>
      <c r="K1096" s="1" t="s">
        <v>52</v>
      </c>
      <c r="L1096" s="1" t="s">
        <v>1589</v>
      </c>
      <c r="M1096">
        <v>3</v>
      </c>
      <c r="N1096">
        <v>0.2</v>
      </c>
      <c r="O1096">
        <v>24.502800000000001</v>
      </c>
      <c r="P1096">
        <v>70.007999999999996</v>
      </c>
      <c r="Q1096">
        <v>45.505199999999995</v>
      </c>
    </row>
    <row r="1097" spans="1:17" x14ac:dyDescent="0.25">
      <c r="A1097" s="2">
        <v>42878</v>
      </c>
      <c r="B1097" s="2">
        <v>42882</v>
      </c>
      <c r="C1097" s="1" t="s">
        <v>35</v>
      </c>
      <c r="D1097" s="1" t="s">
        <v>338</v>
      </c>
      <c r="E1097" s="1" t="s">
        <v>19</v>
      </c>
      <c r="F1097" s="1" t="s">
        <v>20</v>
      </c>
      <c r="G1097" s="1" t="s">
        <v>91</v>
      </c>
      <c r="H1097" s="1" t="s">
        <v>57</v>
      </c>
      <c r="I1097" s="1" t="s">
        <v>58</v>
      </c>
      <c r="J1097" s="1" t="s">
        <v>32</v>
      </c>
      <c r="K1097" s="1" t="s">
        <v>128</v>
      </c>
      <c r="L1097" s="1" t="s">
        <v>1808</v>
      </c>
      <c r="M1097">
        <v>2</v>
      </c>
      <c r="N1097">
        <v>0.2</v>
      </c>
      <c r="O1097">
        <v>0.61560000000000004</v>
      </c>
      <c r="P1097">
        <v>1.8240000000000001</v>
      </c>
      <c r="Q1097">
        <v>1.2084000000000001</v>
      </c>
    </row>
    <row r="1098" spans="1:17" x14ac:dyDescent="0.25">
      <c r="A1098" s="2">
        <v>41915</v>
      </c>
      <c r="B1098" s="2">
        <v>41921</v>
      </c>
      <c r="C1098" s="1" t="s">
        <v>35</v>
      </c>
      <c r="D1098" s="1" t="s">
        <v>914</v>
      </c>
      <c r="E1098" s="1" t="s">
        <v>55</v>
      </c>
      <c r="F1098" s="1" t="s">
        <v>20</v>
      </c>
      <c r="G1098" s="1" t="s">
        <v>164</v>
      </c>
      <c r="H1098" s="1" t="s">
        <v>46</v>
      </c>
      <c r="I1098" s="1" t="s">
        <v>23</v>
      </c>
      <c r="J1098" s="1" t="s">
        <v>32</v>
      </c>
      <c r="K1098" s="1" t="s">
        <v>64</v>
      </c>
      <c r="L1098" s="1" t="s">
        <v>1525</v>
      </c>
      <c r="M1098">
        <v>2</v>
      </c>
      <c r="N1098">
        <v>0.2</v>
      </c>
      <c r="O1098">
        <v>4.6176000000000004</v>
      </c>
      <c r="P1098">
        <v>61.567999999999998</v>
      </c>
      <c r="Q1098">
        <v>56.950399999999995</v>
      </c>
    </row>
    <row r="1099" spans="1:17" x14ac:dyDescent="0.25">
      <c r="A1099" s="2">
        <v>42802</v>
      </c>
      <c r="B1099" s="2">
        <v>42809</v>
      </c>
      <c r="C1099" s="1" t="s">
        <v>35</v>
      </c>
      <c r="D1099" s="1" t="s">
        <v>358</v>
      </c>
      <c r="E1099" s="1" t="s">
        <v>19</v>
      </c>
      <c r="F1099" s="1" t="s">
        <v>20</v>
      </c>
      <c r="G1099" s="1" t="s">
        <v>613</v>
      </c>
      <c r="H1099" s="1" t="s">
        <v>30</v>
      </c>
      <c r="I1099" s="1" t="s">
        <v>31</v>
      </c>
      <c r="J1099" s="1" t="s">
        <v>32</v>
      </c>
      <c r="K1099" s="1" t="s">
        <v>52</v>
      </c>
      <c r="L1099" s="1" t="s">
        <v>1809</v>
      </c>
      <c r="M1099">
        <v>5</v>
      </c>
      <c r="N1099">
        <v>0.2</v>
      </c>
      <c r="O1099">
        <v>64.2</v>
      </c>
      <c r="P1099">
        <v>171.2</v>
      </c>
      <c r="Q1099">
        <v>106.99999999999999</v>
      </c>
    </row>
    <row r="1100" spans="1:17" x14ac:dyDescent="0.25">
      <c r="A1100" s="2">
        <v>41927</v>
      </c>
      <c r="B1100" s="2">
        <v>41929</v>
      </c>
      <c r="C1100" s="1" t="s">
        <v>107</v>
      </c>
      <c r="D1100" s="1" t="s">
        <v>1810</v>
      </c>
      <c r="E1100" s="1" t="s">
        <v>19</v>
      </c>
      <c r="F1100" s="1" t="s">
        <v>20</v>
      </c>
      <c r="G1100" s="1" t="s">
        <v>1811</v>
      </c>
      <c r="H1100" s="1" t="s">
        <v>214</v>
      </c>
      <c r="I1100" s="1" t="s">
        <v>81</v>
      </c>
      <c r="J1100" s="1" t="s">
        <v>24</v>
      </c>
      <c r="K1100" s="1" t="s">
        <v>82</v>
      </c>
      <c r="L1100" s="1" t="s">
        <v>1812</v>
      </c>
      <c r="M1100">
        <v>2</v>
      </c>
      <c r="N1100">
        <v>0.3</v>
      </c>
      <c r="O1100">
        <v>-7.8587999999999996</v>
      </c>
      <c r="P1100">
        <v>183.37200000000001</v>
      </c>
      <c r="Q1100">
        <v>191.23080000000002</v>
      </c>
    </row>
    <row r="1101" spans="1:17" x14ac:dyDescent="0.25">
      <c r="A1101" s="2">
        <v>41884</v>
      </c>
      <c r="B1101" s="2">
        <v>41885</v>
      </c>
      <c r="C1101" s="1" t="s">
        <v>107</v>
      </c>
      <c r="D1101" s="1" t="s">
        <v>187</v>
      </c>
      <c r="E1101" s="1" t="s">
        <v>19</v>
      </c>
      <c r="F1101" s="1" t="s">
        <v>20</v>
      </c>
      <c r="G1101" s="1" t="s">
        <v>126</v>
      </c>
      <c r="H1101" s="1" t="s">
        <v>127</v>
      </c>
      <c r="I1101" s="1" t="s">
        <v>81</v>
      </c>
      <c r="J1101" s="1" t="s">
        <v>32</v>
      </c>
      <c r="K1101" s="1" t="s">
        <v>72</v>
      </c>
      <c r="L1101" s="1" t="s">
        <v>1813</v>
      </c>
      <c r="M1101">
        <v>5</v>
      </c>
      <c r="N1101">
        <v>0</v>
      </c>
      <c r="O1101">
        <v>16.170000000000002</v>
      </c>
      <c r="P1101">
        <v>57.75</v>
      </c>
      <c r="Q1101">
        <v>41.58</v>
      </c>
    </row>
    <row r="1102" spans="1:17" x14ac:dyDescent="0.25">
      <c r="A1102" s="2">
        <v>42275</v>
      </c>
      <c r="B1102" s="2">
        <v>42281</v>
      </c>
      <c r="C1102" s="1" t="s">
        <v>35</v>
      </c>
      <c r="D1102" s="1" t="s">
        <v>638</v>
      </c>
      <c r="E1102" s="1" t="s">
        <v>19</v>
      </c>
      <c r="F1102" s="1" t="s">
        <v>20</v>
      </c>
      <c r="G1102" s="1" t="s">
        <v>197</v>
      </c>
      <c r="H1102" s="1" t="s">
        <v>198</v>
      </c>
      <c r="I1102" s="1" t="s">
        <v>31</v>
      </c>
      <c r="J1102" s="1" t="s">
        <v>32</v>
      </c>
      <c r="K1102" s="1" t="s">
        <v>94</v>
      </c>
      <c r="L1102" s="1" t="s">
        <v>1814</v>
      </c>
      <c r="M1102">
        <v>1</v>
      </c>
      <c r="N1102">
        <v>0.2</v>
      </c>
      <c r="O1102">
        <v>4.2309000000000001</v>
      </c>
      <c r="P1102">
        <v>12.536</v>
      </c>
      <c r="Q1102">
        <v>8.3050999999999995</v>
      </c>
    </row>
    <row r="1103" spans="1:17" x14ac:dyDescent="0.25">
      <c r="A1103" s="2">
        <v>42078</v>
      </c>
      <c r="B1103" s="2">
        <v>42084</v>
      </c>
      <c r="C1103" s="1" t="s">
        <v>35</v>
      </c>
      <c r="D1103" s="1" t="s">
        <v>1815</v>
      </c>
      <c r="E1103" s="1" t="s">
        <v>28</v>
      </c>
      <c r="F1103" s="1" t="s">
        <v>20</v>
      </c>
      <c r="G1103" s="1" t="s">
        <v>1816</v>
      </c>
      <c r="H1103" s="1" t="s">
        <v>68</v>
      </c>
      <c r="I1103" s="1" t="s">
        <v>31</v>
      </c>
      <c r="J1103" s="1" t="s">
        <v>99</v>
      </c>
      <c r="K1103" s="1" t="s">
        <v>100</v>
      </c>
      <c r="L1103" s="1" t="s">
        <v>1817</v>
      </c>
      <c r="M1103">
        <v>3</v>
      </c>
      <c r="N1103">
        <v>0.2</v>
      </c>
      <c r="O1103">
        <v>1.6776</v>
      </c>
      <c r="P1103">
        <v>16.776</v>
      </c>
      <c r="Q1103">
        <v>15.0984</v>
      </c>
    </row>
    <row r="1104" spans="1:17" x14ac:dyDescent="0.25">
      <c r="A1104" s="2">
        <v>42164</v>
      </c>
      <c r="B1104" s="2">
        <v>42168</v>
      </c>
      <c r="C1104" s="1" t="s">
        <v>35</v>
      </c>
      <c r="D1104" s="1" t="s">
        <v>1818</v>
      </c>
      <c r="E1104" s="1" t="s">
        <v>19</v>
      </c>
      <c r="F1104" s="1" t="s">
        <v>20</v>
      </c>
      <c r="G1104" s="1" t="s">
        <v>1017</v>
      </c>
      <c r="H1104" s="1" t="s">
        <v>115</v>
      </c>
      <c r="I1104" s="1" t="s">
        <v>58</v>
      </c>
      <c r="J1104" s="1" t="s">
        <v>32</v>
      </c>
      <c r="K1104" s="1" t="s">
        <v>47</v>
      </c>
      <c r="L1104" s="1" t="s">
        <v>805</v>
      </c>
      <c r="M1104">
        <v>2</v>
      </c>
      <c r="N1104">
        <v>0</v>
      </c>
      <c r="O1104">
        <v>6.2207999999999997</v>
      </c>
      <c r="P1104">
        <v>12.96</v>
      </c>
      <c r="Q1104">
        <v>6.7392000000000012</v>
      </c>
    </row>
    <row r="1105" spans="1:17" x14ac:dyDescent="0.25">
      <c r="A1105" s="2">
        <v>42218</v>
      </c>
      <c r="B1105" s="2">
        <v>42221</v>
      </c>
      <c r="C1105" s="1" t="s">
        <v>17</v>
      </c>
      <c r="D1105" s="1" t="s">
        <v>1441</v>
      </c>
      <c r="E1105" s="1" t="s">
        <v>55</v>
      </c>
      <c r="F1105" s="1" t="s">
        <v>20</v>
      </c>
      <c r="G1105" s="1" t="s">
        <v>1068</v>
      </c>
      <c r="H1105" s="1" t="s">
        <v>474</v>
      </c>
      <c r="I1105" s="1" t="s">
        <v>81</v>
      </c>
      <c r="J1105" s="1" t="s">
        <v>99</v>
      </c>
      <c r="K1105" s="1" t="s">
        <v>100</v>
      </c>
      <c r="L1105" s="1" t="s">
        <v>1819</v>
      </c>
      <c r="M1105">
        <v>3</v>
      </c>
      <c r="N1105">
        <v>0</v>
      </c>
      <c r="O1105">
        <v>3.8654999999999999</v>
      </c>
      <c r="P1105">
        <v>128.85</v>
      </c>
      <c r="Q1105">
        <v>124.9845</v>
      </c>
    </row>
    <row r="1106" spans="1:17" x14ac:dyDescent="0.25">
      <c r="A1106" s="2">
        <v>42253</v>
      </c>
      <c r="B1106" s="2">
        <v>42257</v>
      </c>
      <c r="C1106" s="1" t="s">
        <v>35</v>
      </c>
      <c r="D1106" s="1" t="s">
        <v>823</v>
      </c>
      <c r="E1106" s="1" t="s">
        <v>28</v>
      </c>
      <c r="F1106" s="1" t="s">
        <v>20</v>
      </c>
      <c r="G1106" s="1" t="s">
        <v>1641</v>
      </c>
      <c r="H1106" s="1" t="s">
        <v>152</v>
      </c>
      <c r="I1106" s="1" t="s">
        <v>23</v>
      </c>
      <c r="J1106" s="1" t="s">
        <v>32</v>
      </c>
      <c r="K1106" s="1" t="s">
        <v>128</v>
      </c>
      <c r="L1106" s="1" t="s">
        <v>1820</v>
      </c>
      <c r="M1106">
        <v>5</v>
      </c>
      <c r="N1106">
        <v>0.2</v>
      </c>
      <c r="O1106">
        <v>1.1765000000000001</v>
      </c>
      <c r="P1106">
        <v>7.24</v>
      </c>
      <c r="Q1106">
        <v>6.0635000000000003</v>
      </c>
    </row>
    <row r="1107" spans="1:17" x14ac:dyDescent="0.25">
      <c r="A1107" s="2">
        <v>41947</v>
      </c>
      <c r="B1107" s="2">
        <v>41953</v>
      </c>
      <c r="C1107" s="1" t="s">
        <v>35</v>
      </c>
      <c r="D1107" s="1" t="s">
        <v>1120</v>
      </c>
      <c r="E1107" s="1" t="s">
        <v>55</v>
      </c>
      <c r="F1107" s="1" t="s">
        <v>20</v>
      </c>
      <c r="G1107" s="1" t="s">
        <v>126</v>
      </c>
      <c r="H1107" s="1" t="s">
        <v>127</v>
      </c>
      <c r="I1107" s="1" t="s">
        <v>81</v>
      </c>
      <c r="J1107" s="1" t="s">
        <v>32</v>
      </c>
      <c r="K1107" s="1" t="s">
        <v>52</v>
      </c>
      <c r="L1107" s="1" t="s">
        <v>1821</v>
      </c>
      <c r="M1107">
        <v>4</v>
      </c>
      <c r="N1107">
        <v>0.2</v>
      </c>
      <c r="O1107">
        <v>18.873200000000001</v>
      </c>
      <c r="P1107">
        <v>52.064</v>
      </c>
      <c r="Q1107">
        <v>33.190799999999996</v>
      </c>
    </row>
    <row r="1108" spans="1:17" x14ac:dyDescent="0.25">
      <c r="A1108" s="2">
        <v>42400</v>
      </c>
      <c r="B1108" s="2">
        <v>42404</v>
      </c>
      <c r="C1108" s="1" t="s">
        <v>35</v>
      </c>
      <c r="D1108" s="1" t="s">
        <v>864</v>
      </c>
      <c r="E1108" s="1" t="s">
        <v>55</v>
      </c>
      <c r="F1108" s="1" t="s">
        <v>20</v>
      </c>
      <c r="G1108" s="1" t="s">
        <v>29</v>
      </c>
      <c r="H1108" s="1" t="s">
        <v>30</v>
      </c>
      <c r="I1108" s="1" t="s">
        <v>31</v>
      </c>
      <c r="J1108" s="1" t="s">
        <v>99</v>
      </c>
      <c r="K1108" s="1" t="s">
        <v>100</v>
      </c>
      <c r="L1108" s="1" t="s">
        <v>1653</v>
      </c>
      <c r="M1108">
        <v>1</v>
      </c>
      <c r="N1108">
        <v>0.2</v>
      </c>
      <c r="O1108">
        <v>8.2194000000000003</v>
      </c>
      <c r="P1108">
        <v>109.592</v>
      </c>
      <c r="Q1108">
        <v>101.37260000000001</v>
      </c>
    </row>
    <row r="1109" spans="1:17" x14ac:dyDescent="0.25">
      <c r="A1109" s="2">
        <v>42650</v>
      </c>
      <c r="B1109" s="2">
        <v>42655</v>
      </c>
      <c r="C1109" s="1" t="s">
        <v>35</v>
      </c>
      <c r="D1109" s="1" t="s">
        <v>1822</v>
      </c>
      <c r="E1109" s="1" t="s">
        <v>19</v>
      </c>
      <c r="F1109" s="1" t="s">
        <v>20</v>
      </c>
      <c r="G1109" s="1" t="s">
        <v>29</v>
      </c>
      <c r="H1109" s="1" t="s">
        <v>30</v>
      </c>
      <c r="I1109" s="1" t="s">
        <v>31</v>
      </c>
      <c r="J1109" s="1" t="s">
        <v>32</v>
      </c>
      <c r="K1109" s="1" t="s">
        <v>47</v>
      </c>
      <c r="L1109" s="1" t="s">
        <v>1823</v>
      </c>
      <c r="M1109">
        <v>2</v>
      </c>
      <c r="N1109">
        <v>0</v>
      </c>
      <c r="O1109">
        <v>5.0688000000000004</v>
      </c>
      <c r="P1109">
        <v>10.56</v>
      </c>
      <c r="Q1109">
        <v>5.4912000000000001</v>
      </c>
    </row>
    <row r="1110" spans="1:17" x14ac:dyDescent="0.25">
      <c r="A1110" s="2">
        <v>41759</v>
      </c>
      <c r="B1110" s="2">
        <v>41761</v>
      </c>
      <c r="C1110" s="1" t="s">
        <v>17</v>
      </c>
      <c r="D1110" s="1" t="s">
        <v>1523</v>
      </c>
      <c r="E1110" s="1" t="s">
        <v>19</v>
      </c>
      <c r="F1110" s="1" t="s">
        <v>20</v>
      </c>
      <c r="G1110" s="1" t="s">
        <v>148</v>
      </c>
      <c r="H1110" s="1" t="s">
        <v>502</v>
      </c>
      <c r="I1110" s="1" t="s">
        <v>23</v>
      </c>
      <c r="J1110" s="1" t="s">
        <v>99</v>
      </c>
      <c r="K1110" s="1" t="s">
        <v>111</v>
      </c>
      <c r="L1110" s="1" t="s">
        <v>1824</v>
      </c>
      <c r="M1110">
        <v>3</v>
      </c>
      <c r="N1110">
        <v>0</v>
      </c>
      <c r="O1110">
        <v>16.2486</v>
      </c>
      <c r="P1110">
        <v>47.79</v>
      </c>
      <c r="Q1110">
        <v>31.541399999999999</v>
      </c>
    </row>
    <row r="1111" spans="1:17" x14ac:dyDescent="0.25">
      <c r="A1111" s="2">
        <v>42866</v>
      </c>
      <c r="B1111" s="2">
        <v>42868</v>
      </c>
      <c r="C1111" s="1" t="s">
        <v>107</v>
      </c>
      <c r="D1111" s="1" t="s">
        <v>1825</v>
      </c>
      <c r="E1111" s="1" t="s">
        <v>28</v>
      </c>
      <c r="F1111" s="1" t="s">
        <v>20</v>
      </c>
      <c r="G1111" s="1" t="s">
        <v>894</v>
      </c>
      <c r="H1111" s="1" t="s">
        <v>140</v>
      </c>
      <c r="I1111" s="1" t="s">
        <v>31</v>
      </c>
      <c r="J1111" s="1" t="s">
        <v>24</v>
      </c>
      <c r="K1111" s="1" t="s">
        <v>25</v>
      </c>
      <c r="L1111" s="1" t="s">
        <v>1826</v>
      </c>
      <c r="M1111">
        <v>7</v>
      </c>
      <c r="N1111">
        <v>0.7</v>
      </c>
      <c r="O1111">
        <v>-356.96429999999998</v>
      </c>
      <c r="P1111">
        <v>209.97900000000001</v>
      </c>
      <c r="Q1111">
        <v>566.94330000000002</v>
      </c>
    </row>
    <row r="1112" spans="1:17" x14ac:dyDescent="0.25">
      <c r="A1112" s="2">
        <v>41884</v>
      </c>
      <c r="B1112" s="2">
        <v>41889</v>
      </c>
      <c r="C1112" s="1" t="s">
        <v>17</v>
      </c>
      <c r="D1112" s="1" t="s">
        <v>1443</v>
      </c>
      <c r="E1112" s="1" t="s">
        <v>19</v>
      </c>
      <c r="F1112" s="1" t="s">
        <v>20</v>
      </c>
      <c r="G1112" s="1" t="s">
        <v>136</v>
      </c>
      <c r="H1112" s="1" t="s">
        <v>98</v>
      </c>
      <c r="I1112" s="1" t="s">
        <v>58</v>
      </c>
      <c r="J1112" s="1" t="s">
        <v>99</v>
      </c>
      <c r="K1112" s="1" t="s">
        <v>111</v>
      </c>
      <c r="L1112" s="1" t="s">
        <v>1827</v>
      </c>
      <c r="M1112">
        <v>3</v>
      </c>
      <c r="N1112">
        <v>0.2</v>
      </c>
      <c r="O1112">
        <v>53.994599999999998</v>
      </c>
      <c r="P1112">
        <v>239.976</v>
      </c>
      <c r="Q1112">
        <v>185.98140000000001</v>
      </c>
    </row>
    <row r="1113" spans="1:17" x14ac:dyDescent="0.25">
      <c r="A1113" s="2">
        <v>42225</v>
      </c>
      <c r="B1113" s="2">
        <v>42229</v>
      </c>
      <c r="C1113" s="1" t="s">
        <v>17</v>
      </c>
      <c r="D1113" s="1" t="s">
        <v>932</v>
      </c>
      <c r="E1113" s="1" t="s">
        <v>55</v>
      </c>
      <c r="F1113" s="1" t="s">
        <v>20</v>
      </c>
      <c r="G1113" s="1" t="s">
        <v>803</v>
      </c>
      <c r="H1113" s="1" t="s">
        <v>63</v>
      </c>
      <c r="I1113" s="1" t="s">
        <v>58</v>
      </c>
      <c r="J1113" s="1" t="s">
        <v>24</v>
      </c>
      <c r="K1113" s="1" t="s">
        <v>25</v>
      </c>
      <c r="L1113" s="1" t="s">
        <v>1828</v>
      </c>
      <c r="M1113">
        <v>5</v>
      </c>
      <c r="N1113">
        <v>0</v>
      </c>
      <c r="O1113">
        <v>48.118000000000002</v>
      </c>
      <c r="P1113">
        <v>687.4</v>
      </c>
      <c r="Q1113">
        <v>639.28199999999993</v>
      </c>
    </row>
    <row r="1114" spans="1:17" x14ac:dyDescent="0.25">
      <c r="A1114" s="2">
        <v>42196</v>
      </c>
      <c r="B1114" s="2">
        <v>42197</v>
      </c>
      <c r="C1114" s="1" t="s">
        <v>107</v>
      </c>
      <c r="D1114" s="1" t="s">
        <v>1825</v>
      </c>
      <c r="E1114" s="1" t="s">
        <v>28</v>
      </c>
      <c r="F1114" s="1" t="s">
        <v>20</v>
      </c>
      <c r="G1114" s="1" t="s">
        <v>483</v>
      </c>
      <c r="H1114" s="1" t="s">
        <v>119</v>
      </c>
      <c r="I1114" s="1" t="s">
        <v>81</v>
      </c>
      <c r="J1114" s="1" t="s">
        <v>24</v>
      </c>
      <c r="K1114" s="1" t="s">
        <v>39</v>
      </c>
      <c r="L1114" s="1" t="s">
        <v>868</v>
      </c>
      <c r="M1114">
        <v>4</v>
      </c>
      <c r="N1114">
        <v>0.3</v>
      </c>
      <c r="O1114">
        <v>-37.112400000000001</v>
      </c>
      <c r="P1114">
        <v>199.83600000000001</v>
      </c>
      <c r="Q1114">
        <v>236.94840000000002</v>
      </c>
    </row>
    <row r="1115" spans="1:17" x14ac:dyDescent="0.25">
      <c r="A1115" s="2">
        <v>42684</v>
      </c>
      <c r="B1115" s="2">
        <v>42687</v>
      </c>
      <c r="C1115" s="1" t="s">
        <v>17</v>
      </c>
      <c r="D1115" s="1" t="s">
        <v>1829</v>
      </c>
      <c r="E1115" s="1" t="s">
        <v>19</v>
      </c>
      <c r="F1115" s="1" t="s">
        <v>20</v>
      </c>
      <c r="G1115" s="1" t="s">
        <v>29</v>
      </c>
      <c r="H1115" s="1" t="s">
        <v>30</v>
      </c>
      <c r="I1115" s="1" t="s">
        <v>31</v>
      </c>
      <c r="J1115" s="1" t="s">
        <v>32</v>
      </c>
      <c r="K1115" s="1" t="s">
        <v>47</v>
      </c>
      <c r="L1115" s="1" t="s">
        <v>1830</v>
      </c>
      <c r="M1115">
        <v>3</v>
      </c>
      <c r="N1115">
        <v>0</v>
      </c>
      <c r="O1115">
        <v>32.500799999999998</v>
      </c>
      <c r="P1115">
        <v>67.709999999999994</v>
      </c>
      <c r="Q1115">
        <v>35.209199999999996</v>
      </c>
    </row>
    <row r="1116" spans="1:17" x14ac:dyDescent="0.25">
      <c r="A1116" s="2">
        <v>41729</v>
      </c>
      <c r="B1116" s="2">
        <v>41733</v>
      </c>
      <c r="C1116" s="1" t="s">
        <v>35</v>
      </c>
      <c r="D1116" s="1" t="s">
        <v>1723</v>
      </c>
      <c r="E1116" s="1" t="s">
        <v>19</v>
      </c>
      <c r="F1116" s="1" t="s">
        <v>20</v>
      </c>
      <c r="G1116" s="1" t="s">
        <v>136</v>
      </c>
      <c r="H1116" s="1" t="s">
        <v>98</v>
      </c>
      <c r="I1116" s="1" t="s">
        <v>58</v>
      </c>
      <c r="J1116" s="1" t="s">
        <v>32</v>
      </c>
      <c r="K1116" s="1" t="s">
        <v>52</v>
      </c>
      <c r="L1116" s="1" t="s">
        <v>851</v>
      </c>
      <c r="M1116">
        <v>7</v>
      </c>
      <c r="N1116">
        <v>0.8</v>
      </c>
      <c r="O1116">
        <v>-13.8278</v>
      </c>
      <c r="P1116">
        <v>8.1340000000000003</v>
      </c>
      <c r="Q1116">
        <v>21.9618</v>
      </c>
    </row>
    <row r="1117" spans="1:17" x14ac:dyDescent="0.25">
      <c r="A1117" s="2">
        <v>42463</v>
      </c>
      <c r="B1117" s="2">
        <v>42467</v>
      </c>
      <c r="C1117" s="1" t="s">
        <v>35</v>
      </c>
      <c r="D1117" s="1" t="s">
        <v>630</v>
      </c>
      <c r="E1117" s="1" t="s">
        <v>19</v>
      </c>
      <c r="F1117" s="1" t="s">
        <v>20</v>
      </c>
      <c r="G1117" s="1" t="s">
        <v>79</v>
      </c>
      <c r="H1117" s="1" t="s">
        <v>80</v>
      </c>
      <c r="I1117" s="1" t="s">
        <v>81</v>
      </c>
      <c r="J1117" s="1" t="s">
        <v>32</v>
      </c>
      <c r="K1117" s="1" t="s">
        <v>52</v>
      </c>
      <c r="L1117" s="1" t="s">
        <v>1831</v>
      </c>
      <c r="M1117">
        <v>9</v>
      </c>
      <c r="N1117">
        <v>0.7</v>
      </c>
      <c r="O1117">
        <v>-83.204999999999998</v>
      </c>
      <c r="P1117">
        <v>99.846000000000004</v>
      </c>
      <c r="Q1117">
        <v>183.05099999999999</v>
      </c>
    </row>
    <row r="1118" spans="1:17" x14ac:dyDescent="0.25">
      <c r="A1118" s="2">
        <v>41859</v>
      </c>
      <c r="B1118" s="2">
        <v>41863</v>
      </c>
      <c r="C1118" s="1" t="s">
        <v>35</v>
      </c>
      <c r="D1118" s="1" t="s">
        <v>90</v>
      </c>
      <c r="E1118" s="1" t="s">
        <v>55</v>
      </c>
      <c r="F1118" s="1" t="s">
        <v>20</v>
      </c>
      <c r="G1118" s="1" t="s">
        <v>755</v>
      </c>
      <c r="H1118" s="1" t="s">
        <v>115</v>
      </c>
      <c r="I1118" s="1" t="s">
        <v>58</v>
      </c>
      <c r="J1118" s="1" t="s">
        <v>99</v>
      </c>
      <c r="K1118" s="1" t="s">
        <v>573</v>
      </c>
      <c r="L1118" s="1" t="s">
        <v>1832</v>
      </c>
      <c r="M1118">
        <v>1</v>
      </c>
      <c r="N1118">
        <v>0</v>
      </c>
      <c r="O1118">
        <v>274.995</v>
      </c>
      <c r="P1118">
        <v>549.99</v>
      </c>
      <c r="Q1118">
        <v>274.995</v>
      </c>
    </row>
    <row r="1119" spans="1:17" x14ac:dyDescent="0.25">
      <c r="A1119" s="2">
        <v>41749</v>
      </c>
      <c r="B1119" s="2">
        <v>41751</v>
      </c>
      <c r="C1119" s="1" t="s">
        <v>17</v>
      </c>
      <c r="D1119" s="1" t="s">
        <v>730</v>
      </c>
      <c r="E1119" s="1" t="s">
        <v>19</v>
      </c>
      <c r="F1119" s="1" t="s">
        <v>20</v>
      </c>
      <c r="G1119" s="1" t="s">
        <v>91</v>
      </c>
      <c r="H1119" s="1" t="s">
        <v>57</v>
      </c>
      <c r="I1119" s="1" t="s">
        <v>58</v>
      </c>
      <c r="J1119" s="1" t="s">
        <v>24</v>
      </c>
      <c r="K1119" s="1" t="s">
        <v>39</v>
      </c>
      <c r="L1119" s="1" t="s">
        <v>337</v>
      </c>
      <c r="M1119">
        <v>5</v>
      </c>
      <c r="N1119">
        <v>0.3</v>
      </c>
      <c r="O1119">
        <v>-95.67</v>
      </c>
      <c r="P1119">
        <v>744.1</v>
      </c>
      <c r="Q1119">
        <v>839.77</v>
      </c>
    </row>
    <row r="1120" spans="1:17" x14ac:dyDescent="0.25">
      <c r="A1120" s="2">
        <v>42400</v>
      </c>
      <c r="B1120" s="2">
        <v>42402</v>
      </c>
      <c r="C1120" s="1" t="s">
        <v>17</v>
      </c>
      <c r="D1120" s="1" t="s">
        <v>1833</v>
      </c>
      <c r="E1120" s="1" t="s">
        <v>19</v>
      </c>
      <c r="F1120" s="1" t="s">
        <v>20</v>
      </c>
      <c r="G1120" s="1" t="s">
        <v>309</v>
      </c>
      <c r="H1120" s="1" t="s">
        <v>57</v>
      </c>
      <c r="I1120" s="1" t="s">
        <v>58</v>
      </c>
      <c r="J1120" s="1" t="s">
        <v>32</v>
      </c>
      <c r="K1120" s="1" t="s">
        <v>47</v>
      </c>
      <c r="L1120" s="1" t="s">
        <v>1834</v>
      </c>
      <c r="M1120">
        <v>3</v>
      </c>
      <c r="N1120">
        <v>0.2</v>
      </c>
      <c r="O1120">
        <v>5.4432</v>
      </c>
      <c r="P1120">
        <v>15.552</v>
      </c>
      <c r="Q1120">
        <v>10.108799999999999</v>
      </c>
    </row>
    <row r="1121" spans="1:17" x14ac:dyDescent="0.25">
      <c r="A1121" s="2">
        <v>42941</v>
      </c>
      <c r="B1121" s="2">
        <v>42945</v>
      </c>
      <c r="C1121" s="1" t="s">
        <v>35</v>
      </c>
      <c r="D1121" s="1" t="s">
        <v>1723</v>
      </c>
      <c r="E1121" s="1" t="s">
        <v>19</v>
      </c>
      <c r="F1121" s="1" t="s">
        <v>20</v>
      </c>
      <c r="G1121" s="1" t="s">
        <v>79</v>
      </c>
      <c r="H1121" s="1" t="s">
        <v>80</v>
      </c>
      <c r="I1121" s="1" t="s">
        <v>81</v>
      </c>
      <c r="J1121" s="1" t="s">
        <v>32</v>
      </c>
      <c r="K1121" s="1" t="s">
        <v>33</v>
      </c>
      <c r="L1121" s="1" t="s">
        <v>1835</v>
      </c>
      <c r="M1121">
        <v>1</v>
      </c>
      <c r="N1121">
        <v>0.2</v>
      </c>
      <c r="O1121">
        <v>1.0738000000000001</v>
      </c>
      <c r="P1121">
        <v>3.3039999999999998</v>
      </c>
      <c r="Q1121">
        <v>2.2302</v>
      </c>
    </row>
    <row r="1122" spans="1:17" x14ac:dyDescent="0.25">
      <c r="A1122" s="2">
        <v>42273</v>
      </c>
      <c r="B1122" s="2">
        <v>42280</v>
      </c>
      <c r="C1122" s="1" t="s">
        <v>35</v>
      </c>
      <c r="D1122" s="1" t="s">
        <v>1067</v>
      </c>
      <c r="E1122" s="1" t="s">
        <v>19</v>
      </c>
      <c r="F1122" s="1" t="s">
        <v>20</v>
      </c>
      <c r="G1122" s="1" t="s">
        <v>747</v>
      </c>
      <c r="H1122" s="1" t="s">
        <v>127</v>
      </c>
      <c r="I1122" s="1" t="s">
        <v>81</v>
      </c>
      <c r="J1122" s="1" t="s">
        <v>32</v>
      </c>
      <c r="K1122" s="1" t="s">
        <v>128</v>
      </c>
      <c r="L1122" s="1" t="s">
        <v>1836</v>
      </c>
      <c r="M1122">
        <v>3</v>
      </c>
      <c r="N1122">
        <v>0</v>
      </c>
      <c r="O1122">
        <v>16.186800000000002</v>
      </c>
      <c r="P1122">
        <v>34.44</v>
      </c>
      <c r="Q1122">
        <v>18.253199999999996</v>
      </c>
    </row>
    <row r="1123" spans="1:17" x14ac:dyDescent="0.25">
      <c r="A1123" s="2">
        <v>42176</v>
      </c>
      <c r="B1123" s="2">
        <v>42182</v>
      </c>
      <c r="C1123" s="1" t="s">
        <v>35</v>
      </c>
      <c r="D1123" s="1" t="s">
        <v>596</v>
      </c>
      <c r="E1123" s="1" t="s">
        <v>19</v>
      </c>
      <c r="F1123" s="1" t="s">
        <v>20</v>
      </c>
      <c r="G1123" s="1" t="s">
        <v>1088</v>
      </c>
      <c r="H1123" s="1" t="s">
        <v>38</v>
      </c>
      <c r="I1123" s="1" t="s">
        <v>23</v>
      </c>
      <c r="J1123" s="1" t="s">
        <v>99</v>
      </c>
      <c r="K1123" s="1" t="s">
        <v>100</v>
      </c>
      <c r="L1123" s="1" t="s">
        <v>1264</v>
      </c>
      <c r="M1123">
        <v>3</v>
      </c>
      <c r="N1123">
        <v>0.2</v>
      </c>
      <c r="O1123">
        <v>37.791600000000003</v>
      </c>
      <c r="P1123">
        <v>107.976</v>
      </c>
      <c r="Q1123">
        <v>70.184399999999997</v>
      </c>
    </row>
    <row r="1124" spans="1:17" x14ac:dyDescent="0.25">
      <c r="A1124" s="2">
        <v>42316</v>
      </c>
      <c r="B1124" s="2">
        <v>42320</v>
      </c>
      <c r="C1124" s="1" t="s">
        <v>35</v>
      </c>
      <c r="D1124" s="1" t="s">
        <v>1468</v>
      </c>
      <c r="E1124" s="1" t="s">
        <v>19</v>
      </c>
      <c r="F1124" s="1" t="s">
        <v>20</v>
      </c>
      <c r="G1124" s="1" t="s">
        <v>71</v>
      </c>
      <c r="H1124" s="1" t="s">
        <v>30</v>
      </c>
      <c r="I1124" s="1" t="s">
        <v>31</v>
      </c>
      <c r="J1124" s="1" t="s">
        <v>99</v>
      </c>
      <c r="K1124" s="1" t="s">
        <v>111</v>
      </c>
      <c r="L1124" s="1" t="s">
        <v>1837</v>
      </c>
      <c r="M1124">
        <v>2</v>
      </c>
      <c r="N1124">
        <v>0</v>
      </c>
      <c r="O1124">
        <v>43.164000000000001</v>
      </c>
      <c r="P1124">
        <v>119.9</v>
      </c>
      <c r="Q1124">
        <v>76.736000000000004</v>
      </c>
    </row>
    <row r="1125" spans="1:17" x14ac:dyDescent="0.25">
      <c r="A1125" s="2">
        <v>42768</v>
      </c>
      <c r="B1125" s="2">
        <v>42773</v>
      </c>
      <c r="C1125" s="1" t="s">
        <v>35</v>
      </c>
      <c r="D1125" s="1" t="s">
        <v>675</v>
      </c>
      <c r="E1125" s="1" t="s">
        <v>19</v>
      </c>
      <c r="F1125" s="1" t="s">
        <v>20</v>
      </c>
      <c r="G1125" s="1" t="s">
        <v>29</v>
      </c>
      <c r="H1125" s="1" t="s">
        <v>30</v>
      </c>
      <c r="I1125" s="1" t="s">
        <v>31</v>
      </c>
      <c r="J1125" s="1" t="s">
        <v>24</v>
      </c>
      <c r="K1125" s="1" t="s">
        <v>42</v>
      </c>
      <c r="L1125" s="1" t="s">
        <v>612</v>
      </c>
      <c r="M1125">
        <v>2</v>
      </c>
      <c r="N1125">
        <v>0</v>
      </c>
      <c r="O1125">
        <v>29.328399999999998</v>
      </c>
      <c r="P1125">
        <v>86.26</v>
      </c>
      <c r="Q1125">
        <v>56.931600000000003</v>
      </c>
    </row>
    <row r="1126" spans="1:17" x14ac:dyDescent="0.25">
      <c r="A1126" s="2">
        <v>42517</v>
      </c>
      <c r="B1126" s="2">
        <v>42519</v>
      </c>
      <c r="C1126" s="1" t="s">
        <v>17</v>
      </c>
      <c r="D1126" s="1" t="s">
        <v>451</v>
      </c>
      <c r="E1126" s="1" t="s">
        <v>28</v>
      </c>
      <c r="F1126" s="1" t="s">
        <v>20</v>
      </c>
      <c r="G1126" s="1" t="s">
        <v>330</v>
      </c>
      <c r="H1126" s="1" t="s">
        <v>115</v>
      </c>
      <c r="I1126" s="1" t="s">
        <v>58</v>
      </c>
      <c r="J1126" s="1" t="s">
        <v>24</v>
      </c>
      <c r="K1126" s="1" t="s">
        <v>82</v>
      </c>
      <c r="L1126" s="1" t="s">
        <v>611</v>
      </c>
      <c r="M1126">
        <v>5</v>
      </c>
      <c r="N1126">
        <v>0</v>
      </c>
      <c r="O1126">
        <v>700.98</v>
      </c>
      <c r="P1126">
        <v>3504.9</v>
      </c>
      <c r="Q1126">
        <v>2803.92</v>
      </c>
    </row>
    <row r="1127" spans="1:17" x14ac:dyDescent="0.25">
      <c r="A1127" s="2">
        <v>42016</v>
      </c>
      <c r="B1127" s="2">
        <v>42022</v>
      </c>
      <c r="C1127" s="1" t="s">
        <v>35</v>
      </c>
      <c r="D1127" s="1" t="s">
        <v>1838</v>
      </c>
      <c r="E1127" s="1" t="s">
        <v>28</v>
      </c>
      <c r="F1127" s="1" t="s">
        <v>20</v>
      </c>
      <c r="G1127" s="1" t="s">
        <v>240</v>
      </c>
      <c r="H1127" s="1" t="s">
        <v>119</v>
      </c>
      <c r="I1127" s="1" t="s">
        <v>81</v>
      </c>
      <c r="J1127" s="1" t="s">
        <v>32</v>
      </c>
      <c r="K1127" s="1" t="s">
        <v>64</v>
      </c>
      <c r="L1127" s="1" t="s">
        <v>1839</v>
      </c>
      <c r="M1127">
        <v>3</v>
      </c>
      <c r="N1127">
        <v>0</v>
      </c>
      <c r="O1127">
        <v>120.9468</v>
      </c>
      <c r="P1127">
        <v>465.18</v>
      </c>
      <c r="Q1127">
        <v>344.23320000000001</v>
      </c>
    </row>
    <row r="1128" spans="1:17" x14ac:dyDescent="0.25">
      <c r="A1128" s="2">
        <v>41804</v>
      </c>
      <c r="B1128" s="2">
        <v>41810</v>
      </c>
      <c r="C1128" s="1" t="s">
        <v>35</v>
      </c>
      <c r="D1128" s="1" t="s">
        <v>1582</v>
      </c>
      <c r="E1128" s="1" t="s">
        <v>55</v>
      </c>
      <c r="F1128" s="1" t="s">
        <v>20</v>
      </c>
      <c r="G1128" s="1" t="s">
        <v>330</v>
      </c>
      <c r="H1128" s="1" t="s">
        <v>115</v>
      </c>
      <c r="I1128" s="1" t="s">
        <v>58</v>
      </c>
      <c r="J1128" s="1" t="s">
        <v>24</v>
      </c>
      <c r="K1128" s="1" t="s">
        <v>25</v>
      </c>
      <c r="L1128" s="1" t="s">
        <v>1840</v>
      </c>
      <c r="M1128">
        <v>3</v>
      </c>
      <c r="N1128">
        <v>0</v>
      </c>
      <c r="O1128">
        <v>57.4938</v>
      </c>
      <c r="P1128">
        <v>212.94</v>
      </c>
      <c r="Q1128">
        <v>155.4462</v>
      </c>
    </row>
    <row r="1129" spans="1:17" x14ac:dyDescent="0.25">
      <c r="A1129" s="2">
        <v>41705</v>
      </c>
      <c r="B1129" s="2">
        <v>41709</v>
      </c>
      <c r="C1129" s="1" t="s">
        <v>17</v>
      </c>
      <c r="D1129" s="1" t="s">
        <v>1156</v>
      </c>
      <c r="E1129" s="1" t="s">
        <v>55</v>
      </c>
      <c r="F1129" s="1" t="s">
        <v>20</v>
      </c>
      <c r="G1129" s="1" t="s">
        <v>463</v>
      </c>
      <c r="H1129" s="1" t="s">
        <v>51</v>
      </c>
      <c r="I1129" s="1" t="s">
        <v>31</v>
      </c>
      <c r="J1129" s="1" t="s">
        <v>32</v>
      </c>
      <c r="K1129" s="1" t="s">
        <v>52</v>
      </c>
      <c r="L1129" s="1" t="s">
        <v>1226</v>
      </c>
      <c r="M1129">
        <v>2</v>
      </c>
      <c r="N1129">
        <v>0.2</v>
      </c>
      <c r="O1129">
        <v>33.64</v>
      </c>
      <c r="P1129">
        <v>107.648</v>
      </c>
      <c r="Q1129">
        <v>74.007999999999996</v>
      </c>
    </row>
    <row r="1130" spans="1:17" x14ac:dyDescent="0.25">
      <c r="A1130" s="2">
        <v>42590</v>
      </c>
      <c r="B1130" s="2">
        <v>42596</v>
      </c>
      <c r="C1130" s="1" t="s">
        <v>35</v>
      </c>
      <c r="D1130" s="1" t="s">
        <v>632</v>
      </c>
      <c r="E1130" s="1" t="s">
        <v>19</v>
      </c>
      <c r="F1130" s="1" t="s">
        <v>20</v>
      </c>
      <c r="G1130" s="1" t="s">
        <v>1485</v>
      </c>
      <c r="H1130" s="1" t="s">
        <v>256</v>
      </c>
      <c r="I1130" s="1" t="s">
        <v>58</v>
      </c>
      <c r="J1130" s="1" t="s">
        <v>32</v>
      </c>
      <c r="K1130" s="1" t="s">
        <v>47</v>
      </c>
      <c r="L1130" s="1" t="s">
        <v>1541</v>
      </c>
      <c r="M1130">
        <v>2</v>
      </c>
      <c r="N1130">
        <v>0</v>
      </c>
      <c r="O1130">
        <v>4.7519999999999998</v>
      </c>
      <c r="P1130">
        <v>10.56</v>
      </c>
      <c r="Q1130">
        <v>5.8080000000000007</v>
      </c>
    </row>
    <row r="1131" spans="1:17" x14ac:dyDescent="0.25">
      <c r="A1131" s="2">
        <v>42738</v>
      </c>
      <c r="B1131" s="2">
        <v>42743</v>
      </c>
      <c r="C1131" s="1" t="s">
        <v>35</v>
      </c>
      <c r="D1131" s="1" t="s">
        <v>904</v>
      </c>
      <c r="E1131" s="1" t="s">
        <v>19</v>
      </c>
      <c r="F1131" s="1" t="s">
        <v>20</v>
      </c>
      <c r="G1131" s="1" t="s">
        <v>1358</v>
      </c>
      <c r="H1131" s="1" t="s">
        <v>30</v>
      </c>
      <c r="I1131" s="1" t="s">
        <v>31</v>
      </c>
      <c r="J1131" s="1" t="s">
        <v>32</v>
      </c>
      <c r="K1131" s="1" t="s">
        <v>47</v>
      </c>
      <c r="L1131" s="1" t="s">
        <v>1841</v>
      </c>
      <c r="M1131">
        <v>6</v>
      </c>
      <c r="N1131">
        <v>0</v>
      </c>
      <c r="O1131">
        <v>18.662400000000002</v>
      </c>
      <c r="P1131">
        <v>38.880000000000003</v>
      </c>
      <c r="Q1131">
        <v>20.217600000000001</v>
      </c>
    </row>
    <row r="1132" spans="1:17" x14ac:dyDescent="0.25">
      <c r="A1132" s="2">
        <v>42021</v>
      </c>
      <c r="B1132" s="2">
        <v>42026</v>
      </c>
      <c r="C1132" s="1" t="s">
        <v>35</v>
      </c>
      <c r="D1132" s="1" t="s">
        <v>1435</v>
      </c>
      <c r="E1132" s="1" t="s">
        <v>28</v>
      </c>
      <c r="F1132" s="1" t="s">
        <v>20</v>
      </c>
      <c r="G1132" s="1" t="s">
        <v>579</v>
      </c>
      <c r="H1132" s="1" t="s">
        <v>423</v>
      </c>
      <c r="I1132" s="1" t="s">
        <v>81</v>
      </c>
      <c r="J1132" s="1" t="s">
        <v>32</v>
      </c>
      <c r="K1132" s="1" t="s">
        <v>72</v>
      </c>
      <c r="L1132" s="1" t="s">
        <v>1842</v>
      </c>
      <c r="M1132">
        <v>2</v>
      </c>
      <c r="N1132">
        <v>0</v>
      </c>
      <c r="O1132">
        <v>2.004</v>
      </c>
      <c r="P1132">
        <v>6.68</v>
      </c>
      <c r="Q1132">
        <v>4.6760000000000002</v>
      </c>
    </row>
    <row r="1133" spans="1:17" x14ac:dyDescent="0.25">
      <c r="A1133" s="2">
        <v>42145</v>
      </c>
      <c r="B1133" s="2">
        <v>42149</v>
      </c>
      <c r="C1133" s="1" t="s">
        <v>35</v>
      </c>
      <c r="D1133" s="1" t="s">
        <v>1302</v>
      </c>
      <c r="E1133" s="1" t="s">
        <v>28</v>
      </c>
      <c r="F1133" s="1" t="s">
        <v>20</v>
      </c>
      <c r="G1133" s="1" t="s">
        <v>50</v>
      </c>
      <c r="H1133" s="1" t="s">
        <v>51</v>
      </c>
      <c r="I1133" s="1" t="s">
        <v>31</v>
      </c>
      <c r="J1133" s="1" t="s">
        <v>32</v>
      </c>
      <c r="K1133" s="1" t="s">
        <v>52</v>
      </c>
      <c r="L1133" s="1" t="s">
        <v>1843</v>
      </c>
      <c r="M1133">
        <v>4</v>
      </c>
      <c r="N1133">
        <v>0.2</v>
      </c>
      <c r="O1133">
        <v>8.7672000000000008</v>
      </c>
      <c r="P1133">
        <v>26.975999999999999</v>
      </c>
      <c r="Q1133">
        <v>18.208799999999997</v>
      </c>
    </row>
    <row r="1134" spans="1:17" x14ac:dyDescent="0.25">
      <c r="A1134" s="2">
        <v>43078</v>
      </c>
      <c r="B1134" s="2">
        <v>43085</v>
      </c>
      <c r="C1134" s="1" t="s">
        <v>35</v>
      </c>
      <c r="D1134" s="1" t="s">
        <v>117</v>
      </c>
      <c r="E1134" s="1" t="s">
        <v>19</v>
      </c>
      <c r="F1134" s="1" t="s">
        <v>20</v>
      </c>
      <c r="G1134" s="1" t="s">
        <v>534</v>
      </c>
      <c r="H1134" s="1" t="s">
        <v>98</v>
      </c>
      <c r="I1134" s="1" t="s">
        <v>58</v>
      </c>
      <c r="J1134" s="1" t="s">
        <v>32</v>
      </c>
      <c r="K1134" s="1" t="s">
        <v>47</v>
      </c>
      <c r="L1134" s="1" t="s">
        <v>827</v>
      </c>
      <c r="M1134">
        <v>9</v>
      </c>
      <c r="N1134">
        <v>0.2</v>
      </c>
      <c r="O1134">
        <v>48.551400000000001</v>
      </c>
      <c r="P1134">
        <v>143.85599999999999</v>
      </c>
      <c r="Q1134">
        <v>95.304599999999994</v>
      </c>
    </row>
    <row r="1135" spans="1:17" x14ac:dyDescent="0.25">
      <c r="A1135" s="2">
        <v>41772</v>
      </c>
      <c r="B1135" s="2">
        <v>41778</v>
      </c>
      <c r="C1135" s="1" t="s">
        <v>35</v>
      </c>
      <c r="D1135" s="1" t="s">
        <v>1844</v>
      </c>
      <c r="E1135" s="1" t="s">
        <v>28</v>
      </c>
      <c r="F1135" s="1" t="s">
        <v>20</v>
      </c>
      <c r="G1135" s="1" t="s">
        <v>29</v>
      </c>
      <c r="H1135" s="1" t="s">
        <v>30</v>
      </c>
      <c r="I1135" s="1" t="s">
        <v>31</v>
      </c>
      <c r="J1135" s="1" t="s">
        <v>24</v>
      </c>
      <c r="K1135" s="1" t="s">
        <v>82</v>
      </c>
      <c r="L1135" s="1" t="s">
        <v>1464</v>
      </c>
      <c r="M1135">
        <v>6</v>
      </c>
      <c r="N1135">
        <v>0.2</v>
      </c>
      <c r="O1135">
        <v>20.959199999999999</v>
      </c>
      <c r="P1135">
        <v>279.45600000000002</v>
      </c>
      <c r="Q1135">
        <v>258.49680000000001</v>
      </c>
    </row>
    <row r="1136" spans="1:17" x14ac:dyDescent="0.25">
      <c r="A1136" s="2">
        <v>41657</v>
      </c>
      <c r="B1136" s="2">
        <v>41660</v>
      </c>
      <c r="C1136" s="1" t="s">
        <v>17</v>
      </c>
      <c r="D1136" s="1" t="s">
        <v>1608</v>
      </c>
      <c r="E1136" s="1" t="s">
        <v>28</v>
      </c>
      <c r="F1136" s="1" t="s">
        <v>20</v>
      </c>
      <c r="G1136" s="1" t="s">
        <v>143</v>
      </c>
      <c r="H1136" s="1" t="s">
        <v>183</v>
      </c>
      <c r="I1136" s="1" t="s">
        <v>31</v>
      </c>
      <c r="J1136" s="1" t="s">
        <v>32</v>
      </c>
      <c r="K1136" s="1" t="s">
        <v>59</v>
      </c>
      <c r="L1136" s="1" t="s">
        <v>1845</v>
      </c>
      <c r="M1136">
        <v>4</v>
      </c>
      <c r="N1136">
        <v>0.2</v>
      </c>
      <c r="O1136">
        <v>6.4863999999999997</v>
      </c>
      <c r="P1136">
        <v>64.864000000000004</v>
      </c>
      <c r="Q1136">
        <v>58.377600000000001</v>
      </c>
    </row>
    <row r="1137" spans="1:17" x14ac:dyDescent="0.25">
      <c r="A1137" s="2">
        <v>42882</v>
      </c>
      <c r="B1137" s="2">
        <v>42886</v>
      </c>
      <c r="C1137" s="1" t="s">
        <v>35</v>
      </c>
      <c r="D1137" s="1" t="s">
        <v>1262</v>
      </c>
      <c r="E1137" s="1" t="s">
        <v>28</v>
      </c>
      <c r="F1137" s="1" t="s">
        <v>20</v>
      </c>
      <c r="G1137" s="1" t="s">
        <v>50</v>
      </c>
      <c r="H1137" s="1" t="s">
        <v>51</v>
      </c>
      <c r="I1137" s="1" t="s">
        <v>31</v>
      </c>
      <c r="J1137" s="1" t="s">
        <v>99</v>
      </c>
      <c r="K1137" s="1" t="s">
        <v>111</v>
      </c>
      <c r="L1137" s="1" t="s">
        <v>1126</v>
      </c>
      <c r="M1137">
        <v>6</v>
      </c>
      <c r="N1137">
        <v>0</v>
      </c>
      <c r="O1137">
        <v>9.8160000000000007</v>
      </c>
      <c r="P1137">
        <v>98.16</v>
      </c>
      <c r="Q1137">
        <v>88.343999999999994</v>
      </c>
    </row>
    <row r="1138" spans="1:17" x14ac:dyDescent="0.25">
      <c r="A1138" s="2">
        <v>41658</v>
      </c>
      <c r="B1138" s="2">
        <v>41659</v>
      </c>
      <c r="C1138" s="1" t="s">
        <v>107</v>
      </c>
      <c r="D1138" s="1" t="s">
        <v>912</v>
      </c>
      <c r="E1138" s="1" t="s">
        <v>19</v>
      </c>
      <c r="F1138" s="1" t="s">
        <v>20</v>
      </c>
      <c r="G1138" s="1" t="s">
        <v>246</v>
      </c>
      <c r="H1138" s="1" t="s">
        <v>140</v>
      </c>
      <c r="I1138" s="1" t="s">
        <v>31</v>
      </c>
      <c r="J1138" s="1" t="s">
        <v>32</v>
      </c>
      <c r="K1138" s="1" t="s">
        <v>52</v>
      </c>
      <c r="L1138" s="1" t="s">
        <v>1239</v>
      </c>
      <c r="M1138">
        <v>10</v>
      </c>
      <c r="N1138">
        <v>0.7</v>
      </c>
      <c r="O1138">
        <v>-23.716000000000001</v>
      </c>
      <c r="P1138">
        <v>32.340000000000003</v>
      </c>
      <c r="Q1138">
        <v>56.056000000000004</v>
      </c>
    </row>
    <row r="1139" spans="1:17" x14ac:dyDescent="0.25">
      <c r="A1139" s="2">
        <v>41684</v>
      </c>
      <c r="B1139" s="2">
        <v>41689</v>
      </c>
      <c r="C1139" s="1" t="s">
        <v>17</v>
      </c>
      <c r="D1139" s="1" t="s">
        <v>1639</v>
      </c>
      <c r="E1139" s="1" t="s">
        <v>19</v>
      </c>
      <c r="F1139" s="1" t="s">
        <v>20</v>
      </c>
      <c r="G1139" s="1" t="s">
        <v>91</v>
      </c>
      <c r="H1139" s="1" t="s">
        <v>57</v>
      </c>
      <c r="I1139" s="1" t="s">
        <v>58</v>
      </c>
      <c r="J1139" s="1" t="s">
        <v>32</v>
      </c>
      <c r="K1139" s="1" t="s">
        <v>47</v>
      </c>
      <c r="L1139" s="1" t="s">
        <v>1846</v>
      </c>
      <c r="M1139">
        <v>3</v>
      </c>
      <c r="N1139">
        <v>0.2</v>
      </c>
      <c r="O1139">
        <v>6.0659999999999998</v>
      </c>
      <c r="P1139">
        <v>16.175999999999998</v>
      </c>
      <c r="Q1139">
        <v>10.11</v>
      </c>
    </row>
    <row r="1140" spans="1:17" x14ac:dyDescent="0.25">
      <c r="A1140" s="2">
        <v>41908</v>
      </c>
      <c r="B1140" s="2">
        <v>41909</v>
      </c>
      <c r="C1140" s="1" t="s">
        <v>107</v>
      </c>
      <c r="D1140" s="1" t="s">
        <v>1381</v>
      </c>
      <c r="E1140" s="1" t="s">
        <v>55</v>
      </c>
      <c r="F1140" s="1" t="s">
        <v>20</v>
      </c>
      <c r="G1140" s="1" t="s">
        <v>345</v>
      </c>
      <c r="H1140" s="1" t="s">
        <v>30</v>
      </c>
      <c r="I1140" s="1" t="s">
        <v>31</v>
      </c>
      <c r="J1140" s="1" t="s">
        <v>24</v>
      </c>
      <c r="K1140" s="1" t="s">
        <v>82</v>
      </c>
      <c r="L1140" s="1" t="s">
        <v>1847</v>
      </c>
      <c r="M1140">
        <v>3</v>
      </c>
      <c r="N1140">
        <v>0.2</v>
      </c>
      <c r="O1140">
        <v>73.194000000000003</v>
      </c>
      <c r="P1140">
        <v>585.55200000000002</v>
      </c>
      <c r="Q1140">
        <v>512.35800000000006</v>
      </c>
    </row>
    <row r="1141" spans="1:17" x14ac:dyDescent="0.25">
      <c r="A1141" s="2">
        <v>42765</v>
      </c>
      <c r="B1141" s="2">
        <v>42770</v>
      </c>
      <c r="C1141" s="1" t="s">
        <v>35</v>
      </c>
      <c r="D1141" s="1" t="s">
        <v>84</v>
      </c>
      <c r="E1141" s="1" t="s">
        <v>19</v>
      </c>
      <c r="F1141" s="1" t="s">
        <v>20</v>
      </c>
      <c r="G1141" s="1" t="s">
        <v>481</v>
      </c>
      <c r="H1141" s="1" t="s">
        <v>38</v>
      </c>
      <c r="I1141" s="1" t="s">
        <v>23</v>
      </c>
      <c r="J1141" s="1" t="s">
        <v>24</v>
      </c>
      <c r="K1141" s="1" t="s">
        <v>82</v>
      </c>
      <c r="L1141" s="1" t="s">
        <v>1848</v>
      </c>
      <c r="M1141">
        <v>4</v>
      </c>
      <c r="N1141">
        <v>0.2</v>
      </c>
      <c r="O1141">
        <v>-68.1096</v>
      </c>
      <c r="P1141">
        <v>419.13600000000002</v>
      </c>
      <c r="Q1141">
        <v>487.24560000000002</v>
      </c>
    </row>
    <row r="1142" spans="1:17" x14ac:dyDescent="0.25">
      <c r="A1142" s="2">
        <v>42301</v>
      </c>
      <c r="B1142" s="2">
        <v>42306</v>
      </c>
      <c r="C1142" s="1" t="s">
        <v>35</v>
      </c>
      <c r="D1142" s="1" t="s">
        <v>546</v>
      </c>
      <c r="E1142" s="1" t="s">
        <v>55</v>
      </c>
      <c r="F1142" s="1" t="s">
        <v>20</v>
      </c>
      <c r="G1142" s="1" t="s">
        <v>265</v>
      </c>
      <c r="H1142" s="1" t="s">
        <v>57</v>
      </c>
      <c r="I1142" s="1" t="s">
        <v>58</v>
      </c>
      <c r="J1142" s="1" t="s">
        <v>32</v>
      </c>
      <c r="K1142" s="1" t="s">
        <v>52</v>
      </c>
      <c r="L1142" s="1" t="s">
        <v>985</v>
      </c>
      <c r="M1142">
        <v>4</v>
      </c>
      <c r="N1142">
        <v>0.8</v>
      </c>
      <c r="O1142">
        <v>-6.2859999999999996</v>
      </c>
      <c r="P1142">
        <v>3.5920000000000001</v>
      </c>
      <c r="Q1142">
        <v>9.8780000000000001</v>
      </c>
    </row>
    <row r="1143" spans="1:17" x14ac:dyDescent="0.25">
      <c r="A1143" s="2">
        <v>42285</v>
      </c>
      <c r="B1143" s="2">
        <v>42289</v>
      </c>
      <c r="C1143" s="1" t="s">
        <v>35</v>
      </c>
      <c r="D1143" s="1" t="s">
        <v>302</v>
      </c>
      <c r="E1143" s="1" t="s">
        <v>19</v>
      </c>
      <c r="F1143" s="1" t="s">
        <v>20</v>
      </c>
      <c r="G1143" s="1" t="s">
        <v>71</v>
      </c>
      <c r="H1143" s="1" t="s">
        <v>30</v>
      </c>
      <c r="I1143" s="1" t="s">
        <v>31</v>
      </c>
      <c r="J1143" s="1" t="s">
        <v>24</v>
      </c>
      <c r="K1143" s="1" t="s">
        <v>42</v>
      </c>
      <c r="L1143" s="1" t="s">
        <v>391</v>
      </c>
      <c r="M1143">
        <v>5</v>
      </c>
      <c r="N1143">
        <v>0</v>
      </c>
      <c r="O1143">
        <v>62.737000000000002</v>
      </c>
      <c r="P1143">
        <v>145.9</v>
      </c>
      <c r="Q1143">
        <v>83.163000000000011</v>
      </c>
    </row>
    <row r="1144" spans="1:17" x14ac:dyDescent="0.25">
      <c r="A1144" s="2">
        <v>41694</v>
      </c>
      <c r="B1144" s="2">
        <v>41700</v>
      </c>
      <c r="C1144" s="1" t="s">
        <v>35</v>
      </c>
      <c r="D1144" s="1" t="s">
        <v>943</v>
      </c>
      <c r="E1144" s="1" t="s">
        <v>19</v>
      </c>
      <c r="F1144" s="1" t="s">
        <v>20</v>
      </c>
      <c r="G1144" s="1" t="s">
        <v>1849</v>
      </c>
      <c r="H1144" s="1" t="s">
        <v>183</v>
      </c>
      <c r="I1144" s="1" t="s">
        <v>31</v>
      </c>
      <c r="J1144" s="1" t="s">
        <v>32</v>
      </c>
      <c r="K1144" s="1" t="s">
        <v>47</v>
      </c>
      <c r="L1144" s="1" t="s">
        <v>1850</v>
      </c>
      <c r="M1144">
        <v>4</v>
      </c>
      <c r="N1144">
        <v>0.2</v>
      </c>
      <c r="O1144">
        <v>11.102399999999999</v>
      </c>
      <c r="P1144">
        <v>32.896000000000001</v>
      </c>
      <c r="Q1144">
        <v>21.793600000000001</v>
      </c>
    </row>
    <row r="1145" spans="1:17" x14ac:dyDescent="0.25">
      <c r="A1145" s="2">
        <v>42692</v>
      </c>
      <c r="B1145" s="2">
        <v>42695</v>
      </c>
      <c r="C1145" s="1" t="s">
        <v>17</v>
      </c>
      <c r="D1145" s="1" t="s">
        <v>884</v>
      </c>
      <c r="E1145" s="1" t="s">
        <v>28</v>
      </c>
      <c r="F1145" s="1" t="s">
        <v>20</v>
      </c>
      <c r="G1145" s="1" t="s">
        <v>551</v>
      </c>
      <c r="H1145" s="1" t="s">
        <v>159</v>
      </c>
      <c r="I1145" s="1" t="s">
        <v>23</v>
      </c>
      <c r="J1145" s="1" t="s">
        <v>99</v>
      </c>
      <c r="K1145" s="1" t="s">
        <v>111</v>
      </c>
      <c r="L1145" s="1" t="s">
        <v>1851</v>
      </c>
      <c r="M1145">
        <v>4</v>
      </c>
      <c r="N1145">
        <v>0</v>
      </c>
      <c r="O1145">
        <v>527.98400000000004</v>
      </c>
      <c r="P1145">
        <v>1319.96</v>
      </c>
      <c r="Q1145">
        <v>791.976</v>
      </c>
    </row>
    <row r="1146" spans="1:17" x14ac:dyDescent="0.25">
      <c r="A1146" s="2">
        <v>42849</v>
      </c>
      <c r="B1146" s="2">
        <v>42853</v>
      </c>
      <c r="C1146" s="1" t="s">
        <v>35</v>
      </c>
      <c r="D1146" s="1" t="s">
        <v>1124</v>
      </c>
      <c r="E1146" s="1" t="s">
        <v>55</v>
      </c>
      <c r="F1146" s="1" t="s">
        <v>20</v>
      </c>
      <c r="G1146" s="1" t="s">
        <v>1852</v>
      </c>
      <c r="H1146" s="1" t="s">
        <v>30</v>
      </c>
      <c r="I1146" s="1" t="s">
        <v>31</v>
      </c>
      <c r="J1146" s="1" t="s">
        <v>32</v>
      </c>
      <c r="K1146" s="1" t="s">
        <v>128</v>
      </c>
      <c r="L1146" s="1" t="s">
        <v>1853</v>
      </c>
      <c r="M1146">
        <v>1</v>
      </c>
      <c r="N1146">
        <v>0</v>
      </c>
      <c r="O1146">
        <v>0.65159999999999996</v>
      </c>
      <c r="P1146">
        <v>1.81</v>
      </c>
      <c r="Q1146">
        <v>1.1584000000000001</v>
      </c>
    </row>
    <row r="1147" spans="1:17" x14ac:dyDescent="0.25">
      <c r="A1147" s="2">
        <v>42132</v>
      </c>
      <c r="B1147" s="2">
        <v>42134</v>
      </c>
      <c r="C1147" s="1" t="s">
        <v>107</v>
      </c>
      <c r="D1147" s="1" t="s">
        <v>1103</v>
      </c>
      <c r="E1147" s="1" t="s">
        <v>55</v>
      </c>
      <c r="F1147" s="1" t="s">
        <v>20</v>
      </c>
      <c r="G1147" s="1" t="s">
        <v>126</v>
      </c>
      <c r="H1147" s="1" t="s">
        <v>127</v>
      </c>
      <c r="I1147" s="1" t="s">
        <v>81</v>
      </c>
      <c r="J1147" s="1" t="s">
        <v>32</v>
      </c>
      <c r="K1147" s="1" t="s">
        <v>47</v>
      </c>
      <c r="L1147" s="1" t="s">
        <v>1513</v>
      </c>
      <c r="M1147">
        <v>2</v>
      </c>
      <c r="N1147">
        <v>0</v>
      </c>
      <c r="O1147">
        <v>18.211200000000002</v>
      </c>
      <c r="P1147">
        <v>37.94</v>
      </c>
      <c r="Q1147">
        <v>19.728799999999996</v>
      </c>
    </row>
    <row r="1148" spans="1:17" x14ac:dyDescent="0.25">
      <c r="A1148" s="2">
        <v>41925</v>
      </c>
      <c r="B1148" s="2">
        <v>41930</v>
      </c>
      <c r="C1148" s="1" t="s">
        <v>17</v>
      </c>
      <c r="D1148" s="1" t="s">
        <v>1854</v>
      </c>
      <c r="E1148" s="1" t="s">
        <v>28</v>
      </c>
      <c r="F1148" s="1" t="s">
        <v>20</v>
      </c>
      <c r="G1148" s="1" t="s">
        <v>1742</v>
      </c>
      <c r="H1148" s="1" t="s">
        <v>298</v>
      </c>
      <c r="I1148" s="1" t="s">
        <v>81</v>
      </c>
      <c r="J1148" s="1" t="s">
        <v>24</v>
      </c>
      <c r="K1148" s="1" t="s">
        <v>82</v>
      </c>
      <c r="L1148" s="1" t="s">
        <v>1114</v>
      </c>
      <c r="M1148">
        <v>2</v>
      </c>
      <c r="N1148">
        <v>0</v>
      </c>
      <c r="O1148">
        <v>27.0578</v>
      </c>
      <c r="P1148">
        <v>245.98</v>
      </c>
      <c r="Q1148">
        <v>218.92219999999998</v>
      </c>
    </row>
    <row r="1149" spans="1:17" x14ac:dyDescent="0.25">
      <c r="A1149" s="2">
        <v>41681</v>
      </c>
      <c r="B1149" s="2">
        <v>41685</v>
      </c>
      <c r="C1149" s="1" t="s">
        <v>35</v>
      </c>
      <c r="D1149" s="1" t="s">
        <v>501</v>
      </c>
      <c r="E1149" s="1" t="s">
        <v>19</v>
      </c>
      <c r="F1149" s="1" t="s">
        <v>20</v>
      </c>
      <c r="G1149" s="1" t="s">
        <v>1339</v>
      </c>
      <c r="H1149" s="1" t="s">
        <v>144</v>
      </c>
      <c r="I1149" s="1" t="s">
        <v>23</v>
      </c>
      <c r="J1149" s="1" t="s">
        <v>99</v>
      </c>
      <c r="K1149" s="1" t="s">
        <v>111</v>
      </c>
      <c r="L1149" s="1" t="s">
        <v>603</v>
      </c>
      <c r="M1149">
        <v>3</v>
      </c>
      <c r="N1149">
        <v>0</v>
      </c>
      <c r="O1149">
        <v>103.158</v>
      </c>
      <c r="P1149">
        <v>234.45</v>
      </c>
      <c r="Q1149">
        <v>131.29199999999997</v>
      </c>
    </row>
    <row r="1150" spans="1:17" x14ac:dyDescent="0.25">
      <c r="A1150" s="2">
        <v>42139</v>
      </c>
      <c r="B1150" s="2">
        <v>42144</v>
      </c>
      <c r="C1150" s="1" t="s">
        <v>17</v>
      </c>
      <c r="D1150" s="1" t="s">
        <v>1635</v>
      </c>
      <c r="E1150" s="1" t="s">
        <v>28</v>
      </c>
      <c r="F1150" s="1" t="s">
        <v>20</v>
      </c>
      <c r="G1150" s="1" t="s">
        <v>1285</v>
      </c>
      <c r="H1150" s="1" t="s">
        <v>429</v>
      </c>
      <c r="I1150" s="1" t="s">
        <v>23</v>
      </c>
      <c r="J1150" s="1" t="s">
        <v>32</v>
      </c>
      <c r="K1150" s="1" t="s">
        <v>94</v>
      </c>
      <c r="L1150" s="1" t="s">
        <v>1855</v>
      </c>
      <c r="M1150">
        <v>3</v>
      </c>
      <c r="N1150">
        <v>0</v>
      </c>
      <c r="O1150">
        <v>8.7905999999999995</v>
      </c>
      <c r="P1150">
        <v>17.940000000000001</v>
      </c>
      <c r="Q1150">
        <v>9.1494000000000018</v>
      </c>
    </row>
    <row r="1151" spans="1:17" x14ac:dyDescent="0.25">
      <c r="A1151" s="2">
        <v>42164</v>
      </c>
      <c r="B1151" s="2">
        <v>42166</v>
      </c>
      <c r="C1151" s="1" t="s">
        <v>17</v>
      </c>
      <c r="D1151" s="1" t="s">
        <v>628</v>
      </c>
      <c r="E1151" s="1" t="s">
        <v>19</v>
      </c>
      <c r="F1151" s="1" t="s">
        <v>20</v>
      </c>
      <c r="G1151" s="1" t="s">
        <v>1856</v>
      </c>
      <c r="H1151" s="1" t="s">
        <v>1764</v>
      </c>
      <c r="I1151" s="1" t="s">
        <v>31</v>
      </c>
      <c r="J1151" s="1" t="s">
        <v>24</v>
      </c>
      <c r="K1151" s="1" t="s">
        <v>42</v>
      </c>
      <c r="L1151" s="1" t="s">
        <v>1857</v>
      </c>
      <c r="M1151">
        <v>4</v>
      </c>
      <c r="N1151">
        <v>0</v>
      </c>
      <c r="O1151">
        <v>92.393600000000006</v>
      </c>
      <c r="P1151">
        <v>355.36</v>
      </c>
      <c r="Q1151">
        <v>262.96640000000002</v>
      </c>
    </row>
    <row r="1152" spans="1:17" x14ac:dyDescent="0.25">
      <c r="A1152" s="2">
        <v>41787</v>
      </c>
      <c r="B1152" s="2">
        <v>41792</v>
      </c>
      <c r="C1152" s="1" t="s">
        <v>35</v>
      </c>
      <c r="D1152" s="1" t="s">
        <v>1448</v>
      </c>
      <c r="E1152" s="1" t="s">
        <v>28</v>
      </c>
      <c r="F1152" s="1" t="s">
        <v>20</v>
      </c>
      <c r="G1152" s="1" t="s">
        <v>50</v>
      </c>
      <c r="H1152" s="1" t="s">
        <v>51</v>
      </c>
      <c r="I1152" s="1" t="s">
        <v>31</v>
      </c>
      <c r="J1152" s="1" t="s">
        <v>99</v>
      </c>
      <c r="K1152" s="1" t="s">
        <v>100</v>
      </c>
      <c r="L1152" s="1" t="s">
        <v>819</v>
      </c>
      <c r="M1152">
        <v>6</v>
      </c>
      <c r="N1152">
        <v>0.2</v>
      </c>
      <c r="O1152">
        <v>5.7408000000000001</v>
      </c>
      <c r="P1152">
        <v>57.408000000000001</v>
      </c>
      <c r="Q1152">
        <v>51.667200000000001</v>
      </c>
    </row>
    <row r="1153" spans="1:17" x14ac:dyDescent="0.25">
      <c r="A1153" s="2">
        <v>42579</v>
      </c>
      <c r="B1153" s="2">
        <v>42585</v>
      </c>
      <c r="C1153" s="1" t="s">
        <v>35</v>
      </c>
      <c r="D1153" s="1" t="s">
        <v>1858</v>
      </c>
      <c r="E1153" s="1" t="s">
        <v>55</v>
      </c>
      <c r="F1153" s="1" t="s">
        <v>20</v>
      </c>
      <c r="G1153" s="1" t="s">
        <v>1859</v>
      </c>
      <c r="H1153" s="1" t="s">
        <v>115</v>
      </c>
      <c r="I1153" s="1" t="s">
        <v>58</v>
      </c>
      <c r="J1153" s="1" t="s">
        <v>32</v>
      </c>
      <c r="K1153" s="1" t="s">
        <v>128</v>
      </c>
      <c r="L1153" s="1" t="s">
        <v>580</v>
      </c>
      <c r="M1153">
        <v>7</v>
      </c>
      <c r="N1153">
        <v>0</v>
      </c>
      <c r="O1153">
        <v>9.1980000000000004</v>
      </c>
      <c r="P1153">
        <v>20.440000000000001</v>
      </c>
      <c r="Q1153">
        <v>11.242000000000001</v>
      </c>
    </row>
    <row r="1154" spans="1:17" x14ac:dyDescent="0.25">
      <c r="A1154" s="2">
        <v>41848</v>
      </c>
      <c r="B1154" s="2">
        <v>41848</v>
      </c>
      <c r="C1154" s="1" t="s">
        <v>434</v>
      </c>
      <c r="D1154" s="1" t="s">
        <v>646</v>
      </c>
      <c r="E1154" s="1" t="s">
        <v>19</v>
      </c>
      <c r="F1154" s="1" t="s">
        <v>20</v>
      </c>
      <c r="G1154" s="1" t="s">
        <v>1312</v>
      </c>
      <c r="H1154" s="1" t="s">
        <v>38</v>
      </c>
      <c r="I1154" s="1" t="s">
        <v>23</v>
      </c>
      <c r="J1154" s="1" t="s">
        <v>32</v>
      </c>
      <c r="K1154" s="1" t="s">
        <v>128</v>
      </c>
      <c r="L1154" s="1" t="s">
        <v>215</v>
      </c>
      <c r="M1154">
        <v>5</v>
      </c>
      <c r="N1154">
        <v>0.2</v>
      </c>
      <c r="O1154">
        <v>5.1909999999999998</v>
      </c>
      <c r="P1154">
        <v>14.32</v>
      </c>
      <c r="Q1154">
        <v>9.1290000000000013</v>
      </c>
    </row>
    <row r="1155" spans="1:17" x14ac:dyDescent="0.25">
      <c r="A1155" s="2">
        <v>42132</v>
      </c>
      <c r="B1155" s="2">
        <v>42139</v>
      </c>
      <c r="C1155" s="1" t="s">
        <v>35</v>
      </c>
      <c r="D1155" s="1" t="s">
        <v>1223</v>
      </c>
      <c r="E1155" s="1" t="s">
        <v>19</v>
      </c>
      <c r="F1155" s="1" t="s">
        <v>20</v>
      </c>
      <c r="G1155" s="1" t="s">
        <v>126</v>
      </c>
      <c r="H1155" s="1" t="s">
        <v>127</v>
      </c>
      <c r="I1155" s="1" t="s">
        <v>81</v>
      </c>
      <c r="J1155" s="1" t="s">
        <v>24</v>
      </c>
      <c r="K1155" s="1" t="s">
        <v>42</v>
      </c>
      <c r="L1155" s="1" t="s">
        <v>905</v>
      </c>
      <c r="M1155">
        <v>3</v>
      </c>
      <c r="N1155">
        <v>0</v>
      </c>
      <c r="O1155">
        <v>30.187200000000001</v>
      </c>
      <c r="P1155">
        <v>79.44</v>
      </c>
      <c r="Q1155">
        <v>49.252799999999993</v>
      </c>
    </row>
    <row r="1156" spans="1:17" x14ac:dyDescent="0.25">
      <c r="A1156" s="2">
        <v>41699</v>
      </c>
      <c r="B1156" s="2">
        <v>41703</v>
      </c>
      <c r="C1156" s="1" t="s">
        <v>35</v>
      </c>
      <c r="D1156" s="1" t="s">
        <v>932</v>
      </c>
      <c r="E1156" s="1" t="s">
        <v>55</v>
      </c>
      <c r="F1156" s="1" t="s">
        <v>20</v>
      </c>
      <c r="G1156" s="1" t="s">
        <v>126</v>
      </c>
      <c r="H1156" s="1" t="s">
        <v>127</v>
      </c>
      <c r="I1156" s="1" t="s">
        <v>81</v>
      </c>
      <c r="J1156" s="1" t="s">
        <v>99</v>
      </c>
      <c r="K1156" s="1" t="s">
        <v>100</v>
      </c>
      <c r="L1156" s="1" t="s">
        <v>1860</v>
      </c>
      <c r="M1156">
        <v>3</v>
      </c>
      <c r="N1156">
        <v>0</v>
      </c>
      <c r="O1156">
        <v>1.6037999999999999</v>
      </c>
      <c r="P1156">
        <v>5.94</v>
      </c>
      <c r="Q1156">
        <v>4.3362000000000007</v>
      </c>
    </row>
    <row r="1157" spans="1:17" x14ac:dyDescent="0.25">
      <c r="A1157" s="2">
        <v>41659</v>
      </c>
      <c r="B1157" s="2">
        <v>41664</v>
      </c>
      <c r="C1157" s="1" t="s">
        <v>35</v>
      </c>
      <c r="D1157" s="1" t="s">
        <v>1417</v>
      </c>
      <c r="E1157" s="1" t="s">
        <v>19</v>
      </c>
      <c r="F1157" s="1" t="s">
        <v>20</v>
      </c>
      <c r="G1157" s="1" t="s">
        <v>29</v>
      </c>
      <c r="H1157" s="1" t="s">
        <v>30</v>
      </c>
      <c r="I1157" s="1" t="s">
        <v>31</v>
      </c>
      <c r="J1157" s="1" t="s">
        <v>32</v>
      </c>
      <c r="K1157" s="1" t="s">
        <v>47</v>
      </c>
      <c r="L1157" s="1" t="s">
        <v>1348</v>
      </c>
      <c r="M1157">
        <v>2</v>
      </c>
      <c r="N1157">
        <v>0</v>
      </c>
      <c r="O1157">
        <v>9.2927999999999997</v>
      </c>
      <c r="P1157">
        <v>19.36</v>
      </c>
      <c r="Q1157">
        <v>10.0672</v>
      </c>
    </row>
    <row r="1158" spans="1:17" x14ac:dyDescent="0.25">
      <c r="A1158" s="2">
        <v>42403</v>
      </c>
      <c r="B1158" s="2">
        <v>42410</v>
      </c>
      <c r="C1158" s="1" t="s">
        <v>35</v>
      </c>
      <c r="D1158" s="1" t="s">
        <v>1627</v>
      </c>
      <c r="E1158" s="1" t="s">
        <v>19</v>
      </c>
      <c r="F1158" s="1" t="s">
        <v>20</v>
      </c>
      <c r="G1158" s="1" t="s">
        <v>496</v>
      </c>
      <c r="H1158" s="1" t="s">
        <v>22</v>
      </c>
      <c r="I1158" s="1" t="s">
        <v>23</v>
      </c>
      <c r="J1158" s="1" t="s">
        <v>24</v>
      </c>
      <c r="K1158" s="1" t="s">
        <v>82</v>
      </c>
      <c r="L1158" s="1" t="s">
        <v>503</v>
      </c>
      <c r="M1158">
        <v>4</v>
      </c>
      <c r="N1158">
        <v>0</v>
      </c>
      <c r="O1158">
        <v>225.26400000000001</v>
      </c>
      <c r="P1158">
        <v>866.4</v>
      </c>
      <c r="Q1158">
        <v>641.13599999999997</v>
      </c>
    </row>
    <row r="1159" spans="1:17" x14ac:dyDescent="0.25">
      <c r="A1159" s="2">
        <v>42092</v>
      </c>
      <c r="B1159" s="2">
        <v>42097</v>
      </c>
      <c r="C1159" s="1" t="s">
        <v>17</v>
      </c>
      <c r="D1159" s="1" t="s">
        <v>648</v>
      </c>
      <c r="E1159" s="1" t="s">
        <v>19</v>
      </c>
      <c r="F1159" s="1" t="s">
        <v>20</v>
      </c>
      <c r="G1159" s="1" t="s">
        <v>143</v>
      </c>
      <c r="H1159" s="1" t="s">
        <v>144</v>
      </c>
      <c r="I1159" s="1" t="s">
        <v>23</v>
      </c>
      <c r="J1159" s="1" t="s">
        <v>32</v>
      </c>
      <c r="K1159" s="1" t="s">
        <v>72</v>
      </c>
      <c r="L1159" s="1" t="s">
        <v>1861</v>
      </c>
      <c r="M1159">
        <v>2</v>
      </c>
      <c r="N1159">
        <v>0</v>
      </c>
      <c r="O1159">
        <v>1.4456</v>
      </c>
      <c r="P1159">
        <v>5.56</v>
      </c>
      <c r="Q1159">
        <v>4.1143999999999998</v>
      </c>
    </row>
    <row r="1160" spans="1:17" x14ac:dyDescent="0.25">
      <c r="A1160" s="2">
        <v>42060</v>
      </c>
      <c r="B1160" s="2">
        <v>42064</v>
      </c>
      <c r="C1160" s="1" t="s">
        <v>35</v>
      </c>
      <c r="D1160" s="1" t="s">
        <v>1862</v>
      </c>
      <c r="E1160" s="1" t="s">
        <v>19</v>
      </c>
      <c r="F1160" s="1" t="s">
        <v>20</v>
      </c>
      <c r="G1160" s="1" t="s">
        <v>1863</v>
      </c>
      <c r="H1160" s="1" t="s">
        <v>423</v>
      </c>
      <c r="I1160" s="1" t="s">
        <v>81</v>
      </c>
      <c r="J1160" s="1" t="s">
        <v>32</v>
      </c>
      <c r="K1160" s="1" t="s">
        <v>33</v>
      </c>
      <c r="L1160" s="1" t="s">
        <v>1195</v>
      </c>
      <c r="M1160">
        <v>1</v>
      </c>
      <c r="N1160">
        <v>0</v>
      </c>
      <c r="O1160">
        <v>1.512</v>
      </c>
      <c r="P1160">
        <v>3.15</v>
      </c>
      <c r="Q1160">
        <v>1.6379999999999999</v>
      </c>
    </row>
    <row r="1161" spans="1:17" x14ac:dyDescent="0.25">
      <c r="A1161" s="2">
        <v>42096</v>
      </c>
      <c r="B1161" s="2">
        <v>42103</v>
      </c>
      <c r="C1161" s="1" t="s">
        <v>35</v>
      </c>
      <c r="D1161" s="1" t="s">
        <v>1864</v>
      </c>
      <c r="E1161" s="1" t="s">
        <v>19</v>
      </c>
      <c r="F1161" s="1" t="s">
        <v>20</v>
      </c>
      <c r="G1161" s="1" t="s">
        <v>29</v>
      </c>
      <c r="H1161" s="1" t="s">
        <v>30</v>
      </c>
      <c r="I1161" s="1" t="s">
        <v>31</v>
      </c>
      <c r="J1161" s="1" t="s">
        <v>99</v>
      </c>
      <c r="K1161" s="1" t="s">
        <v>354</v>
      </c>
      <c r="L1161" s="1" t="s">
        <v>1865</v>
      </c>
      <c r="M1161">
        <v>3</v>
      </c>
      <c r="N1161">
        <v>0.2</v>
      </c>
      <c r="O1161">
        <v>24.291899999999998</v>
      </c>
      <c r="P1161">
        <v>71.975999999999999</v>
      </c>
      <c r="Q1161">
        <v>47.684100000000001</v>
      </c>
    </row>
    <row r="1162" spans="1:17" x14ac:dyDescent="0.25">
      <c r="A1162" s="2">
        <v>41831</v>
      </c>
      <c r="B1162" s="2">
        <v>41834</v>
      </c>
      <c r="C1162" s="1" t="s">
        <v>107</v>
      </c>
      <c r="D1162" s="1" t="s">
        <v>1105</v>
      </c>
      <c r="E1162" s="1" t="s">
        <v>19</v>
      </c>
      <c r="F1162" s="1" t="s">
        <v>20</v>
      </c>
      <c r="G1162" s="1" t="s">
        <v>1201</v>
      </c>
      <c r="H1162" s="1" t="s">
        <v>57</v>
      </c>
      <c r="I1162" s="1" t="s">
        <v>58</v>
      </c>
      <c r="J1162" s="1" t="s">
        <v>99</v>
      </c>
      <c r="K1162" s="1" t="s">
        <v>100</v>
      </c>
      <c r="L1162" s="1" t="s">
        <v>1866</v>
      </c>
      <c r="M1162">
        <v>4</v>
      </c>
      <c r="N1162">
        <v>0.2</v>
      </c>
      <c r="O1162">
        <v>43.197600000000001</v>
      </c>
      <c r="P1162">
        <v>575.96799999999996</v>
      </c>
      <c r="Q1162">
        <v>532.7704</v>
      </c>
    </row>
    <row r="1163" spans="1:17" x14ac:dyDescent="0.25">
      <c r="A1163" s="2">
        <v>42187</v>
      </c>
      <c r="B1163" s="2">
        <v>42188</v>
      </c>
      <c r="C1163" s="1" t="s">
        <v>107</v>
      </c>
      <c r="D1163" s="1" t="s">
        <v>1739</v>
      </c>
      <c r="E1163" s="1" t="s">
        <v>55</v>
      </c>
      <c r="F1163" s="1" t="s">
        <v>20</v>
      </c>
      <c r="G1163" s="1" t="s">
        <v>126</v>
      </c>
      <c r="H1163" s="1" t="s">
        <v>127</v>
      </c>
      <c r="I1163" s="1" t="s">
        <v>81</v>
      </c>
      <c r="J1163" s="1" t="s">
        <v>32</v>
      </c>
      <c r="K1163" s="1" t="s">
        <v>47</v>
      </c>
      <c r="L1163" s="1" t="s">
        <v>1867</v>
      </c>
      <c r="M1163">
        <v>3</v>
      </c>
      <c r="N1163">
        <v>0</v>
      </c>
      <c r="O1163">
        <v>9.3312000000000008</v>
      </c>
      <c r="P1163">
        <v>19.440000000000001</v>
      </c>
      <c r="Q1163">
        <v>10.1088</v>
      </c>
    </row>
    <row r="1164" spans="1:17" x14ac:dyDescent="0.25">
      <c r="A1164" s="2">
        <v>42203</v>
      </c>
      <c r="B1164" s="2">
        <v>42207</v>
      </c>
      <c r="C1164" s="1" t="s">
        <v>35</v>
      </c>
      <c r="D1164" s="1" t="s">
        <v>754</v>
      </c>
      <c r="E1164" s="1" t="s">
        <v>19</v>
      </c>
      <c r="F1164" s="1" t="s">
        <v>20</v>
      </c>
      <c r="G1164" s="1" t="s">
        <v>345</v>
      </c>
      <c r="H1164" s="1" t="s">
        <v>30</v>
      </c>
      <c r="I1164" s="1" t="s">
        <v>31</v>
      </c>
      <c r="J1164" s="1" t="s">
        <v>99</v>
      </c>
      <c r="K1164" s="1" t="s">
        <v>111</v>
      </c>
      <c r="L1164" s="1" t="s">
        <v>1868</v>
      </c>
      <c r="M1164">
        <v>4</v>
      </c>
      <c r="N1164">
        <v>0</v>
      </c>
      <c r="O1164">
        <v>176.78639999999999</v>
      </c>
      <c r="P1164">
        <v>519.96</v>
      </c>
      <c r="Q1164">
        <v>343.17360000000008</v>
      </c>
    </row>
    <row r="1165" spans="1:17" x14ac:dyDescent="0.25">
      <c r="A1165" s="2">
        <v>42309</v>
      </c>
      <c r="B1165" s="2">
        <v>42316</v>
      </c>
      <c r="C1165" s="1" t="s">
        <v>35</v>
      </c>
      <c r="D1165" s="1" t="s">
        <v>1869</v>
      </c>
      <c r="E1165" s="1" t="s">
        <v>19</v>
      </c>
      <c r="F1165" s="1" t="s">
        <v>20</v>
      </c>
      <c r="G1165" s="1" t="s">
        <v>1870</v>
      </c>
      <c r="H1165" s="1" t="s">
        <v>899</v>
      </c>
      <c r="I1165" s="1" t="s">
        <v>23</v>
      </c>
      <c r="J1165" s="1" t="s">
        <v>24</v>
      </c>
      <c r="K1165" s="1" t="s">
        <v>39</v>
      </c>
      <c r="L1165" s="1" t="s">
        <v>1871</v>
      </c>
      <c r="M1165">
        <v>2</v>
      </c>
      <c r="N1165">
        <v>0</v>
      </c>
      <c r="O1165">
        <v>45.293999999999997</v>
      </c>
      <c r="P1165">
        <v>301.95999999999998</v>
      </c>
      <c r="Q1165">
        <v>256.666</v>
      </c>
    </row>
    <row r="1166" spans="1:17" x14ac:dyDescent="0.25">
      <c r="A1166" s="2">
        <v>42123</v>
      </c>
      <c r="B1166" s="2">
        <v>42128</v>
      </c>
      <c r="C1166" s="1" t="s">
        <v>17</v>
      </c>
      <c r="D1166" s="1" t="s">
        <v>274</v>
      </c>
      <c r="E1166" s="1" t="s">
        <v>55</v>
      </c>
      <c r="F1166" s="1" t="s">
        <v>20</v>
      </c>
      <c r="G1166" s="1" t="s">
        <v>79</v>
      </c>
      <c r="H1166" s="1" t="s">
        <v>80</v>
      </c>
      <c r="I1166" s="1" t="s">
        <v>81</v>
      </c>
      <c r="J1166" s="1" t="s">
        <v>32</v>
      </c>
      <c r="K1166" s="1" t="s">
        <v>47</v>
      </c>
      <c r="L1166" s="1" t="s">
        <v>1872</v>
      </c>
      <c r="M1166">
        <v>2</v>
      </c>
      <c r="N1166">
        <v>0.2</v>
      </c>
      <c r="O1166">
        <v>2.8883999999999999</v>
      </c>
      <c r="P1166">
        <v>7.968</v>
      </c>
      <c r="Q1166">
        <v>5.0796000000000001</v>
      </c>
    </row>
    <row r="1167" spans="1:17" x14ac:dyDescent="0.25">
      <c r="A1167" s="2">
        <v>41856</v>
      </c>
      <c r="B1167" s="2">
        <v>41858</v>
      </c>
      <c r="C1167" s="1" t="s">
        <v>17</v>
      </c>
      <c r="D1167" s="1" t="s">
        <v>1426</v>
      </c>
      <c r="E1167" s="1" t="s">
        <v>28</v>
      </c>
      <c r="F1167" s="1" t="s">
        <v>20</v>
      </c>
      <c r="G1167" s="1" t="s">
        <v>1284</v>
      </c>
      <c r="H1167" s="1" t="s">
        <v>284</v>
      </c>
      <c r="I1167" s="1" t="s">
        <v>81</v>
      </c>
      <c r="J1167" s="1" t="s">
        <v>32</v>
      </c>
      <c r="K1167" s="1" t="s">
        <v>59</v>
      </c>
      <c r="L1167" s="1" t="s">
        <v>1873</v>
      </c>
      <c r="M1167">
        <v>3</v>
      </c>
      <c r="N1167">
        <v>0</v>
      </c>
      <c r="O1167">
        <v>22.2516</v>
      </c>
      <c r="P1167">
        <v>79.47</v>
      </c>
      <c r="Q1167">
        <v>57.218400000000003</v>
      </c>
    </row>
    <row r="1168" spans="1:17" x14ac:dyDescent="0.25">
      <c r="A1168" s="2">
        <v>42373</v>
      </c>
      <c r="B1168" s="2">
        <v>42377</v>
      </c>
      <c r="C1168" s="1" t="s">
        <v>35</v>
      </c>
      <c r="D1168" s="1" t="s">
        <v>386</v>
      </c>
      <c r="E1168" s="1" t="s">
        <v>28</v>
      </c>
      <c r="F1168" s="1" t="s">
        <v>20</v>
      </c>
      <c r="G1168" s="1" t="s">
        <v>79</v>
      </c>
      <c r="H1168" s="1" t="s">
        <v>80</v>
      </c>
      <c r="I1168" s="1" t="s">
        <v>81</v>
      </c>
      <c r="J1168" s="1" t="s">
        <v>32</v>
      </c>
      <c r="K1168" s="1" t="s">
        <v>72</v>
      </c>
      <c r="L1168" s="1" t="s">
        <v>643</v>
      </c>
      <c r="M1168">
        <v>1</v>
      </c>
      <c r="N1168">
        <v>0.2</v>
      </c>
      <c r="O1168">
        <v>0.58399999999999996</v>
      </c>
      <c r="P1168">
        <v>4.6719999999999997</v>
      </c>
      <c r="Q1168">
        <v>4.0880000000000001</v>
      </c>
    </row>
    <row r="1169" spans="1:17" x14ac:dyDescent="0.25">
      <c r="A1169" s="2">
        <v>41780</v>
      </c>
      <c r="B1169" s="2">
        <v>41785</v>
      </c>
      <c r="C1169" s="1" t="s">
        <v>35</v>
      </c>
      <c r="D1169" s="1" t="s">
        <v>1099</v>
      </c>
      <c r="E1169" s="1" t="s">
        <v>55</v>
      </c>
      <c r="F1169" s="1" t="s">
        <v>20</v>
      </c>
      <c r="G1169" s="1" t="s">
        <v>579</v>
      </c>
      <c r="H1169" s="1" t="s">
        <v>423</v>
      </c>
      <c r="I1169" s="1" t="s">
        <v>81</v>
      </c>
      <c r="J1169" s="1" t="s">
        <v>32</v>
      </c>
      <c r="K1169" s="1" t="s">
        <v>52</v>
      </c>
      <c r="L1169" s="1" t="s">
        <v>1874</v>
      </c>
      <c r="M1169">
        <v>7</v>
      </c>
      <c r="N1169">
        <v>0</v>
      </c>
      <c r="O1169">
        <v>219.45140000000001</v>
      </c>
      <c r="P1169">
        <v>447.86</v>
      </c>
      <c r="Q1169">
        <v>228.40860000000001</v>
      </c>
    </row>
    <row r="1170" spans="1:17" x14ac:dyDescent="0.25">
      <c r="A1170" s="2">
        <v>42555</v>
      </c>
      <c r="B1170" s="2">
        <v>42555</v>
      </c>
      <c r="C1170" s="1" t="s">
        <v>434</v>
      </c>
      <c r="D1170" s="1" t="s">
        <v>192</v>
      </c>
      <c r="E1170" s="1" t="s">
        <v>55</v>
      </c>
      <c r="F1170" s="1" t="s">
        <v>20</v>
      </c>
      <c r="G1170" s="1" t="s">
        <v>50</v>
      </c>
      <c r="H1170" s="1" t="s">
        <v>51</v>
      </c>
      <c r="I1170" s="1" t="s">
        <v>31</v>
      </c>
      <c r="J1170" s="1" t="s">
        <v>24</v>
      </c>
      <c r="K1170" s="1" t="s">
        <v>42</v>
      </c>
      <c r="L1170" s="1" t="s">
        <v>1618</v>
      </c>
      <c r="M1170">
        <v>5</v>
      </c>
      <c r="N1170">
        <v>0</v>
      </c>
      <c r="O1170">
        <v>8.6359999999999992</v>
      </c>
      <c r="P1170">
        <v>25.4</v>
      </c>
      <c r="Q1170">
        <v>16.763999999999999</v>
      </c>
    </row>
    <row r="1171" spans="1:17" x14ac:dyDescent="0.25">
      <c r="A1171" s="2">
        <v>42874</v>
      </c>
      <c r="B1171" s="2">
        <v>42880</v>
      </c>
      <c r="C1171" s="1" t="s">
        <v>35</v>
      </c>
      <c r="D1171" s="1" t="s">
        <v>1875</v>
      </c>
      <c r="E1171" s="1" t="s">
        <v>19</v>
      </c>
      <c r="F1171" s="1" t="s">
        <v>20</v>
      </c>
      <c r="G1171" s="1" t="s">
        <v>1236</v>
      </c>
      <c r="H1171" s="1" t="s">
        <v>57</v>
      </c>
      <c r="I1171" s="1" t="s">
        <v>58</v>
      </c>
      <c r="J1171" s="1" t="s">
        <v>99</v>
      </c>
      <c r="K1171" s="1" t="s">
        <v>100</v>
      </c>
      <c r="L1171" s="1" t="s">
        <v>1876</v>
      </c>
      <c r="M1171">
        <v>1</v>
      </c>
      <c r="N1171">
        <v>0.2</v>
      </c>
      <c r="O1171">
        <v>9.5991999999999997</v>
      </c>
      <c r="P1171">
        <v>95.992000000000004</v>
      </c>
      <c r="Q1171">
        <v>86.392800000000008</v>
      </c>
    </row>
    <row r="1172" spans="1:17" x14ac:dyDescent="0.25">
      <c r="A1172" s="2">
        <v>41954</v>
      </c>
      <c r="B1172" s="2">
        <v>41956</v>
      </c>
      <c r="C1172" s="1" t="s">
        <v>17</v>
      </c>
      <c r="D1172" s="1" t="s">
        <v>90</v>
      </c>
      <c r="E1172" s="1" t="s">
        <v>55</v>
      </c>
      <c r="F1172" s="1" t="s">
        <v>20</v>
      </c>
      <c r="G1172" s="1" t="s">
        <v>29</v>
      </c>
      <c r="H1172" s="1" t="s">
        <v>30</v>
      </c>
      <c r="I1172" s="1" t="s">
        <v>31</v>
      </c>
      <c r="J1172" s="1" t="s">
        <v>99</v>
      </c>
      <c r="K1172" s="1" t="s">
        <v>100</v>
      </c>
      <c r="L1172" s="1" t="s">
        <v>647</v>
      </c>
      <c r="M1172">
        <v>9</v>
      </c>
      <c r="N1172">
        <v>0.2</v>
      </c>
      <c r="O1172">
        <v>57.592799999999997</v>
      </c>
      <c r="P1172">
        <v>575.928</v>
      </c>
      <c r="Q1172">
        <v>518.33519999999999</v>
      </c>
    </row>
    <row r="1173" spans="1:17" x14ac:dyDescent="0.25">
      <c r="A1173" s="2">
        <v>42967</v>
      </c>
      <c r="B1173" s="2">
        <v>42972</v>
      </c>
      <c r="C1173" s="1" t="s">
        <v>35</v>
      </c>
      <c r="D1173" s="1" t="s">
        <v>1877</v>
      </c>
      <c r="E1173" s="1" t="s">
        <v>28</v>
      </c>
      <c r="F1173" s="1" t="s">
        <v>20</v>
      </c>
      <c r="G1173" s="1" t="s">
        <v>71</v>
      </c>
      <c r="H1173" s="1" t="s">
        <v>30</v>
      </c>
      <c r="I1173" s="1" t="s">
        <v>31</v>
      </c>
      <c r="J1173" s="1" t="s">
        <v>32</v>
      </c>
      <c r="K1173" s="1" t="s">
        <v>476</v>
      </c>
      <c r="L1173" s="1" t="s">
        <v>1878</v>
      </c>
      <c r="M1173">
        <v>3</v>
      </c>
      <c r="N1173">
        <v>0</v>
      </c>
      <c r="O1173">
        <v>5.1660000000000004</v>
      </c>
      <c r="P1173">
        <v>17.22</v>
      </c>
      <c r="Q1173">
        <v>12.053999999999998</v>
      </c>
    </row>
    <row r="1174" spans="1:17" x14ac:dyDescent="0.25">
      <c r="A1174" s="2">
        <v>41840</v>
      </c>
      <c r="B1174" s="2">
        <v>41842</v>
      </c>
      <c r="C1174" s="1" t="s">
        <v>107</v>
      </c>
      <c r="D1174" s="1" t="s">
        <v>632</v>
      </c>
      <c r="E1174" s="1" t="s">
        <v>19</v>
      </c>
      <c r="F1174" s="1" t="s">
        <v>20</v>
      </c>
      <c r="G1174" s="1" t="s">
        <v>345</v>
      </c>
      <c r="H1174" s="1" t="s">
        <v>30</v>
      </c>
      <c r="I1174" s="1" t="s">
        <v>31</v>
      </c>
      <c r="J1174" s="1" t="s">
        <v>32</v>
      </c>
      <c r="K1174" s="1" t="s">
        <v>47</v>
      </c>
      <c r="L1174" s="1" t="s">
        <v>1879</v>
      </c>
      <c r="M1174">
        <v>1</v>
      </c>
      <c r="N1174">
        <v>0</v>
      </c>
      <c r="O1174">
        <v>50.328000000000003</v>
      </c>
      <c r="P1174">
        <v>104.85</v>
      </c>
      <c r="Q1174">
        <v>54.521999999999991</v>
      </c>
    </row>
    <row r="1175" spans="1:17" x14ac:dyDescent="0.25">
      <c r="A1175" s="2">
        <v>42772</v>
      </c>
      <c r="B1175" s="2">
        <v>42777</v>
      </c>
      <c r="C1175" s="1" t="s">
        <v>35</v>
      </c>
      <c r="D1175" s="1" t="s">
        <v>1061</v>
      </c>
      <c r="E1175" s="1" t="s">
        <v>19</v>
      </c>
      <c r="F1175" s="1" t="s">
        <v>20</v>
      </c>
      <c r="G1175" s="1" t="s">
        <v>126</v>
      </c>
      <c r="H1175" s="1" t="s">
        <v>127</v>
      </c>
      <c r="I1175" s="1" t="s">
        <v>81</v>
      </c>
      <c r="J1175" s="1" t="s">
        <v>24</v>
      </c>
      <c r="K1175" s="1" t="s">
        <v>25</v>
      </c>
      <c r="L1175" s="1" t="s">
        <v>1880</v>
      </c>
      <c r="M1175">
        <v>1</v>
      </c>
      <c r="N1175">
        <v>0.2</v>
      </c>
      <c r="O1175">
        <v>30.097999999999999</v>
      </c>
      <c r="P1175">
        <v>240.78399999999999</v>
      </c>
      <c r="Q1175">
        <v>210.68599999999998</v>
      </c>
    </row>
    <row r="1176" spans="1:17" x14ac:dyDescent="0.25">
      <c r="A1176" s="2">
        <v>42570</v>
      </c>
      <c r="B1176" s="2">
        <v>42576</v>
      </c>
      <c r="C1176" s="1" t="s">
        <v>35</v>
      </c>
      <c r="D1176" s="1" t="s">
        <v>1881</v>
      </c>
      <c r="E1176" s="1" t="s">
        <v>19</v>
      </c>
      <c r="F1176" s="1" t="s">
        <v>20</v>
      </c>
      <c r="G1176" s="1" t="s">
        <v>1777</v>
      </c>
      <c r="H1176" s="1" t="s">
        <v>502</v>
      </c>
      <c r="I1176" s="1" t="s">
        <v>23</v>
      </c>
      <c r="J1176" s="1" t="s">
        <v>24</v>
      </c>
      <c r="K1176" s="1" t="s">
        <v>42</v>
      </c>
      <c r="L1176" s="1" t="s">
        <v>1882</v>
      </c>
      <c r="M1176">
        <v>6</v>
      </c>
      <c r="N1176">
        <v>0</v>
      </c>
      <c r="O1176">
        <v>76.087800000000001</v>
      </c>
      <c r="P1176">
        <v>185.58</v>
      </c>
      <c r="Q1176">
        <v>109.49220000000001</v>
      </c>
    </row>
    <row r="1177" spans="1:17" x14ac:dyDescent="0.25">
      <c r="A1177" s="2">
        <v>42404</v>
      </c>
      <c r="B1177" s="2">
        <v>42408</v>
      </c>
      <c r="C1177" s="1" t="s">
        <v>35</v>
      </c>
      <c r="D1177" s="1" t="s">
        <v>88</v>
      </c>
      <c r="E1177" s="1" t="s">
        <v>19</v>
      </c>
      <c r="F1177" s="1" t="s">
        <v>20</v>
      </c>
      <c r="G1177" s="1" t="s">
        <v>686</v>
      </c>
      <c r="H1177" s="1" t="s">
        <v>140</v>
      </c>
      <c r="I1177" s="1" t="s">
        <v>31</v>
      </c>
      <c r="J1177" s="1" t="s">
        <v>24</v>
      </c>
      <c r="K1177" s="1" t="s">
        <v>42</v>
      </c>
      <c r="L1177" s="1" t="s">
        <v>1883</v>
      </c>
      <c r="M1177">
        <v>2</v>
      </c>
      <c r="N1177">
        <v>0.2</v>
      </c>
      <c r="O1177">
        <v>3.9512</v>
      </c>
      <c r="P1177">
        <v>14.368</v>
      </c>
      <c r="Q1177">
        <v>10.4168</v>
      </c>
    </row>
    <row r="1178" spans="1:17" x14ac:dyDescent="0.25">
      <c r="A1178" s="2">
        <v>42104</v>
      </c>
      <c r="B1178" s="2">
        <v>42110</v>
      </c>
      <c r="C1178" s="1" t="s">
        <v>35</v>
      </c>
      <c r="D1178" s="1" t="s">
        <v>693</v>
      </c>
      <c r="E1178" s="1" t="s">
        <v>55</v>
      </c>
      <c r="F1178" s="1" t="s">
        <v>20</v>
      </c>
      <c r="G1178" s="1" t="s">
        <v>172</v>
      </c>
      <c r="H1178" s="1" t="s">
        <v>127</v>
      </c>
      <c r="I1178" s="1" t="s">
        <v>81</v>
      </c>
      <c r="J1178" s="1" t="s">
        <v>32</v>
      </c>
      <c r="K1178" s="1" t="s">
        <v>64</v>
      </c>
      <c r="L1178" s="1" t="s">
        <v>996</v>
      </c>
      <c r="M1178">
        <v>4</v>
      </c>
      <c r="N1178">
        <v>0</v>
      </c>
      <c r="O1178">
        <v>38.3508</v>
      </c>
      <c r="P1178">
        <v>142.04</v>
      </c>
      <c r="Q1178">
        <v>103.6892</v>
      </c>
    </row>
    <row r="1179" spans="1:17" x14ac:dyDescent="0.25">
      <c r="A1179" s="2">
        <v>42021</v>
      </c>
      <c r="B1179" s="2">
        <v>42027</v>
      </c>
      <c r="C1179" s="1" t="s">
        <v>35</v>
      </c>
      <c r="D1179" s="1" t="s">
        <v>1884</v>
      </c>
      <c r="E1179" s="1" t="s">
        <v>19</v>
      </c>
      <c r="F1179" s="1" t="s">
        <v>20</v>
      </c>
      <c r="G1179" s="1" t="s">
        <v>1885</v>
      </c>
      <c r="H1179" s="1" t="s">
        <v>152</v>
      </c>
      <c r="I1179" s="1" t="s">
        <v>23</v>
      </c>
      <c r="J1179" s="1" t="s">
        <v>32</v>
      </c>
      <c r="K1179" s="1" t="s">
        <v>476</v>
      </c>
      <c r="L1179" s="1" t="s">
        <v>1886</v>
      </c>
      <c r="M1179">
        <v>8</v>
      </c>
      <c r="N1179">
        <v>0.2</v>
      </c>
      <c r="O1179">
        <v>10.007999999999999</v>
      </c>
      <c r="P1179">
        <v>88.96</v>
      </c>
      <c r="Q1179">
        <v>78.951999999999998</v>
      </c>
    </row>
    <row r="1180" spans="1:17" x14ac:dyDescent="0.25">
      <c r="A1180" s="2">
        <v>42969</v>
      </c>
      <c r="B1180" s="2">
        <v>42971</v>
      </c>
      <c r="C1180" s="1" t="s">
        <v>107</v>
      </c>
      <c r="D1180" s="1" t="s">
        <v>1556</v>
      </c>
      <c r="E1180" s="1" t="s">
        <v>55</v>
      </c>
      <c r="F1180" s="1" t="s">
        <v>20</v>
      </c>
      <c r="G1180" s="1" t="s">
        <v>79</v>
      </c>
      <c r="H1180" s="1" t="s">
        <v>80</v>
      </c>
      <c r="I1180" s="1" t="s">
        <v>81</v>
      </c>
      <c r="J1180" s="1" t="s">
        <v>24</v>
      </c>
      <c r="K1180" s="1" t="s">
        <v>39</v>
      </c>
      <c r="L1180" s="1" t="s">
        <v>886</v>
      </c>
      <c r="M1180">
        <v>2</v>
      </c>
      <c r="N1180">
        <v>0.4</v>
      </c>
      <c r="O1180">
        <v>-83.875200000000007</v>
      </c>
      <c r="P1180">
        <v>314.53199999999998</v>
      </c>
      <c r="Q1180">
        <v>398.40719999999999</v>
      </c>
    </row>
    <row r="1181" spans="1:17" x14ac:dyDescent="0.25">
      <c r="A1181" s="2">
        <v>42443</v>
      </c>
      <c r="B1181" s="2">
        <v>42449</v>
      </c>
      <c r="C1181" s="1" t="s">
        <v>35</v>
      </c>
      <c r="D1181" s="1" t="s">
        <v>248</v>
      </c>
      <c r="E1181" s="1" t="s">
        <v>28</v>
      </c>
      <c r="F1181" s="1" t="s">
        <v>20</v>
      </c>
      <c r="G1181" s="1" t="s">
        <v>1887</v>
      </c>
      <c r="H1181" s="1" t="s">
        <v>30</v>
      </c>
      <c r="I1181" s="1" t="s">
        <v>31</v>
      </c>
      <c r="J1181" s="1" t="s">
        <v>32</v>
      </c>
      <c r="K1181" s="1" t="s">
        <v>52</v>
      </c>
      <c r="L1181" s="1" t="s">
        <v>1888</v>
      </c>
      <c r="M1181">
        <v>6</v>
      </c>
      <c r="N1181">
        <v>0.2</v>
      </c>
      <c r="O1181">
        <v>14.1426</v>
      </c>
      <c r="P1181">
        <v>41.904000000000003</v>
      </c>
      <c r="Q1181">
        <v>27.761400000000002</v>
      </c>
    </row>
    <row r="1182" spans="1:17" x14ac:dyDescent="0.25">
      <c r="A1182" s="2">
        <v>42598</v>
      </c>
      <c r="B1182" s="2">
        <v>42601</v>
      </c>
      <c r="C1182" s="1" t="s">
        <v>107</v>
      </c>
      <c r="D1182" s="1" t="s">
        <v>1889</v>
      </c>
      <c r="E1182" s="1" t="s">
        <v>28</v>
      </c>
      <c r="F1182" s="1" t="s">
        <v>20</v>
      </c>
      <c r="G1182" s="1" t="s">
        <v>29</v>
      </c>
      <c r="H1182" s="1" t="s">
        <v>30</v>
      </c>
      <c r="I1182" s="1" t="s">
        <v>31</v>
      </c>
      <c r="J1182" s="1" t="s">
        <v>24</v>
      </c>
      <c r="K1182" s="1" t="s">
        <v>39</v>
      </c>
      <c r="L1182" s="1" t="s">
        <v>1890</v>
      </c>
      <c r="M1182">
        <v>2</v>
      </c>
      <c r="N1182">
        <v>0.2</v>
      </c>
      <c r="O1182">
        <v>12.096</v>
      </c>
      <c r="P1182">
        <v>161.28</v>
      </c>
      <c r="Q1182">
        <v>149.184</v>
      </c>
    </row>
    <row r="1183" spans="1:17" x14ac:dyDescent="0.25">
      <c r="A1183" s="2">
        <v>42295</v>
      </c>
      <c r="B1183" s="2">
        <v>42299</v>
      </c>
      <c r="C1183" s="1" t="s">
        <v>35</v>
      </c>
      <c r="D1183" s="1" t="s">
        <v>1477</v>
      </c>
      <c r="E1183" s="1" t="s">
        <v>55</v>
      </c>
      <c r="F1183" s="1" t="s">
        <v>20</v>
      </c>
      <c r="G1183" s="1" t="s">
        <v>1891</v>
      </c>
      <c r="H1183" s="1" t="s">
        <v>57</v>
      </c>
      <c r="I1183" s="1" t="s">
        <v>58</v>
      </c>
      <c r="J1183" s="1" t="s">
        <v>99</v>
      </c>
      <c r="K1183" s="1" t="s">
        <v>111</v>
      </c>
      <c r="L1183" s="1" t="s">
        <v>1892</v>
      </c>
      <c r="M1183">
        <v>3</v>
      </c>
      <c r="N1183">
        <v>0.2</v>
      </c>
      <c r="O1183">
        <v>3.4620000000000002</v>
      </c>
      <c r="P1183">
        <v>27.696000000000002</v>
      </c>
      <c r="Q1183">
        <v>24.234000000000002</v>
      </c>
    </row>
    <row r="1184" spans="1:17" x14ac:dyDescent="0.25">
      <c r="A1184" s="2">
        <v>42468</v>
      </c>
      <c r="B1184" s="2">
        <v>42471</v>
      </c>
      <c r="C1184" s="1" t="s">
        <v>107</v>
      </c>
      <c r="D1184" s="1" t="s">
        <v>1252</v>
      </c>
      <c r="E1184" s="1" t="s">
        <v>19</v>
      </c>
      <c r="F1184" s="1" t="s">
        <v>20</v>
      </c>
      <c r="G1184" s="1" t="s">
        <v>213</v>
      </c>
      <c r="H1184" s="1" t="s">
        <v>429</v>
      </c>
      <c r="I1184" s="1" t="s">
        <v>23</v>
      </c>
      <c r="J1184" s="1" t="s">
        <v>24</v>
      </c>
      <c r="K1184" s="1" t="s">
        <v>25</v>
      </c>
      <c r="L1184" s="1" t="s">
        <v>1893</v>
      </c>
      <c r="M1184">
        <v>5</v>
      </c>
      <c r="N1184">
        <v>0</v>
      </c>
      <c r="O1184">
        <v>88.724999999999994</v>
      </c>
      <c r="P1184">
        <v>354.9</v>
      </c>
      <c r="Q1184">
        <v>266.17499999999995</v>
      </c>
    </row>
    <row r="1185" spans="1:17" x14ac:dyDescent="0.25">
      <c r="A1185" s="2">
        <v>42829</v>
      </c>
      <c r="B1185" s="2">
        <v>42833</v>
      </c>
      <c r="C1185" s="1" t="s">
        <v>35</v>
      </c>
      <c r="D1185" s="1" t="s">
        <v>1732</v>
      </c>
      <c r="E1185" s="1" t="s">
        <v>19</v>
      </c>
      <c r="F1185" s="1" t="s">
        <v>20</v>
      </c>
      <c r="G1185" s="1" t="s">
        <v>1894</v>
      </c>
      <c r="H1185" s="1" t="s">
        <v>98</v>
      </c>
      <c r="I1185" s="1" t="s">
        <v>58</v>
      </c>
      <c r="J1185" s="1" t="s">
        <v>99</v>
      </c>
      <c r="K1185" s="1" t="s">
        <v>100</v>
      </c>
      <c r="L1185" s="1" t="s">
        <v>1322</v>
      </c>
      <c r="M1185">
        <v>4</v>
      </c>
      <c r="N1185">
        <v>0.2</v>
      </c>
      <c r="O1185">
        <v>47.98</v>
      </c>
      <c r="P1185">
        <v>383.84</v>
      </c>
      <c r="Q1185">
        <v>335.85999999999996</v>
      </c>
    </row>
    <row r="1186" spans="1:17" x14ac:dyDescent="0.25">
      <c r="A1186" s="2">
        <v>42391</v>
      </c>
      <c r="B1186" s="2">
        <v>42398</v>
      </c>
      <c r="C1186" s="1" t="s">
        <v>35</v>
      </c>
      <c r="D1186" s="1" t="s">
        <v>1604</v>
      </c>
      <c r="E1186" s="1" t="s">
        <v>19</v>
      </c>
      <c r="F1186" s="1" t="s">
        <v>20</v>
      </c>
      <c r="G1186" s="1" t="s">
        <v>126</v>
      </c>
      <c r="H1186" s="1" t="s">
        <v>127</v>
      </c>
      <c r="I1186" s="1" t="s">
        <v>81</v>
      </c>
      <c r="J1186" s="1" t="s">
        <v>32</v>
      </c>
      <c r="K1186" s="1" t="s">
        <v>52</v>
      </c>
      <c r="L1186" s="1" t="s">
        <v>1387</v>
      </c>
      <c r="M1186">
        <v>4</v>
      </c>
      <c r="N1186">
        <v>0.2</v>
      </c>
      <c r="O1186">
        <v>9.2175999999999991</v>
      </c>
      <c r="P1186">
        <v>26.335999999999999</v>
      </c>
      <c r="Q1186">
        <v>17.118400000000001</v>
      </c>
    </row>
    <row r="1187" spans="1:17" x14ac:dyDescent="0.25">
      <c r="A1187" s="2">
        <v>42136</v>
      </c>
      <c r="B1187" s="2">
        <v>42142</v>
      </c>
      <c r="C1187" s="1" t="s">
        <v>35</v>
      </c>
      <c r="D1187" s="1" t="s">
        <v>555</v>
      </c>
      <c r="E1187" s="1" t="s">
        <v>19</v>
      </c>
      <c r="F1187" s="1" t="s">
        <v>20</v>
      </c>
      <c r="G1187" s="1" t="s">
        <v>50</v>
      </c>
      <c r="H1187" s="1" t="s">
        <v>51</v>
      </c>
      <c r="I1187" s="1" t="s">
        <v>31</v>
      </c>
      <c r="J1187" s="1" t="s">
        <v>32</v>
      </c>
      <c r="K1187" s="1" t="s">
        <v>52</v>
      </c>
      <c r="L1187" s="1" t="s">
        <v>1602</v>
      </c>
      <c r="M1187">
        <v>3</v>
      </c>
      <c r="N1187">
        <v>0.2</v>
      </c>
      <c r="O1187">
        <v>4.9248000000000003</v>
      </c>
      <c r="P1187">
        <v>14.592000000000001</v>
      </c>
      <c r="Q1187">
        <v>9.6672000000000011</v>
      </c>
    </row>
    <row r="1188" spans="1:17" x14ac:dyDescent="0.25">
      <c r="A1188" s="2">
        <v>42939</v>
      </c>
      <c r="B1188" s="2">
        <v>42943</v>
      </c>
      <c r="C1188" s="1" t="s">
        <v>35</v>
      </c>
      <c r="D1188" s="1" t="s">
        <v>1877</v>
      </c>
      <c r="E1188" s="1" t="s">
        <v>28</v>
      </c>
      <c r="F1188" s="1" t="s">
        <v>20</v>
      </c>
      <c r="G1188" s="1" t="s">
        <v>400</v>
      </c>
      <c r="H1188" s="1" t="s">
        <v>127</v>
      </c>
      <c r="I1188" s="1" t="s">
        <v>81</v>
      </c>
      <c r="J1188" s="1" t="s">
        <v>32</v>
      </c>
      <c r="K1188" s="1" t="s">
        <v>33</v>
      </c>
      <c r="L1188" s="1" t="s">
        <v>432</v>
      </c>
      <c r="M1188">
        <v>4</v>
      </c>
      <c r="N1188">
        <v>0</v>
      </c>
      <c r="O1188">
        <v>19.872</v>
      </c>
      <c r="P1188">
        <v>41.4</v>
      </c>
      <c r="Q1188">
        <v>21.527999999999999</v>
      </c>
    </row>
    <row r="1189" spans="1:17" x14ac:dyDescent="0.25">
      <c r="A1189" s="2">
        <v>42860</v>
      </c>
      <c r="B1189" s="2">
        <v>42865</v>
      </c>
      <c r="C1189" s="1" t="s">
        <v>35</v>
      </c>
      <c r="D1189" s="1" t="s">
        <v>1838</v>
      </c>
      <c r="E1189" s="1" t="s">
        <v>28</v>
      </c>
      <c r="F1189" s="1" t="s">
        <v>20</v>
      </c>
      <c r="G1189" s="1" t="s">
        <v>213</v>
      </c>
      <c r="H1189" s="1" t="s">
        <v>429</v>
      </c>
      <c r="I1189" s="1" t="s">
        <v>23</v>
      </c>
      <c r="J1189" s="1" t="s">
        <v>32</v>
      </c>
      <c r="K1189" s="1" t="s">
        <v>52</v>
      </c>
      <c r="L1189" s="1" t="s">
        <v>1895</v>
      </c>
      <c r="M1189">
        <v>3</v>
      </c>
      <c r="N1189">
        <v>0</v>
      </c>
      <c r="O1189">
        <v>15.525</v>
      </c>
      <c r="P1189">
        <v>34.5</v>
      </c>
      <c r="Q1189">
        <v>18.975000000000001</v>
      </c>
    </row>
    <row r="1190" spans="1:17" x14ac:dyDescent="0.25">
      <c r="A1190" s="2">
        <v>42867</v>
      </c>
      <c r="B1190" s="2">
        <v>42871</v>
      </c>
      <c r="C1190" s="1" t="s">
        <v>35</v>
      </c>
      <c r="D1190" s="1" t="s">
        <v>324</v>
      </c>
      <c r="E1190" s="1" t="s">
        <v>19</v>
      </c>
      <c r="F1190" s="1" t="s">
        <v>20</v>
      </c>
      <c r="G1190" s="1" t="s">
        <v>364</v>
      </c>
      <c r="H1190" s="1" t="s">
        <v>214</v>
      </c>
      <c r="I1190" s="1" t="s">
        <v>81</v>
      </c>
      <c r="J1190" s="1" t="s">
        <v>32</v>
      </c>
      <c r="K1190" s="1" t="s">
        <v>33</v>
      </c>
      <c r="L1190" s="1" t="s">
        <v>1274</v>
      </c>
      <c r="M1190">
        <v>2</v>
      </c>
      <c r="N1190">
        <v>0.2</v>
      </c>
      <c r="O1190">
        <v>1.9925999999999999</v>
      </c>
      <c r="P1190">
        <v>5.9039999999999999</v>
      </c>
      <c r="Q1190">
        <v>3.9114</v>
      </c>
    </row>
    <row r="1191" spans="1:17" x14ac:dyDescent="0.25">
      <c r="A1191" s="2">
        <v>42116</v>
      </c>
      <c r="B1191" s="2">
        <v>42120</v>
      </c>
      <c r="C1191" s="1" t="s">
        <v>35</v>
      </c>
      <c r="D1191" s="1" t="s">
        <v>1463</v>
      </c>
      <c r="E1191" s="1" t="s">
        <v>19</v>
      </c>
      <c r="F1191" s="1" t="s">
        <v>20</v>
      </c>
      <c r="G1191" s="1" t="s">
        <v>29</v>
      </c>
      <c r="H1191" s="1" t="s">
        <v>30</v>
      </c>
      <c r="I1191" s="1" t="s">
        <v>31</v>
      </c>
      <c r="J1191" s="1" t="s">
        <v>99</v>
      </c>
      <c r="K1191" s="1" t="s">
        <v>100</v>
      </c>
      <c r="L1191" s="1" t="s">
        <v>895</v>
      </c>
      <c r="M1191">
        <v>3</v>
      </c>
      <c r="N1191">
        <v>0.2</v>
      </c>
      <c r="O1191">
        <v>7.7679</v>
      </c>
      <c r="P1191">
        <v>88.775999999999996</v>
      </c>
      <c r="Q1191">
        <v>81.008099999999999</v>
      </c>
    </row>
    <row r="1192" spans="1:17" x14ac:dyDescent="0.25">
      <c r="A1192" s="2">
        <v>41933</v>
      </c>
      <c r="B1192" s="2">
        <v>41938</v>
      </c>
      <c r="C1192" s="1" t="s">
        <v>35</v>
      </c>
      <c r="D1192" s="1" t="s">
        <v>660</v>
      </c>
      <c r="E1192" s="1" t="s">
        <v>28</v>
      </c>
      <c r="F1192" s="1" t="s">
        <v>20</v>
      </c>
      <c r="G1192" s="1" t="s">
        <v>345</v>
      </c>
      <c r="H1192" s="1" t="s">
        <v>30</v>
      </c>
      <c r="I1192" s="1" t="s">
        <v>31</v>
      </c>
      <c r="J1192" s="1" t="s">
        <v>32</v>
      </c>
      <c r="K1192" s="1" t="s">
        <v>52</v>
      </c>
      <c r="L1192" s="1" t="s">
        <v>1896</v>
      </c>
      <c r="M1192">
        <v>3</v>
      </c>
      <c r="N1192">
        <v>0.2</v>
      </c>
      <c r="O1192">
        <v>12.2715</v>
      </c>
      <c r="P1192">
        <v>36.36</v>
      </c>
      <c r="Q1192">
        <v>24.0885</v>
      </c>
    </row>
    <row r="1193" spans="1:17" x14ac:dyDescent="0.25">
      <c r="A1193" s="2">
        <v>43028</v>
      </c>
      <c r="B1193" s="2">
        <v>43028</v>
      </c>
      <c r="C1193" s="1" t="s">
        <v>434</v>
      </c>
      <c r="D1193" s="1" t="s">
        <v>192</v>
      </c>
      <c r="E1193" s="1" t="s">
        <v>55</v>
      </c>
      <c r="F1193" s="1" t="s">
        <v>20</v>
      </c>
      <c r="G1193" s="1" t="s">
        <v>126</v>
      </c>
      <c r="H1193" s="1" t="s">
        <v>127</v>
      </c>
      <c r="I1193" s="1" t="s">
        <v>81</v>
      </c>
      <c r="J1193" s="1" t="s">
        <v>32</v>
      </c>
      <c r="K1193" s="1" t="s">
        <v>33</v>
      </c>
      <c r="L1193" s="1" t="s">
        <v>1897</v>
      </c>
      <c r="M1193">
        <v>5</v>
      </c>
      <c r="N1193">
        <v>0</v>
      </c>
      <c r="O1193">
        <v>12.029500000000001</v>
      </c>
      <c r="P1193">
        <v>24.55</v>
      </c>
      <c r="Q1193">
        <v>12.5205</v>
      </c>
    </row>
    <row r="1194" spans="1:17" x14ac:dyDescent="0.25">
      <c r="A1194" s="2">
        <v>42125</v>
      </c>
      <c r="B1194" s="2">
        <v>42130</v>
      </c>
      <c r="C1194" s="1" t="s">
        <v>35</v>
      </c>
      <c r="D1194" s="1" t="s">
        <v>408</v>
      </c>
      <c r="E1194" s="1" t="s">
        <v>19</v>
      </c>
      <c r="F1194" s="1" t="s">
        <v>20</v>
      </c>
      <c r="G1194" s="1" t="s">
        <v>71</v>
      </c>
      <c r="H1194" s="1" t="s">
        <v>30</v>
      </c>
      <c r="I1194" s="1" t="s">
        <v>31</v>
      </c>
      <c r="J1194" s="1" t="s">
        <v>32</v>
      </c>
      <c r="K1194" s="1" t="s">
        <v>52</v>
      </c>
      <c r="L1194" s="1" t="s">
        <v>1392</v>
      </c>
      <c r="M1194">
        <v>1</v>
      </c>
      <c r="N1194">
        <v>0.2</v>
      </c>
      <c r="O1194">
        <v>4.4138000000000002</v>
      </c>
      <c r="P1194">
        <v>12.176</v>
      </c>
      <c r="Q1194">
        <v>7.7622</v>
      </c>
    </row>
    <row r="1195" spans="1:17" x14ac:dyDescent="0.25">
      <c r="A1195" s="2">
        <v>42758</v>
      </c>
      <c r="B1195" s="2">
        <v>42763</v>
      </c>
      <c r="C1195" s="1" t="s">
        <v>35</v>
      </c>
      <c r="D1195" s="1" t="s">
        <v>767</v>
      </c>
      <c r="E1195" s="1" t="s">
        <v>28</v>
      </c>
      <c r="F1195" s="1" t="s">
        <v>20</v>
      </c>
      <c r="G1195" s="1" t="s">
        <v>50</v>
      </c>
      <c r="H1195" s="1" t="s">
        <v>51</v>
      </c>
      <c r="I1195" s="1" t="s">
        <v>31</v>
      </c>
      <c r="J1195" s="1" t="s">
        <v>32</v>
      </c>
      <c r="K1195" s="1" t="s">
        <v>52</v>
      </c>
      <c r="L1195" s="1" t="s">
        <v>1313</v>
      </c>
      <c r="M1195">
        <v>5</v>
      </c>
      <c r="N1195">
        <v>0.2</v>
      </c>
      <c r="O1195">
        <v>6.8879999999999999</v>
      </c>
      <c r="P1195">
        <v>19.68</v>
      </c>
      <c r="Q1195">
        <v>12.792</v>
      </c>
    </row>
    <row r="1196" spans="1:17" x14ac:dyDescent="0.25">
      <c r="A1196" s="2">
        <v>42646</v>
      </c>
      <c r="B1196" s="2">
        <v>42650</v>
      </c>
      <c r="C1196" s="1" t="s">
        <v>35</v>
      </c>
      <c r="D1196" s="1" t="s">
        <v>1728</v>
      </c>
      <c r="E1196" s="1" t="s">
        <v>28</v>
      </c>
      <c r="F1196" s="1" t="s">
        <v>20</v>
      </c>
      <c r="G1196" s="1" t="s">
        <v>1375</v>
      </c>
      <c r="H1196" s="1" t="s">
        <v>57</v>
      </c>
      <c r="I1196" s="1" t="s">
        <v>58</v>
      </c>
      <c r="J1196" s="1" t="s">
        <v>24</v>
      </c>
      <c r="K1196" s="1" t="s">
        <v>42</v>
      </c>
      <c r="L1196" s="1" t="s">
        <v>1898</v>
      </c>
      <c r="M1196">
        <v>5</v>
      </c>
      <c r="N1196">
        <v>0.6</v>
      </c>
      <c r="O1196">
        <v>-29.512</v>
      </c>
      <c r="P1196">
        <v>38.08</v>
      </c>
      <c r="Q1196">
        <v>67.591999999999999</v>
      </c>
    </row>
    <row r="1197" spans="1:17" x14ac:dyDescent="0.25">
      <c r="A1197" s="2">
        <v>42650</v>
      </c>
      <c r="B1197" s="2">
        <v>42653</v>
      </c>
      <c r="C1197" s="1" t="s">
        <v>107</v>
      </c>
      <c r="D1197" s="1" t="s">
        <v>1394</v>
      </c>
      <c r="E1197" s="1" t="s">
        <v>55</v>
      </c>
      <c r="F1197" s="1" t="s">
        <v>20</v>
      </c>
      <c r="G1197" s="1" t="s">
        <v>79</v>
      </c>
      <c r="H1197" s="1" t="s">
        <v>80</v>
      </c>
      <c r="I1197" s="1" t="s">
        <v>81</v>
      </c>
      <c r="J1197" s="1" t="s">
        <v>32</v>
      </c>
      <c r="K1197" s="1" t="s">
        <v>33</v>
      </c>
      <c r="L1197" s="1" t="s">
        <v>1899</v>
      </c>
      <c r="M1197">
        <v>2</v>
      </c>
      <c r="N1197">
        <v>0.2</v>
      </c>
      <c r="O1197">
        <v>1.7248000000000001</v>
      </c>
      <c r="P1197">
        <v>4.9279999999999999</v>
      </c>
      <c r="Q1197">
        <v>3.2031999999999998</v>
      </c>
    </row>
    <row r="1198" spans="1:17" x14ac:dyDescent="0.25">
      <c r="A1198" s="2">
        <v>41669</v>
      </c>
      <c r="B1198" s="2">
        <v>41674</v>
      </c>
      <c r="C1198" s="1" t="s">
        <v>35</v>
      </c>
      <c r="D1198" s="1" t="s">
        <v>460</v>
      </c>
      <c r="E1198" s="1" t="s">
        <v>19</v>
      </c>
      <c r="F1198" s="1" t="s">
        <v>20</v>
      </c>
      <c r="G1198" s="1" t="s">
        <v>330</v>
      </c>
      <c r="H1198" s="1" t="s">
        <v>115</v>
      </c>
      <c r="I1198" s="1" t="s">
        <v>58</v>
      </c>
      <c r="J1198" s="1" t="s">
        <v>32</v>
      </c>
      <c r="K1198" s="1" t="s">
        <v>47</v>
      </c>
      <c r="L1198" s="1" t="s">
        <v>654</v>
      </c>
      <c r="M1198">
        <v>2</v>
      </c>
      <c r="N1198">
        <v>0</v>
      </c>
      <c r="O1198">
        <v>4.7519999999999998</v>
      </c>
      <c r="P1198">
        <v>10.56</v>
      </c>
      <c r="Q1198">
        <v>5.8080000000000007</v>
      </c>
    </row>
    <row r="1199" spans="1:17" x14ac:dyDescent="0.25">
      <c r="A1199" s="2">
        <v>42338</v>
      </c>
      <c r="B1199" s="2">
        <v>42343</v>
      </c>
      <c r="C1199" s="1" t="s">
        <v>35</v>
      </c>
      <c r="D1199" s="1" t="s">
        <v>1252</v>
      </c>
      <c r="E1199" s="1" t="s">
        <v>19</v>
      </c>
      <c r="F1199" s="1" t="s">
        <v>20</v>
      </c>
      <c r="G1199" s="1" t="s">
        <v>1280</v>
      </c>
      <c r="H1199" s="1" t="s">
        <v>46</v>
      </c>
      <c r="I1199" s="1" t="s">
        <v>23</v>
      </c>
      <c r="J1199" s="1" t="s">
        <v>99</v>
      </c>
      <c r="K1199" s="1" t="s">
        <v>100</v>
      </c>
      <c r="L1199" s="1" t="s">
        <v>1900</v>
      </c>
      <c r="M1199">
        <v>3</v>
      </c>
      <c r="N1199">
        <v>0.2</v>
      </c>
      <c r="O1199">
        <v>19.9665</v>
      </c>
      <c r="P1199">
        <v>177.48</v>
      </c>
      <c r="Q1199">
        <v>157.51349999999999</v>
      </c>
    </row>
    <row r="1200" spans="1:17" x14ac:dyDescent="0.25">
      <c r="A1200" s="2">
        <v>42978</v>
      </c>
      <c r="B1200" s="2">
        <v>42980</v>
      </c>
      <c r="C1200" s="1" t="s">
        <v>17</v>
      </c>
      <c r="D1200" s="1" t="s">
        <v>802</v>
      </c>
      <c r="E1200" s="1" t="s">
        <v>28</v>
      </c>
      <c r="F1200" s="1" t="s">
        <v>20</v>
      </c>
      <c r="G1200" s="1" t="s">
        <v>1305</v>
      </c>
      <c r="H1200" s="1" t="s">
        <v>51</v>
      </c>
      <c r="I1200" s="1" t="s">
        <v>31</v>
      </c>
      <c r="J1200" s="1" t="s">
        <v>24</v>
      </c>
      <c r="K1200" s="1" t="s">
        <v>82</v>
      </c>
      <c r="L1200" s="1" t="s">
        <v>1901</v>
      </c>
      <c r="M1200">
        <v>2</v>
      </c>
      <c r="N1200">
        <v>0.2</v>
      </c>
      <c r="O1200">
        <v>7.1196000000000002</v>
      </c>
      <c r="P1200">
        <v>569.56799999999998</v>
      </c>
      <c r="Q1200">
        <v>562.44839999999999</v>
      </c>
    </row>
    <row r="1201" spans="1:17" x14ac:dyDescent="0.25">
      <c r="A1201" s="2">
        <v>41846</v>
      </c>
      <c r="B1201" s="2">
        <v>41852</v>
      </c>
      <c r="C1201" s="1" t="s">
        <v>35</v>
      </c>
      <c r="D1201" s="1" t="s">
        <v>1634</v>
      </c>
      <c r="E1201" s="1" t="s">
        <v>28</v>
      </c>
      <c r="F1201" s="1" t="s">
        <v>20</v>
      </c>
      <c r="G1201" s="1" t="s">
        <v>1902</v>
      </c>
      <c r="H1201" s="1" t="s">
        <v>68</v>
      </c>
      <c r="I1201" s="1" t="s">
        <v>31</v>
      </c>
      <c r="J1201" s="1" t="s">
        <v>99</v>
      </c>
      <c r="K1201" s="1" t="s">
        <v>111</v>
      </c>
      <c r="L1201" s="1" t="s">
        <v>1903</v>
      </c>
      <c r="M1201">
        <v>7</v>
      </c>
      <c r="N1201">
        <v>0</v>
      </c>
      <c r="O1201">
        <v>34.698300000000003</v>
      </c>
      <c r="P1201">
        <v>111.93</v>
      </c>
      <c r="Q1201">
        <v>77.231700000000004</v>
      </c>
    </row>
    <row r="1202" spans="1:17" x14ac:dyDescent="0.25">
      <c r="A1202" s="2">
        <v>42798</v>
      </c>
      <c r="B1202" s="2">
        <v>42800</v>
      </c>
      <c r="C1202" s="1" t="s">
        <v>17</v>
      </c>
      <c r="D1202" s="1" t="s">
        <v>1904</v>
      </c>
      <c r="E1202" s="1" t="s">
        <v>55</v>
      </c>
      <c r="F1202" s="1" t="s">
        <v>20</v>
      </c>
      <c r="G1202" s="1" t="s">
        <v>91</v>
      </c>
      <c r="H1202" s="1" t="s">
        <v>57</v>
      </c>
      <c r="I1202" s="1" t="s">
        <v>58</v>
      </c>
      <c r="J1202" s="1" t="s">
        <v>24</v>
      </c>
      <c r="K1202" s="1" t="s">
        <v>42</v>
      </c>
      <c r="L1202" s="1" t="s">
        <v>232</v>
      </c>
      <c r="M1202">
        <v>5</v>
      </c>
      <c r="N1202">
        <v>0.6</v>
      </c>
      <c r="O1202">
        <v>-77.625</v>
      </c>
      <c r="P1202">
        <v>103.5</v>
      </c>
      <c r="Q1202">
        <v>181.125</v>
      </c>
    </row>
    <row r="1203" spans="1:17" x14ac:dyDescent="0.25">
      <c r="A1203" s="2">
        <v>42889</v>
      </c>
      <c r="B1203" s="2">
        <v>42895</v>
      </c>
      <c r="C1203" s="1" t="s">
        <v>35</v>
      </c>
      <c r="D1203" s="1" t="s">
        <v>1905</v>
      </c>
      <c r="E1203" s="1" t="s">
        <v>28</v>
      </c>
      <c r="F1203" s="1" t="s">
        <v>20</v>
      </c>
      <c r="G1203" s="1" t="s">
        <v>126</v>
      </c>
      <c r="H1203" s="1" t="s">
        <v>127</v>
      </c>
      <c r="I1203" s="1" t="s">
        <v>81</v>
      </c>
      <c r="J1203" s="1" t="s">
        <v>24</v>
      </c>
      <c r="K1203" s="1" t="s">
        <v>39</v>
      </c>
      <c r="L1203" s="1" t="s">
        <v>1694</v>
      </c>
      <c r="M1203">
        <v>2</v>
      </c>
      <c r="N1203">
        <v>0.4</v>
      </c>
      <c r="O1203">
        <v>-115.43040000000001</v>
      </c>
      <c r="P1203">
        <v>384.76799999999997</v>
      </c>
      <c r="Q1203">
        <v>500.19839999999999</v>
      </c>
    </row>
    <row r="1204" spans="1:17" x14ac:dyDescent="0.25">
      <c r="A1204" s="2">
        <v>42652</v>
      </c>
      <c r="B1204" s="2">
        <v>42654</v>
      </c>
      <c r="C1204" s="1" t="s">
        <v>17</v>
      </c>
      <c r="D1204" s="1" t="s">
        <v>695</v>
      </c>
      <c r="E1204" s="1" t="s">
        <v>28</v>
      </c>
      <c r="F1204" s="1" t="s">
        <v>20</v>
      </c>
      <c r="G1204" s="1" t="s">
        <v>79</v>
      </c>
      <c r="H1204" s="1" t="s">
        <v>80</v>
      </c>
      <c r="I1204" s="1" t="s">
        <v>81</v>
      </c>
      <c r="J1204" s="1" t="s">
        <v>32</v>
      </c>
      <c r="K1204" s="1" t="s">
        <v>47</v>
      </c>
      <c r="L1204" s="1" t="s">
        <v>1906</v>
      </c>
      <c r="M1204">
        <v>4</v>
      </c>
      <c r="N1204">
        <v>0.2</v>
      </c>
      <c r="O1204">
        <v>5.98</v>
      </c>
      <c r="P1204">
        <v>19.135999999999999</v>
      </c>
      <c r="Q1204">
        <v>13.155999999999999</v>
      </c>
    </row>
    <row r="1205" spans="1:17" x14ac:dyDescent="0.25">
      <c r="A1205" s="2">
        <v>41693</v>
      </c>
      <c r="B1205" s="2">
        <v>41697</v>
      </c>
      <c r="C1205" s="1" t="s">
        <v>35</v>
      </c>
      <c r="D1205" s="1" t="s">
        <v>1907</v>
      </c>
      <c r="E1205" s="1" t="s">
        <v>55</v>
      </c>
      <c r="F1205" s="1" t="s">
        <v>20</v>
      </c>
      <c r="G1205" s="1" t="s">
        <v>1201</v>
      </c>
      <c r="H1205" s="1" t="s">
        <v>57</v>
      </c>
      <c r="I1205" s="1" t="s">
        <v>58</v>
      </c>
      <c r="J1205" s="1" t="s">
        <v>32</v>
      </c>
      <c r="K1205" s="1" t="s">
        <v>33</v>
      </c>
      <c r="L1205" s="1" t="s">
        <v>1756</v>
      </c>
      <c r="M1205">
        <v>3</v>
      </c>
      <c r="N1205">
        <v>0.2</v>
      </c>
      <c r="O1205">
        <v>2.3409</v>
      </c>
      <c r="P1205">
        <v>6.9359999999999999</v>
      </c>
      <c r="Q1205">
        <v>4.5951000000000004</v>
      </c>
    </row>
    <row r="1206" spans="1:17" x14ac:dyDescent="0.25">
      <c r="A1206" s="2">
        <v>41932</v>
      </c>
      <c r="B1206" s="2">
        <v>41935</v>
      </c>
      <c r="C1206" s="1" t="s">
        <v>107</v>
      </c>
      <c r="D1206" s="1" t="s">
        <v>300</v>
      </c>
      <c r="E1206" s="1" t="s">
        <v>28</v>
      </c>
      <c r="F1206" s="1" t="s">
        <v>20</v>
      </c>
      <c r="G1206" s="1" t="s">
        <v>1696</v>
      </c>
      <c r="H1206" s="1" t="s">
        <v>152</v>
      </c>
      <c r="I1206" s="1" t="s">
        <v>23</v>
      </c>
      <c r="J1206" s="1" t="s">
        <v>24</v>
      </c>
      <c r="K1206" s="1" t="s">
        <v>39</v>
      </c>
      <c r="L1206" s="1" t="s">
        <v>1908</v>
      </c>
      <c r="M1206">
        <v>3</v>
      </c>
      <c r="N1206">
        <v>0.4</v>
      </c>
      <c r="O1206">
        <v>-147.8655</v>
      </c>
      <c r="P1206">
        <v>328.59</v>
      </c>
      <c r="Q1206">
        <v>476.45549999999997</v>
      </c>
    </row>
    <row r="1207" spans="1:17" x14ac:dyDescent="0.25">
      <c r="A1207" s="2">
        <v>42215</v>
      </c>
      <c r="B1207" s="2">
        <v>42217</v>
      </c>
      <c r="C1207" s="1" t="s">
        <v>107</v>
      </c>
      <c r="D1207" s="1" t="s">
        <v>1909</v>
      </c>
      <c r="E1207" s="1" t="s">
        <v>55</v>
      </c>
      <c r="F1207" s="1" t="s">
        <v>20</v>
      </c>
      <c r="G1207" s="1" t="s">
        <v>341</v>
      </c>
      <c r="H1207" s="1" t="s">
        <v>110</v>
      </c>
      <c r="I1207" s="1" t="s">
        <v>58</v>
      </c>
      <c r="J1207" s="1" t="s">
        <v>24</v>
      </c>
      <c r="K1207" s="1" t="s">
        <v>82</v>
      </c>
      <c r="L1207" s="1" t="s">
        <v>948</v>
      </c>
      <c r="M1207">
        <v>6</v>
      </c>
      <c r="N1207">
        <v>0</v>
      </c>
      <c r="O1207">
        <v>38.97</v>
      </c>
      <c r="P1207">
        <v>155.88</v>
      </c>
      <c r="Q1207">
        <v>116.91</v>
      </c>
    </row>
    <row r="1208" spans="1:17" x14ac:dyDescent="0.25">
      <c r="A1208" s="2">
        <v>42160</v>
      </c>
      <c r="B1208" s="2">
        <v>42165</v>
      </c>
      <c r="C1208" s="1" t="s">
        <v>35</v>
      </c>
      <c r="D1208" s="1" t="s">
        <v>1664</v>
      </c>
      <c r="E1208" s="1" t="s">
        <v>28</v>
      </c>
      <c r="F1208" s="1" t="s">
        <v>20</v>
      </c>
      <c r="G1208" s="1" t="s">
        <v>1704</v>
      </c>
      <c r="H1208" s="1" t="s">
        <v>127</v>
      </c>
      <c r="I1208" s="1" t="s">
        <v>81</v>
      </c>
      <c r="J1208" s="1" t="s">
        <v>24</v>
      </c>
      <c r="K1208" s="1" t="s">
        <v>82</v>
      </c>
      <c r="L1208" s="1" t="s">
        <v>1532</v>
      </c>
      <c r="M1208">
        <v>9</v>
      </c>
      <c r="N1208">
        <v>0.1</v>
      </c>
      <c r="O1208">
        <v>169.18199999999999</v>
      </c>
      <c r="P1208">
        <v>1522.6379999999999</v>
      </c>
      <c r="Q1208">
        <v>1353.4559999999999</v>
      </c>
    </row>
    <row r="1209" spans="1:17" x14ac:dyDescent="0.25">
      <c r="A1209" s="2">
        <v>41766</v>
      </c>
      <c r="B1209" s="2">
        <v>41771</v>
      </c>
      <c r="C1209" s="1" t="s">
        <v>35</v>
      </c>
      <c r="D1209" s="1" t="s">
        <v>1409</v>
      </c>
      <c r="E1209" s="1" t="s">
        <v>19</v>
      </c>
      <c r="F1209" s="1" t="s">
        <v>20</v>
      </c>
      <c r="G1209" s="1" t="s">
        <v>579</v>
      </c>
      <c r="H1209" s="1" t="s">
        <v>423</v>
      </c>
      <c r="I1209" s="1" t="s">
        <v>81</v>
      </c>
      <c r="J1209" s="1" t="s">
        <v>32</v>
      </c>
      <c r="K1209" s="1" t="s">
        <v>52</v>
      </c>
      <c r="L1209" s="1" t="s">
        <v>1910</v>
      </c>
      <c r="M1209">
        <v>3</v>
      </c>
      <c r="N1209">
        <v>0</v>
      </c>
      <c r="O1209">
        <v>7.9085999999999999</v>
      </c>
      <c r="P1209">
        <v>16.14</v>
      </c>
      <c r="Q1209">
        <v>8.2314000000000007</v>
      </c>
    </row>
    <row r="1210" spans="1:17" x14ac:dyDescent="0.25">
      <c r="A1210" s="2">
        <v>42589</v>
      </c>
      <c r="B1210" s="2">
        <v>42593</v>
      </c>
      <c r="C1210" s="1" t="s">
        <v>35</v>
      </c>
      <c r="D1210" s="1" t="s">
        <v>226</v>
      </c>
      <c r="E1210" s="1" t="s">
        <v>28</v>
      </c>
      <c r="F1210" s="1" t="s">
        <v>20</v>
      </c>
      <c r="G1210" s="1" t="s">
        <v>798</v>
      </c>
      <c r="H1210" s="1" t="s">
        <v>51</v>
      </c>
      <c r="I1210" s="1" t="s">
        <v>31</v>
      </c>
      <c r="J1210" s="1" t="s">
        <v>99</v>
      </c>
      <c r="K1210" s="1" t="s">
        <v>111</v>
      </c>
      <c r="L1210" s="1" t="s">
        <v>1911</v>
      </c>
      <c r="M1210">
        <v>3</v>
      </c>
      <c r="N1210">
        <v>0</v>
      </c>
      <c r="O1210">
        <v>86.385599999999997</v>
      </c>
      <c r="P1210">
        <v>179.97</v>
      </c>
      <c r="Q1210">
        <v>93.584400000000002</v>
      </c>
    </row>
    <row r="1211" spans="1:17" x14ac:dyDescent="0.25">
      <c r="A1211" s="2">
        <v>42128</v>
      </c>
      <c r="B1211" s="2">
        <v>42135</v>
      </c>
      <c r="C1211" s="1" t="s">
        <v>35</v>
      </c>
      <c r="D1211" s="1" t="s">
        <v>1912</v>
      </c>
      <c r="E1211" s="1" t="s">
        <v>28</v>
      </c>
      <c r="F1211" s="1" t="s">
        <v>20</v>
      </c>
      <c r="G1211" s="1" t="s">
        <v>1410</v>
      </c>
      <c r="H1211" s="1" t="s">
        <v>123</v>
      </c>
      <c r="I1211" s="1" t="s">
        <v>58</v>
      </c>
      <c r="J1211" s="1" t="s">
        <v>32</v>
      </c>
      <c r="K1211" s="1" t="s">
        <v>72</v>
      </c>
      <c r="L1211" s="1" t="s">
        <v>797</v>
      </c>
      <c r="M1211">
        <v>7</v>
      </c>
      <c r="N1211">
        <v>0</v>
      </c>
      <c r="O1211">
        <v>35.260399999999997</v>
      </c>
      <c r="P1211">
        <v>125.93</v>
      </c>
      <c r="Q1211">
        <v>90.669600000000003</v>
      </c>
    </row>
    <row r="1212" spans="1:17" x14ac:dyDescent="0.25">
      <c r="A1212" s="2">
        <v>42538</v>
      </c>
      <c r="B1212" s="2">
        <v>42540</v>
      </c>
      <c r="C1212" s="1" t="s">
        <v>107</v>
      </c>
      <c r="D1212" s="1" t="s">
        <v>460</v>
      </c>
      <c r="E1212" s="1" t="s">
        <v>19</v>
      </c>
      <c r="F1212" s="1" t="s">
        <v>20</v>
      </c>
      <c r="G1212" s="1" t="s">
        <v>29</v>
      </c>
      <c r="H1212" s="1" t="s">
        <v>30</v>
      </c>
      <c r="I1212" s="1" t="s">
        <v>31</v>
      </c>
      <c r="J1212" s="1" t="s">
        <v>24</v>
      </c>
      <c r="K1212" s="1" t="s">
        <v>25</v>
      </c>
      <c r="L1212" s="1" t="s">
        <v>1913</v>
      </c>
      <c r="M1212">
        <v>2</v>
      </c>
      <c r="N1212">
        <v>0.15</v>
      </c>
      <c r="O1212">
        <v>14.098000000000001</v>
      </c>
      <c r="P1212">
        <v>239.666</v>
      </c>
      <c r="Q1212">
        <v>225.56799999999998</v>
      </c>
    </row>
    <row r="1213" spans="1:17" x14ac:dyDescent="0.25">
      <c r="A1213" s="2">
        <v>41888</v>
      </c>
      <c r="B1213" s="2">
        <v>41891</v>
      </c>
      <c r="C1213" s="1" t="s">
        <v>107</v>
      </c>
      <c r="D1213" s="1" t="s">
        <v>1914</v>
      </c>
      <c r="E1213" s="1" t="s">
        <v>28</v>
      </c>
      <c r="F1213" s="1" t="s">
        <v>20</v>
      </c>
      <c r="G1213" s="1" t="s">
        <v>71</v>
      </c>
      <c r="H1213" s="1" t="s">
        <v>30</v>
      </c>
      <c r="I1213" s="1" t="s">
        <v>31</v>
      </c>
      <c r="J1213" s="1" t="s">
        <v>24</v>
      </c>
      <c r="K1213" s="1" t="s">
        <v>42</v>
      </c>
      <c r="L1213" s="1" t="s">
        <v>43</v>
      </c>
      <c r="M1213">
        <v>6</v>
      </c>
      <c r="N1213">
        <v>0</v>
      </c>
      <c r="O1213">
        <v>12.145200000000001</v>
      </c>
      <c r="P1213">
        <v>41.88</v>
      </c>
      <c r="Q1213">
        <v>29.7348</v>
      </c>
    </row>
    <row r="1214" spans="1:17" x14ac:dyDescent="0.25">
      <c r="A1214" s="2">
        <v>42952</v>
      </c>
      <c r="B1214" s="2">
        <v>42956</v>
      </c>
      <c r="C1214" s="1" t="s">
        <v>35</v>
      </c>
      <c r="D1214" s="1" t="s">
        <v>113</v>
      </c>
      <c r="E1214" s="1" t="s">
        <v>19</v>
      </c>
      <c r="F1214" s="1" t="s">
        <v>20</v>
      </c>
      <c r="G1214" s="1" t="s">
        <v>1410</v>
      </c>
      <c r="H1214" s="1" t="s">
        <v>123</v>
      </c>
      <c r="I1214" s="1" t="s">
        <v>58</v>
      </c>
      <c r="J1214" s="1" t="s">
        <v>32</v>
      </c>
      <c r="K1214" s="1" t="s">
        <v>52</v>
      </c>
      <c r="L1214" s="1" t="s">
        <v>670</v>
      </c>
      <c r="M1214">
        <v>6</v>
      </c>
      <c r="N1214">
        <v>0</v>
      </c>
      <c r="O1214">
        <v>60.422400000000003</v>
      </c>
      <c r="P1214">
        <v>125.88</v>
      </c>
      <c r="Q1214">
        <v>65.457599999999985</v>
      </c>
    </row>
    <row r="1215" spans="1:17" x14ac:dyDescent="0.25">
      <c r="A1215" s="2">
        <v>42786</v>
      </c>
      <c r="B1215" s="2">
        <v>42793</v>
      </c>
      <c r="C1215" s="1" t="s">
        <v>35</v>
      </c>
      <c r="D1215" s="1" t="s">
        <v>1132</v>
      </c>
      <c r="E1215" s="1" t="s">
        <v>55</v>
      </c>
      <c r="F1215" s="1" t="s">
        <v>20</v>
      </c>
      <c r="G1215" s="1" t="s">
        <v>139</v>
      </c>
      <c r="H1215" s="1" t="s">
        <v>140</v>
      </c>
      <c r="I1215" s="1" t="s">
        <v>31</v>
      </c>
      <c r="J1215" s="1" t="s">
        <v>99</v>
      </c>
      <c r="K1215" s="1" t="s">
        <v>100</v>
      </c>
      <c r="L1215" s="1" t="s">
        <v>1915</v>
      </c>
      <c r="M1215">
        <v>3</v>
      </c>
      <c r="N1215">
        <v>0.2</v>
      </c>
      <c r="O1215">
        <v>25.0182</v>
      </c>
      <c r="P1215">
        <v>333.57600000000002</v>
      </c>
      <c r="Q1215">
        <v>308.55780000000004</v>
      </c>
    </row>
    <row r="1216" spans="1:17" x14ac:dyDescent="0.25">
      <c r="A1216" s="2">
        <v>42224</v>
      </c>
      <c r="B1216" s="2">
        <v>42226</v>
      </c>
      <c r="C1216" s="1" t="s">
        <v>17</v>
      </c>
      <c r="D1216" s="1" t="s">
        <v>1470</v>
      </c>
      <c r="E1216" s="1" t="s">
        <v>19</v>
      </c>
      <c r="F1216" s="1" t="s">
        <v>20</v>
      </c>
      <c r="G1216" s="1" t="s">
        <v>579</v>
      </c>
      <c r="H1216" s="1" t="s">
        <v>423</v>
      </c>
      <c r="I1216" s="1" t="s">
        <v>81</v>
      </c>
      <c r="J1216" s="1" t="s">
        <v>32</v>
      </c>
      <c r="K1216" s="1" t="s">
        <v>72</v>
      </c>
      <c r="L1216" s="1" t="s">
        <v>1916</v>
      </c>
      <c r="M1216">
        <v>2</v>
      </c>
      <c r="N1216">
        <v>0</v>
      </c>
      <c r="O1216">
        <v>11.898</v>
      </c>
      <c r="P1216">
        <v>39.659999999999997</v>
      </c>
      <c r="Q1216">
        <v>27.761999999999997</v>
      </c>
    </row>
    <row r="1217" spans="1:17" x14ac:dyDescent="0.25">
      <c r="A1217" s="2">
        <v>42258</v>
      </c>
      <c r="B1217" s="2">
        <v>42263</v>
      </c>
      <c r="C1217" s="1" t="s">
        <v>35</v>
      </c>
      <c r="D1217" s="1" t="s">
        <v>353</v>
      </c>
      <c r="E1217" s="1" t="s">
        <v>28</v>
      </c>
      <c r="F1217" s="1" t="s">
        <v>20</v>
      </c>
      <c r="G1217" s="1" t="s">
        <v>345</v>
      </c>
      <c r="H1217" s="1" t="s">
        <v>30</v>
      </c>
      <c r="I1217" s="1" t="s">
        <v>31</v>
      </c>
      <c r="J1217" s="1" t="s">
        <v>32</v>
      </c>
      <c r="K1217" s="1" t="s">
        <v>72</v>
      </c>
      <c r="L1217" s="1" t="s">
        <v>211</v>
      </c>
      <c r="M1217">
        <v>7</v>
      </c>
      <c r="N1217">
        <v>0</v>
      </c>
      <c r="O1217">
        <v>79.757999999999996</v>
      </c>
      <c r="P1217">
        <v>265.86</v>
      </c>
      <c r="Q1217">
        <v>186.10200000000003</v>
      </c>
    </row>
    <row r="1218" spans="1:17" x14ac:dyDescent="0.25">
      <c r="A1218" s="2">
        <v>41922</v>
      </c>
      <c r="B1218" s="2">
        <v>41926</v>
      </c>
      <c r="C1218" s="1" t="s">
        <v>35</v>
      </c>
      <c r="D1218" s="1" t="s">
        <v>506</v>
      </c>
      <c r="E1218" s="1" t="s">
        <v>55</v>
      </c>
      <c r="F1218" s="1" t="s">
        <v>20</v>
      </c>
      <c r="G1218" s="1" t="s">
        <v>894</v>
      </c>
      <c r="H1218" s="1" t="s">
        <v>140</v>
      </c>
      <c r="I1218" s="1" t="s">
        <v>31</v>
      </c>
      <c r="J1218" s="1" t="s">
        <v>24</v>
      </c>
      <c r="K1218" s="1" t="s">
        <v>42</v>
      </c>
      <c r="L1218" s="1" t="s">
        <v>1917</v>
      </c>
      <c r="M1218">
        <v>7</v>
      </c>
      <c r="N1218">
        <v>0.2</v>
      </c>
      <c r="O1218">
        <v>3.5154000000000001</v>
      </c>
      <c r="P1218">
        <v>46.872</v>
      </c>
      <c r="Q1218">
        <v>43.3566</v>
      </c>
    </row>
    <row r="1219" spans="1:17" x14ac:dyDescent="0.25">
      <c r="A1219" s="2">
        <v>42144</v>
      </c>
      <c r="B1219" s="2">
        <v>42148</v>
      </c>
      <c r="C1219" s="1" t="s">
        <v>35</v>
      </c>
      <c r="D1219" s="1" t="s">
        <v>1196</v>
      </c>
      <c r="E1219" s="1" t="s">
        <v>19</v>
      </c>
      <c r="F1219" s="1" t="s">
        <v>20</v>
      </c>
      <c r="G1219" s="1" t="s">
        <v>1918</v>
      </c>
      <c r="H1219" s="1" t="s">
        <v>46</v>
      </c>
      <c r="I1219" s="1" t="s">
        <v>23</v>
      </c>
      <c r="J1219" s="1" t="s">
        <v>24</v>
      </c>
      <c r="K1219" s="1" t="s">
        <v>42</v>
      </c>
      <c r="L1219" s="1" t="s">
        <v>1919</v>
      </c>
      <c r="M1219">
        <v>4</v>
      </c>
      <c r="N1219">
        <v>0.2</v>
      </c>
      <c r="O1219">
        <v>20.391999999999999</v>
      </c>
      <c r="P1219">
        <v>163.136</v>
      </c>
      <c r="Q1219">
        <v>142.744</v>
      </c>
    </row>
    <row r="1220" spans="1:17" x14ac:dyDescent="0.25">
      <c r="A1220" s="2">
        <v>42178</v>
      </c>
      <c r="B1220" s="2">
        <v>42183</v>
      </c>
      <c r="C1220" s="1" t="s">
        <v>35</v>
      </c>
      <c r="D1220" s="1" t="s">
        <v>1055</v>
      </c>
      <c r="E1220" s="1" t="s">
        <v>19</v>
      </c>
      <c r="F1220" s="1" t="s">
        <v>20</v>
      </c>
      <c r="G1220" s="1" t="s">
        <v>400</v>
      </c>
      <c r="H1220" s="1" t="s">
        <v>30</v>
      </c>
      <c r="I1220" s="1" t="s">
        <v>31</v>
      </c>
      <c r="J1220" s="1" t="s">
        <v>99</v>
      </c>
      <c r="K1220" s="1" t="s">
        <v>100</v>
      </c>
      <c r="L1220" s="1" t="s">
        <v>1920</v>
      </c>
      <c r="M1220">
        <v>2</v>
      </c>
      <c r="N1220">
        <v>0.2</v>
      </c>
      <c r="O1220">
        <v>19.038599999999999</v>
      </c>
      <c r="P1220">
        <v>217.584</v>
      </c>
      <c r="Q1220">
        <v>198.5454</v>
      </c>
    </row>
    <row r="1221" spans="1:17" x14ac:dyDescent="0.25">
      <c r="A1221" s="2">
        <v>42623</v>
      </c>
      <c r="B1221" s="2">
        <v>42628</v>
      </c>
      <c r="C1221" s="1" t="s">
        <v>35</v>
      </c>
      <c r="D1221" s="1" t="s">
        <v>741</v>
      </c>
      <c r="E1221" s="1" t="s">
        <v>28</v>
      </c>
      <c r="F1221" s="1" t="s">
        <v>20</v>
      </c>
      <c r="G1221" s="1" t="s">
        <v>37</v>
      </c>
      <c r="H1221" s="1" t="s">
        <v>38</v>
      </c>
      <c r="I1221" s="1" t="s">
        <v>23</v>
      </c>
      <c r="J1221" s="1" t="s">
        <v>99</v>
      </c>
      <c r="K1221" s="1" t="s">
        <v>100</v>
      </c>
      <c r="L1221" s="1" t="s">
        <v>1066</v>
      </c>
      <c r="M1221">
        <v>7</v>
      </c>
      <c r="N1221">
        <v>0.2</v>
      </c>
      <c r="O1221">
        <v>58.463999999999999</v>
      </c>
      <c r="P1221">
        <v>519.67999999999995</v>
      </c>
      <c r="Q1221">
        <v>461.21599999999995</v>
      </c>
    </row>
    <row r="1222" spans="1:17" x14ac:dyDescent="0.25">
      <c r="A1222" s="2">
        <v>41742</v>
      </c>
      <c r="B1222" s="2">
        <v>41747</v>
      </c>
      <c r="C1222" s="1" t="s">
        <v>35</v>
      </c>
      <c r="D1222" s="1" t="s">
        <v>1038</v>
      </c>
      <c r="E1222" s="1" t="s">
        <v>55</v>
      </c>
      <c r="F1222" s="1" t="s">
        <v>20</v>
      </c>
      <c r="G1222" s="1" t="s">
        <v>1257</v>
      </c>
      <c r="H1222" s="1" t="s">
        <v>1024</v>
      </c>
      <c r="I1222" s="1" t="s">
        <v>81</v>
      </c>
      <c r="J1222" s="1" t="s">
        <v>32</v>
      </c>
      <c r="K1222" s="1" t="s">
        <v>33</v>
      </c>
      <c r="L1222" s="1" t="s">
        <v>1921</v>
      </c>
      <c r="M1222">
        <v>3</v>
      </c>
      <c r="N1222">
        <v>0</v>
      </c>
      <c r="O1222">
        <v>3.6017999999999999</v>
      </c>
      <c r="P1222">
        <v>7.83</v>
      </c>
      <c r="Q1222">
        <v>4.2282000000000002</v>
      </c>
    </row>
    <row r="1223" spans="1:17" x14ac:dyDescent="0.25">
      <c r="A1223" s="2">
        <v>42468</v>
      </c>
      <c r="B1223" s="2">
        <v>42475</v>
      </c>
      <c r="C1223" s="1" t="s">
        <v>35</v>
      </c>
      <c r="D1223" s="1" t="s">
        <v>733</v>
      </c>
      <c r="E1223" s="1" t="s">
        <v>55</v>
      </c>
      <c r="F1223" s="1" t="s">
        <v>20</v>
      </c>
      <c r="G1223" s="1" t="s">
        <v>1507</v>
      </c>
      <c r="H1223" s="1" t="s">
        <v>899</v>
      </c>
      <c r="I1223" s="1" t="s">
        <v>23</v>
      </c>
      <c r="J1223" s="1" t="s">
        <v>32</v>
      </c>
      <c r="K1223" s="1" t="s">
        <v>128</v>
      </c>
      <c r="L1223" s="1" t="s">
        <v>809</v>
      </c>
      <c r="M1223">
        <v>6</v>
      </c>
      <c r="N1223">
        <v>0</v>
      </c>
      <c r="O1223">
        <v>14.4</v>
      </c>
      <c r="P1223">
        <v>30</v>
      </c>
      <c r="Q1223">
        <v>15.6</v>
      </c>
    </row>
    <row r="1224" spans="1:17" x14ac:dyDescent="0.25">
      <c r="A1224" s="2">
        <v>41824</v>
      </c>
      <c r="B1224" s="2">
        <v>41827</v>
      </c>
      <c r="C1224" s="1" t="s">
        <v>107</v>
      </c>
      <c r="D1224" s="1" t="s">
        <v>1690</v>
      </c>
      <c r="E1224" s="1" t="s">
        <v>28</v>
      </c>
      <c r="F1224" s="1" t="s">
        <v>20</v>
      </c>
      <c r="G1224" s="1" t="s">
        <v>197</v>
      </c>
      <c r="H1224" s="1" t="s">
        <v>198</v>
      </c>
      <c r="I1224" s="1" t="s">
        <v>31</v>
      </c>
      <c r="J1224" s="1" t="s">
        <v>32</v>
      </c>
      <c r="K1224" s="1" t="s">
        <v>47</v>
      </c>
      <c r="L1224" s="1" t="s">
        <v>1922</v>
      </c>
      <c r="M1224">
        <v>4</v>
      </c>
      <c r="N1224">
        <v>0.2</v>
      </c>
      <c r="O1224">
        <v>62.137599999999999</v>
      </c>
      <c r="P1224">
        <v>177.536</v>
      </c>
      <c r="Q1224">
        <v>115.39840000000001</v>
      </c>
    </row>
    <row r="1225" spans="1:17" x14ac:dyDescent="0.25">
      <c r="A1225" s="2">
        <v>41785</v>
      </c>
      <c r="B1225" s="2">
        <v>41790</v>
      </c>
      <c r="C1225" s="1" t="s">
        <v>35</v>
      </c>
      <c r="D1225" s="1" t="s">
        <v>1799</v>
      </c>
      <c r="E1225" s="1" t="s">
        <v>19</v>
      </c>
      <c r="F1225" s="1" t="s">
        <v>20</v>
      </c>
      <c r="G1225" s="1" t="s">
        <v>136</v>
      </c>
      <c r="H1225" s="1" t="s">
        <v>98</v>
      </c>
      <c r="I1225" s="1" t="s">
        <v>58</v>
      </c>
      <c r="J1225" s="1" t="s">
        <v>32</v>
      </c>
      <c r="K1225" s="1" t="s">
        <v>64</v>
      </c>
      <c r="L1225" s="1" t="s">
        <v>1923</v>
      </c>
      <c r="M1225">
        <v>3</v>
      </c>
      <c r="N1225">
        <v>0.2</v>
      </c>
      <c r="O1225">
        <v>7.6967999999999996</v>
      </c>
      <c r="P1225">
        <v>102.624</v>
      </c>
      <c r="Q1225">
        <v>94.927199999999999</v>
      </c>
    </row>
    <row r="1226" spans="1:17" x14ac:dyDescent="0.25">
      <c r="A1226" s="2">
        <v>42051</v>
      </c>
      <c r="B1226" s="2">
        <v>42055</v>
      </c>
      <c r="C1226" s="1" t="s">
        <v>35</v>
      </c>
      <c r="D1226" s="1" t="s">
        <v>395</v>
      </c>
      <c r="E1226" s="1" t="s">
        <v>28</v>
      </c>
      <c r="F1226" s="1" t="s">
        <v>20</v>
      </c>
      <c r="G1226" s="1" t="s">
        <v>118</v>
      </c>
      <c r="H1226" s="1" t="s">
        <v>842</v>
      </c>
      <c r="I1226" s="1" t="s">
        <v>81</v>
      </c>
      <c r="J1226" s="1" t="s">
        <v>32</v>
      </c>
      <c r="K1226" s="1" t="s">
        <v>47</v>
      </c>
      <c r="L1226" s="1" t="s">
        <v>259</v>
      </c>
      <c r="M1226">
        <v>6</v>
      </c>
      <c r="N1226">
        <v>0</v>
      </c>
      <c r="O1226">
        <v>16.146000000000001</v>
      </c>
      <c r="P1226">
        <v>35.880000000000003</v>
      </c>
      <c r="Q1226">
        <v>19.734000000000002</v>
      </c>
    </row>
    <row r="1227" spans="1:17" x14ac:dyDescent="0.25">
      <c r="A1227" s="2">
        <v>42094</v>
      </c>
      <c r="B1227" s="2">
        <v>42099</v>
      </c>
      <c r="C1227" s="1" t="s">
        <v>35</v>
      </c>
      <c r="D1227" s="1" t="s">
        <v>528</v>
      </c>
      <c r="E1227" s="1" t="s">
        <v>28</v>
      </c>
      <c r="F1227" s="1" t="s">
        <v>20</v>
      </c>
      <c r="G1227" s="1" t="s">
        <v>91</v>
      </c>
      <c r="H1227" s="1" t="s">
        <v>57</v>
      </c>
      <c r="I1227" s="1" t="s">
        <v>58</v>
      </c>
      <c r="J1227" s="1" t="s">
        <v>32</v>
      </c>
      <c r="K1227" s="1" t="s">
        <v>47</v>
      </c>
      <c r="L1227" s="1" t="s">
        <v>1199</v>
      </c>
      <c r="M1227">
        <v>3</v>
      </c>
      <c r="N1227">
        <v>0.2</v>
      </c>
      <c r="O1227">
        <v>35.661299999999997</v>
      </c>
      <c r="P1227">
        <v>98.376000000000005</v>
      </c>
      <c r="Q1227">
        <v>62.714700000000008</v>
      </c>
    </row>
    <row r="1228" spans="1:17" x14ac:dyDescent="0.25">
      <c r="A1228" s="2">
        <v>42148</v>
      </c>
      <c r="B1228" s="2">
        <v>42150</v>
      </c>
      <c r="C1228" s="1" t="s">
        <v>17</v>
      </c>
      <c r="D1228" s="1" t="s">
        <v>1924</v>
      </c>
      <c r="E1228" s="1" t="s">
        <v>19</v>
      </c>
      <c r="F1228" s="1" t="s">
        <v>20</v>
      </c>
      <c r="G1228" s="1" t="s">
        <v>97</v>
      </c>
      <c r="H1228" s="1" t="s">
        <v>98</v>
      </c>
      <c r="I1228" s="1" t="s">
        <v>58</v>
      </c>
      <c r="J1228" s="1" t="s">
        <v>24</v>
      </c>
      <c r="K1228" s="1" t="s">
        <v>82</v>
      </c>
      <c r="L1228" s="1" t="s">
        <v>1114</v>
      </c>
      <c r="M1228">
        <v>7</v>
      </c>
      <c r="N1228">
        <v>0.3</v>
      </c>
      <c r="O1228">
        <v>-163.57669999999999</v>
      </c>
      <c r="P1228">
        <v>602.65099999999995</v>
      </c>
      <c r="Q1228">
        <v>766.22769999999991</v>
      </c>
    </row>
    <row r="1229" spans="1:17" x14ac:dyDescent="0.25">
      <c r="A1229" s="2">
        <v>42079</v>
      </c>
      <c r="B1229" s="2">
        <v>42082</v>
      </c>
      <c r="C1229" s="1" t="s">
        <v>17</v>
      </c>
      <c r="D1229" s="1" t="s">
        <v>965</v>
      </c>
      <c r="E1229" s="1" t="s">
        <v>19</v>
      </c>
      <c r="F1229" s="1" t="s">
        <v>20</v>
      </c>
      <c r="G1229" s="1" t="s">
        <v>526</v>
      </c>
      <c r="H1229" s="1" t="s">
        <v>159</v>
      </c>
      <c r="I1229" s="1" t="s">
        <v>23</v>
      </c>
      <c r="J1229" s="1" t="s">
        <v>32</v>
      </c>
      <c r="K1229" s="1" t="s">
        <v>33</v>
      </c>
      <c r="L1229" s="1" t="s">
        <v>1925</v>
      </c>
      <c r="M1229">
        <v>5</v>
      </c>
      <c r="N1229">
        <v>0</v>
      </c>
      <c r="O1229">
        <v>240.8595</v>
      </c>
      <c r="P1229">
        <v>491.55</v>
      </c>
      <c r="Q1229">
        <v>250.69050000000001</v>
      </c>
    </row>
    <row r="1230" spans="1:17" x14ac:dyDescent="0.25">
      <c r="A1230" s="2">
        <v>41805</v>
      </c>
      <c r="B1230" s="2">
        <v>41805</v>
      </c>
      <c r="C1230" s="1" t="s">
        <v>434</v>
      </c>
      <c r="D1230" s="1" t="s">
        <v>1926</v>
      </c>
      <c r="E1230" s="1" t="s">
        <v>19</v>
      </c>
      <c r="F1230" s="1" t="s">
        <v>20</v>
      </c>
      <c r="G1230" s="1" t="s">
        <v>1201</v>
      </c>
      <c r="H1230" s="1" t="s">
        <v>57</v>
      </c>
      <c r="I1230" s="1" t="s">
        <v>58</v>
      </c>
      <c r="J1230" s="1" t="s">
        <v>32</v>
      </c>
      <c r="K1230" s="1" t="s">
        <v>47</v>
      </c>
      <c r="L1230" s="1" t="s">
        <v>1927</v>
      </c>
      <c r="M1230">
        <v>2</v>
      </c>
      <c r="N1230">
        <v>0.2</v>
      </c>
      <c r="O1230">
        <v>11.876799999999999</v>
      </c>
      <c r="P1230">
        <v>36.543999999999997</v>
      </c>
      <c r="Q1230">
        <v>24.667199999999998</v>
      </c>
    </row>
    <row r="1231" spans="1:17" x14ac:dyDescent="0.25">
      <c r="A1231" s="2">
        <v>42210</v>
      </c>
      <c r="B1231" s="2">
        <v>42215</v>
      </c>
      <c r="C1231" s="1" t="s">
        <v>35</v>
      </c>
      <c r="D1231" s="1" t="s">
        <v>1650</v>
      </c>
      <c r="E1231" s="1" t="s">
        <v>19</v>
      </c>
      <c r="F1231" s="1" t="s">
        <v>20</v>
      </c>
      <c r="G1231" s="1" t="s">
        <v>29</v>
      </c>
      <c r="H1231" s="1" t="s">
        <v>30</v>
      </c>
      <c r="I1231" s="1" t="s">
        <v>31</v>
      </c>
      <c r="J1231" s="1" t="s">
        <v>99</v>
      </c>
      <c r="K1231" s="1" t="s">
        <v>100</v>
      </c>
      <c r="L1231" s="1" t="s">
        <v>1928</v>
      </c>
      <c r="M1231">
        <v>5</v>
      </c>
      <c r="N1231">
        <v>0.2</v>
      </c>
      <c r="O1231">
        <v>38.997500000000002</v>
      </c>
      <c r="P1231">
        <v>623.96</v>
      </c>
      <c r="Q1231">
        <v>584.96250000000009</v>
      </c>
    </row>
    <row r="1232" spans="1:17" x14ac:dyDescent="0.25">
      <c r="A1232" s="2">
        <v>42119</v>
      </c>
      <c r="B1232" s="2">
        <v>42123</v>
      </c>
      <c r="C1232" s="1" t="s">
        <v>35</v>
      </c>
      <c r="D1232" s="1" t="s">
        <v>638</v>
      </c>
      <c r="E1232" s="1" t="s">
        <v>19</v>
      </c>
      <c r="F1232" s="1" t="s">
        <v>20</v>
      </c>
      <c r="G1232" s="1" t="s">
        <v>197</v>
      </c>
      <c r="H1232" s="1" t="s">
        <v>98</v>
      </c>
      <c r="I1232" s="1" t="s">
        <v>58</v>
      </c>
      <c r="J1232" s="1" t="s">
        <v>32</v>
      </c>
      <c r="K1232" s="1" t="s">
        <v>64</v>
      </c>
      <c r="L1232" s="1" t="s">
        <v>1929</v>
      </c>
      <c r="M1232">
        <v>2</v>
      </c>
      <c r="N1232">
        <v>0.2</v>
      </c>
      <c r="O1232">
        <v>-55.256</v>
      </c>
      <c r="P1232">
        <v>221.024</v>
      </c>
      <c r="Q1232">
        <v>276.27999999999997</v>
      </c>
    </row>
    <row r="1233" spans="1:17" x14ac:dyDescent="0.25">
      <c r="A1233" s="2">
        <v>42567</v>
      </c>
      <c r="B1233" s="2">
        <v>42571</v>
      </c>
      <c r="C1233" s="1" t="s">
        <v>17</v>
      </c>
      <c r="D1233" s="1" t="s">
        <v>231</v>
      </c>
      <c r="E1233" s="1" t="s">
        <v>28</v>
      </c>
      <c r="F1233" s="1" t="s">
        <v>20</v>
      </c>
      <c r="G1233" s="1" t="s">
        <v>168</v>
      </c>
      <c r="H1233" s="1" t="s">
        <v>169</v>
      </c>
      <c r="I1233" s="1" t="s">
        <v>23</v>
      </c>
      <c r="J1233" s="1" t="s">
        <v>32</v>
      </c>
      <c r="K1233" s="1" t="s">
        <v>94</v>
      </c>
      <c r="L1233" s="1" t="s">
        <v>292</v>
      </c>
      <c r="M1233">
        <v>5</v>
      </c>
      <c r="N1233">
        <v>0</v>
      </c>
      <c r="O1233">
        <v>4.7939999999999996</v>
      </c>
      <c r="P1233">
        <v>10.199999999999999</v>
      </c>
      <c r="Q1233">
        <v>5.4059999999999997</v>
      </c>
    </row>
    <row r="1234" spans="1:17" x14ac:dyDescent="0.25">
      <c r="A1234" s="2">
        <v>41709</v>
      </c>
      <c r="B1234" s="2">
        <v>41711</v>
      </c>
      <c r="C1234" s="1" t="s">
        <v>17</v>
      </c>
      <c r="D1234" s="1" t="s">
        <v>1243</v>
      </c>
      <c r="E1234" s="1" t="s">
        <v>28</v>
      </c>
      <c r="F1234" s="1" t="s">
        <v>20</v>
      </c>
      <c r="G1234" s="1" t="s">
        <v>496</v>
      </c>
      <c r="H1234" s="1" t="s">
        <v>22</v>
      </c>
      <c r="I1234" s="1" t="s">
        <v>23</v>
      </c>
      <c r="J1234" s="1" t="s">
        <v>32</v>
      </c>
      <c r="K1234" s="1" t="s">
        <v>59</v>
      </c>
      <c r="L1234" s="1" t="s">
        <v>1473</v>
      </c>
      <c r="M1234">
        <v>3</v>
      </c>
      <c r="N1234">
        <v>0</v>
      </c>
      <c r="O1234">
        <v>38.157600000000002</v>
      </c>
      <c r="P1234">
        <v>146.76</v>
      </c>
      <c r="Q1234">
        <v>108.60239999999999</v>
      </c>
    </row>
    <row r="1235" spans="1:17" x14ac:dyDescent="0.25">
      <c r="A1235" s="2">
        <v>42544</v>
      </c>
      <c r="B1235" s="2">
        <v>42548</v>
      </c>
      <c r="C1235" s="1" t="s">
        <v>17</v>
      </c>
      <c r="D1235" s="1" t="s">
        <v>839</v>
      </c>
      <c r="E1235" s="1" t="s">
        <v>19</v>
      </c>
      <c r="F1235" s="1" t="s">
        <v>20</v>
      </c>
      <c r="G1235" s="1" t="s">
        <v>126</v>
      </c>
      <c r="H1235" s="1" t="s">
        <v>127</v>
      </c>
      <c r="I1235" s="1" t="s">
        <v>81</v>
      </c>
      <c r="J1235" s="1" t="s">
        <v>32</v>
      </c>
      <c r="K1235" s="1" t="s">
        <v>33</v>
      </c>
      <c r="L1235" s="1" t="s">
        <v>1930</v>
      </c>
      <c r="M1235">
        <v>7</v>
      </c>
      <c r="N1235">
        <v>0</v>
      </c>
      <c r="O1235">
        <v>12.1401</v>
      </c>
      <c r="P1235">
        <v>25.83</v>
      </c>
      <c r="Q1235">
        <v>13.689899999999998</v>
      </c>
    </row>
    <row r="1236" spans="1:17" x14ac:dyDescent="0.25">
      <c r="A1236" s="2">
        <v>42772</v>
      </c>
      <c r="B1236" s="2">
        <v>42778</v>
      </c>
      <c r="C1236" s="1" t="s">
        <v>35</v>
      </c>
      <c r="D1236" s="1" t="s">
        <v>695</v>
      </c>
      <c r="E1236" s="1" t="s">
        <v>28</v>
      </c>
      <c r="F1236" s="1" t="s">
        <v>20</v>
      </c>
      <c r="G1236" s="1" t="s">
        <v>126</v>
      </c>
      <c r="H1236" s="1" t="s">
        <v>127</v>
      </c>
      <c r="I1236" s="1" t="s">
        <v>81</v>
      </c>
      <c r="J1236" s="1" t="s">
        <v>99</v>
      </c>
      <c r="K1236" s="1" t="s">
        <v>100</v>
      </c>
      <c r="L1236" s="1" t="s">
        <v>1931</v>
      </c>
      <c r="M1236">
        <v>6</v>
      </c>
      <c r="N1236">
        <v>0</v>
      </c>
      <c r="O1236">
        <v>65.963399999999993</v>
      </c>
      <c r="P1236">
        <v>227.46</v>
      </c>
      <c r="Q1236">
        <v>161.4966</v>
      </c>
    </row>
    <row r="1237" spans="1:17" x14ac:dyDescent="0.25">
      <c r="A1237" s="2">
        <v>42574</v>
      </c>
      <c r="B1237" s="2">
        <v>42579</v>
      </c>
      <c r="C1237" s="1" t="s">
        <v>35</v>
      </c>
      <c r="D1237" s="1" t="s">
        <v>646</v>
      </c>
      <c r="E1237" s="1" t="s">
        <v>19</v>
      </c>
      <c r="F1237" s="1" t="s">
        <v>20</v>
      </c>
      <c r="G1237" s="1" t="s">
        <v>1891</v>
      </c>
      <c r="H1237" s="1" t="s">
        <v>57</v>
      </c>
      <c r="I1237" s="1" t="s">
        <v>58</v>
      </c>
      <c r="J1237" s="1" t="s">
        <v>32</v>
      </c>
      <c r="K1237" s="1" t="s">
        <v>72</v>
      </c>
      <c r="L1237" s="1" t="s">
        <v>1932</v>
      </c>
      <c r="M1237">
        <v>2</v>
      </c>
      <c r="N1237">
        <v>0.2</v>
      </c>
      <c r="O1237">
        <v>0.33360000000000001</v>
      </c>
      <c r="P1237">
        <v>4.4480000000000004</v>
      </c>
      <c r="Q1237">
        <v>4.1144000000000007</v>
      </c>
    </row>
    <row r="1238" spans="1:17" x14ac:dyDescent="0.25">
      <c r="A1238" s="2">
        <v>42950</v>
      </c>
      <c r="B1238" s="2">
        <v>42953</v>
      </c>
      <c r="C1238" s="1" t="s">
        <v>17</v>
      </c>
      <c r="D1238" s="1" t="s">
        <v>1652</v>
      </c>
      <c r="E1238" s="1" t="s">
        <v>19</v>
      </c>
      <c r="F1238" s="1" t="s">
        <v>20</v>
      </c>
      <c r="G1238" s="1" t="s">
        <v>29</v>
      </c>
      <c r="H1238" s="1" t="s">
        <v>30</v>
      </c>
      <c r="I1238" s="1" t="s">
        <v>31</v>
      </c>
      <c r="J1238" s="1" t="s">
        <v>32</v>
      </c>
      <c r="K1238" s="1" t="s">
        <v>64</v>
      </c>
      <c r="L1238" s="1" t="s">
        <v>1933</v>
      </c>
      <c r="M1238">
        <v>3</v>
      </c>
      <c r="N1238">
        <v>0</v>
      </c>
      <c r="O1238">
        <v>23.968800000000002</v>
      </c>
      <c r="P1238">
        <v>99.87</v>
      </c>
      <c r="Q1238">
        <v>75.901200000000003</v>
      </c>
    </row>
    <row r="1239" spans="1:17" x14ac:dyDescent="0.25">
      <c r="A1239" s="2">
        <v>42013</v>
      </c>
      <c r="B1239" s="2">
        <v>42017</v>
      </c>
      <c r="C1239" s="1" t="s">
        <v>35</v>
      </c>
      <c r="D1239" s="1" t="s">
        <v>1255</v>
      </c>
      <c r="E1239" s="1" t="s">
        <v>19</v>
      </c>
      <c r="F1239" s="1" t="s">
        <v>20</v>
      </c>
      <c r="G1239" s="1" t="s">
        <v>21</v>
      </c>
      <c r="H1239" s="1" t="s">
        <v>22</v>
      </c>
      <c r="I1239" s="1" t="s">
        <v>23</v>
      </c>
      <c r="J1239" s="1" t="s">
        <v>32</v>
      </c>
      <c r="K1239" s="1" t="s">
        <v>47</v>
      </c>
      <c r="L1239" s="1" t="s">
        <v>92</v>
      </c>
      <c r="M1239">
        <v>3</v>
      </c>
      <c r="N1239">
        <v>0</v>
      </c>
      <c r="O1239">
        <v>49.970399999999998</v>
      </c>
      <c r="P1239">
        <v>106.32</v>
      </c>
      <c r="Q1239">
        <v>56.349599999999995</v>
      </c>
    </row>
    <row r="1240" spans="1:17" x14ac:dyDescent="0.25">
      <c r="A1240" s="2">
        <v>42495</v>
      </c>
      <c r="B1240" s="2">
        <v>42496</v>
      </c>
      <c r="C1240" s="1" t="s">
        <v>107</v>
      </c>
      <c r="D1240" s="1" t="s">
        <v>896</v>
      </c>
      <c r="E1240" s="1" t="s">
        <v>28</v>
      </c>
      <c r="F1240" s="1" t="s">
        <v>20</v>
      </c>
      <c r="G1240" s="1" t="s">
        <v>21</v>
      </c>
      <c r="H1240" s="1" t="s">
        <v>470</v>
      </c>
      <c r="I1240" s="1" t="s">
        <v>31</v>
      </c>
      <c r="J1240" s="1" t="s">
        <v>24</v>
      </c>
      <c r="K1240" s="1" t="s">
        <v>39</v>
      </c>
      <c r="L1240" s="1" t="s">
        <v>1934</v>
      </c>
      <c r="M1240">
        <v>6</v>
      </c>
      <c r="N1240">
        <v>0</v>
      </c>
      <c r="O1240">
        <v>320.31720000000001</v>
      </c>
      <c r="P1240">
        <v>1685.88</v>
      </c>
      <c r="Q1240">
        <v>1365.5628000000002</v>
      </c>
    </row>
    <row r="1241" spans="1:17" x14ac:dyDescent="0.25">
      <c r="A1241" s="2">
        <v>42779</v>
      </c>
      <c r="B1241" s="2">
        <v>42783</v>
      </c>
      <c r="C1241" s="1" t="s">
        <v>35</v>
      </c>
      <c r="D1241" s="1" t="s">
        <v>1591</v>
      </c>
      <c r="E1241" s="1" t="s">
        <v>28</v>
      </c>
      <c r="F1241" s="1" t="s">
        <v>20</v>
      </c>
      <c r="G1241" s="1" t="s">
        <v>126</v>
      </c>
      <c r="H1241" s="1" t="s">
        <v>127</v>
      </c>
      <c r="I1241" s="1" t="s">
        <v>81</v>
      </c>
      <c r="J1241" s="1" t="s">
        <v>32</v>
      </c>
      <c r="K1241" s="1" t="s">
        <v>47</v>
      </c>
      <c r="L1241" s="1" t="s">
        <v>1935</v>
      </c>
      <c r="M1241">
        <v>3</v>
      </c>
      <c r="N1241">
        <v>0</v>
      </c>
      <c r="O1241">
        <v>8.7905999999999995</v>
      </c>
      <c r="P1241">
        <v>17.940000000000001</v>
      </c>
      <c r="Q1241">
        <v>9.1494000000000018</v>
      </c>
    </row>
    <row r="1242" spans="1:17" x14ac:dyDescent="0.25">
      <c r="A1242" s="2">
        <v>41824</v>
      </c>
      <c r="B1242" s="2">
        <v>41829</v>
      </c>
      <c r="C1242" s="1" t="s">
        <v>35</v>
      </c>
      <c r="D1242" s="1" t="s">
        <v>1163</v>
      </c>
      <c r="E1242" s="1" t="s">
        <v>19</v>
      </c>
      <c r="F1242" s="1" t="s">
        <v>20</v>
      </c>
      <c r="G1242" s="1" t="s">
        <v>496</v>
      </c>
      <c r="H1242" s="1" t="s">
        <v>144</v>
      </c>
      <c r="I1242" s="1" t="s">
        <v>23</v>
      </c>
      <c r="J1242" s="1" t="s">
        <v>32</v>
      </c>
      <c r="K1242" s="1" t="s">
        <v>47</v>
      </c>
      <c r="L1242" s="1" t="s">
        <v>450</v>
      </c>
      <c r="M1242">
        <v>3</v>
      </c>
      <c r="N1242">
        <v>0</v>
      </c>
      <c r="O1242">
        <v>10.92</v>
      </c>
      <c r="P1242">
        <v>21.84</v>
      </c>
      <c r="Q1242">
        <v>10.92</v>
      </c>
    </row>
    <row r="1243" spans="1:17" x14ac:dyDescent="0.25">
      <c r="A1243" s="2">
        <v>41645</v>
      </c>
      <c r="B1243" s="2">
        <v>41646</v>
      </c>
      <c r="C1243" s="1" t="s">
        <v>107</v>
      </c>
      <c r="D1243" s="1" t="s">
        <v>1634</v>
      </c>
      <c r="E1243" s="1" t="s">
        <v>28</v>
      </c>
      <c r="F1243" s="1" t="s">
        <v>20</v>
      </c>
      <c r="G1243" s="1" t="s">
        <v>1789</v>
      </c>
      <c r="H1243" s="1" t="s">
        <v>429</v>
      </c>
      <c r="I1243" s="1" t="s">
        <v>23</v>
      </c>
      <c r="J1243" s="1" t="s">
        <v>32</v>
      </c>
      <c r="K1243" s="1" t="s">
        <v>72</v>
      </c>
      <c r="L1243" s="1" t="s">
        <v>1936</v>
      </c>
      <c r="M1243">
        <v>3</v>
      </c>
      <c r="N1243">
        <v>0</v>
      </c>
      <c r="O1243">
        <v>5.2397999999999998</v>
      </c>
      <c r="P1243">
        <v>12.78</v>
      </c>
      <c r="Q1243">
        <v>7.5401999999999996</v>
      </c>
    </row>
    <row r="1244" spans="1:17" x14ac:dyDescent="0.25">
      <c r="A1244" s="2">
        <v>42412</v>
      </c>
      <c r="B1244" s="2">
        <v>42414</v>
      </c>
      <c r="C1244" s="1" t="s">
        <v>107</v>
      </c>
      <c r="D1244" s="1" t="s">
        <v>1937</v>
      </c>
      <c r="E1244" s="1" t="s">
        <v>19</v>
      </c>
      <c r="F1244" s="1" t="s">
        <v>20</v>
      </c>
      <c r="G1244" s="1" t="s">
        <v>564</v>
      </c>
      <c r="H1244" s="1" t="s">
        <v>429</v>
      </c>
      <c r="I1244" s="1" t="s">
        <v>23</v>
      </c>
      <c r="J1244" s="1" t="s">
        <v>32</v>
      </c>
      <c r="K1244" s="1" t="s">
        <v>64</v>
      </c>
      <c r="L1244" s="1" t="s">
        <v>1938</v>
      </c>
      <c r="M1244">
        <v>6</v>
      </c>
      <c r="N1244">
        <v>0</v>
      </c>
      <c r="O1244">
        <v>175.51560000000001</v>
      </c>
      <c r="P1244">
        <v>1350.12</v>
      </c>
      <c r="Q1244">
        <v>1174.6043999999999</v>
      </c>
    </row>
    <row r="1245" spans="1:17" x14ac:dyDescent="0.25">
      <c r="A1245" s="2">
        <v>42227</v>
      </c>
      <c r="B1245" s="2">
        <v>42231</v>
      </c>
      <c r="C1245" s="1" t="s">
        <v>35</v>
      </c>
      <c r="D1245" s="1" t="s">
        <v>518</v>
      </c>
      <c r="E1245" s="1" t="s">
        <v>55</v>
      </c>
      <c r="F1245" s="1" t="s">
        <v>20</v>
      </c>
      <c r="G1245" s="1" t="s">
        <v>126</v>
      </c>
      <c r="H1245" s="1" t="s">
        <v>127</v>
      </c>
      <c r="I1245" s="1" t="s">
        <v>81</v>
      </c>
      <c r="J1245" s="1" t="s">
        <v>32</v>
      </c>
      <c r="K1245" s="1" t="s">
        <v>72</v>
      </c>
      <c r="L1245" s="1" t="s">
        <v>1939</v>
      </c>
      <c r="M1245">
        <v>2</v>
      </c>
      <c r="N1245">
        <v>0</v>
      </c>
      <c r="O1245">
        <v>3.1095999999999999</v>
      </c>
      <c r="P1245">
        <v>11.96</v>
      </c>
      <c r="Q1245">
        <v>8.8504000000000005</v>
      </c>
    </row>
    <row r="1246" spans="1:17" x14ac:dyDescent="0.25">
      <c r="A1246" s="2">
        <v>42899</v>
      </c>
      <c r="B1246" s="2">
        <v>42903</v>
      </c>
      <c r="C1246" s="1" t="s">
        <v>35</v>
      </c>
      <c r="D1246" s="1" t="s">
        <v>171</v>
      </c>
      <c r="E1246" s="1" t="s">
        <v>19</v>
      </c>
      <c r="F1246" s="1" t="s">
        <v>20</v>
      </c>
      <c r="G1246" s="1" t="s">
        <v>143</v>
      </c>
      <c r="H1246" s="1" t="s">
        <v>144</v>
      </c>
      <c r="I1246" s="1" t="s">
        <v>23</v>
      </c>
      <c r="J1246" s="1" t="s">
        <v>32</v>
      </c>
      <c r="K1246" s="1" t="s">
        <v>72</v>
      </c>
      <c r="L1246" s="1" t="s">
        <v>1940</v>
      </c>
      <c r="M1246">
        <v>7</v>
      </c>
      <c r="N1246">
        <v>0</v>
      </c>
      <c r="O1246">
        <v>50.9208</v>
      </c>
      <c r="P1246">
        <v>181.86</v>
      </c>
      <c r="Q1246">
        <v>130.93920000000003</v>
      </c>
    </row>
    <row r="1247" spans="1:17" x14ac:dyDescent="0.25">
      <c r="A1247" s="2">
        <v>42056</v>
      </c>
      <c r="B1247" s="2">
        <v>42062</v>
      </c>
      <c r="C1247" s="1" t="s">
        <v>35</v>
      </c>
      <c r="D1247" s="1" t="s">
        <v>1466</v>
      </c>
      <c r="E1247" s="1" t="s">
        <v>19</v>
      </c>
      <c r="F1247" s="1" t="s">
        <v>20</v>
      </c>
      <c r="G1247" s="1" t="s">
        <v>168</v>
      </c>
      <c r="H1247" s="1" t="s">
        <v>1024</v>
      </c>
      <c r="I1247" s="1" t="s">
        <v>81</v>
      </c>
      <c r="J1247" s="1" t="s">
        <v>32</v>
      </c>
      <c r="K1247" s="1" t="s">
        <v>52</v>
      </c>
      <c r="L1247" s="1" t="s">
        <v>1941</v>
      </c>
      <c r="M1247">
        <v>2</v>
      </c>
      <c r="N1247">
        <v>0</v>
      </c>
      <c r="O1247">
        <v>1270.99</v>
      </c>
      <c r="P1247">
        <v>2541.98</v>
      </c>
      <c r="Q1247">
        <v>1270.99</v>
      </c>
    </row>
    <row r="1248" spans="1:17" x14ac:dyDescent="0.25">
      <c r="A1248" s="2">
        <v>42399</v>
      </c>
      <c r="B1248" s="2">
        <v>42400</v>
      </c>
      <c r="C1248" s="1" t="s">
        <v>107</v>
      </c>
      <c r="D1248" s="1" t="s">
        <v>371</v>
      </c>
      <c r="E1248" s="1" t="s">
        <v>19</v>
      </c>
      <c r="F1248" s="1" t="s">
        <v>20</v>
      </c>
      <c r="G1248" s="1" t="s">
        <v>71</v>
      </c>
      <c r="H1248" s="1" t="s">
        <v>30</v>
      </c>
      <c r="I1248" s="1" t="s">
        <v>31</v>
      </c>
      <c r="J1248" s="1" t="s">
        <v>32</v>
      </c>
      <c r="K1248" s="1" t="s">
        <v>64</v>
      </c>
      <c r="L1248" s="1" t="s">
        <v>1942</v>
      </c>
      <c r="M1248">
        <v>9</v>
      </c>
      <c r="N1248">
        <v>0</v>
      </c>
      <c r="O1248">
        <v>76.252499999999998</v>
      </c>
      <c r="P1248">
        <v>305.01</v>
      </c>
      <c r="Q1248">
        <v>228.75749999999999</v>
      </c>
    </row>
    <row r="1249" spans="1:17" x14ac:dyDescent="0.25">
      <c r="A1249" s="2">
        <v>42150</v>
      </c>
      <c r="B1249" s="2">
        <v>42155</v>
      </c>
      <c r="C1249" s="1" t="s">
        <v>35</v>
      </c>
      <c r="D1249" s="1" t="s">
        <v>260</v>
      </c>
      <c r="E1249" s="1" t="s">
        <v>19</v>
      </c>
      <c r="F1249" s="1" t="s">
        <v>20</v>
      </c>
      <c r="G1249" s="1" t="s">
        <v>1943</v>
      </c>
      <c r="H1249" s="1" t="s">
        <v>51</v>
      </c>
      <c r="I1249" s="1" t="s">
        <v>31</v>
      </c>
      <c r="J1249" s="1" t="s">
        <v>24</v>
      </c>
      <c r="K1249" s="1" t="s">
        <v>42</v>
      </c>
      <c r="L1249" s="1" t="s">
        <v>1944</v>
      </c>
      <c r="M1249">
        <v>1</v>
      </c>
      <c r="N1249">
        <v>0</v>
      </c>
      <c r="O1249">
        <v>7.8936000000000002</v>
      </c>
      <c r="P1249">
        <v>20.239999999999998</v>
      </c>
      <c r="Q1249">
        <v>12.346399999999999</v>
      </c>
    </row>
    <row r="1250" spans="1:17" x14ac:dyDescent="0.25">
      <c r="A1250" s="2">
        <v>42045</v>
      </c>
      <c r="B1250" s="2">
        <v>42049</v>
      </c>
      <c r="C1250" s="1" t="s">
        <v>17</v>
      </c>
      <c r="D1250" s="1" t="s">
        <v>652</v>
      </c>
      <c r="E1250" s="1" t="s">
        <v>28</v>
      </c>
      <c r="F1250" s="1" t="s">
        <v>20</v>
      </c>
      <c r="G1250" s="1" t="s">
        <v>79</v>
      </c>
      <c r="H1250" s="1" t="s">
        <v>80</v>
      </c>
      <c r="I1250" s="1" t="s">
        <v>81</v>
      </c>
      <c r="J1250" s="1" t="s">
        <v>32</v>
      </c>
      <c r="K1250" s="1" t="s">
        <v>64</v>
      </c>
      <c r="L1250" s="1" t="s">
        <v>1391</v>
      </c>
      <c r="M1250">
        <v>5</v>
      </c>
      <c r="N1250">
        <v>0.2</v>
      </c>
      <c r="O1250">
        <v>7.7240000000000002</v>
      </c>
      <c r="P1250">
        <v>77.239999999999995</v>
      </c>
      <c r="Q1250">
        <v>69.515999999999991</v>
      </c>
    </row>
    <row r="1251" spans="1:17" x14ac:dyDescent="0.25">
      <c r="A1251" s="2">
        <v>41727</v>
      </c>
      <c r="B1251" s="2">
        <v>41731</v>
      </c>
      <c r="C1251" s="1" t="s">
        <v>35</v>
      </c>
      <c r="D1251" s="1" t="s">
        <v>584</v>
      </c>
      <c r="E1251" s="1" t="s">
        <v>19</v>
      </c>
      <c r="F1251" s="1" t="s">
        <v>20</v>
      </c>
      <c r="G1251" s="1" t="s">
        <v>1236</v>
      </c>
      <c r="H1251" s="1" t="s">
        <v>57</v>
      </c>
      <c r="I1251" s="1" t="s">
        <v>58</v>
      </c>
      <c r="J1251" s="1" t="s">
        <v>24</v>
      </c>
      <c r="K1251" s="1" t="s">
        <v>39</v>
      </c>
      <c r="L1251" s="1" t="s">
        <v>1231</v>
      </c>
      <c r="M1251">
        <v>3</v>
      </c>
      <c r="N1251">
        <v>0.3</v>
      </c>
      <c r="O1251">
        <v>-152.71559999999999</v>
      </c>
      <c r="P1251">
        <v>890.84100000000001</v>
      </c>
      <c r="Q1251">
        <v>1043.5565999999999</v>
      </c>
    </row>
    <row r="1252" spans="1:17" x14ac:dyDescent="0.25">
      <c r="A1252" s="2">
        <v>42105</v>
      </c>
      <c r="B1252" s="2">
        <v>42111</v>
      </c>
      <c r="C1252" s="1" t="s">
        <v>35</v>
      </c>
      <c r="D1252" s="1" t="s">
        <v>1945</v>
      </c>
      <c r="E1252" s="1" t="s">
        <v>19</v>
      </c>
      <c r="F1252" s="1" t="s">
        <v>20</v>
      </c>
      <c r="G1252" s="1" t="s">
        <v>336</v>
      </c>
      <c r="H1252" s="1" t="s">
        <v>38</v>
      </c>
      <c r="I1252" s="1" t="s">
        <v>23</v>
      </c>
      <c r="J1252" s="1" t="s">
        <v>24</v>
      </c>
      <c r="K1252" s="1" t="s">
        <v>42</v>
      </c>
      <c r="L1252" s="1" t="s">
        <v>568</v>
      </c>
      <c r="M1252">
        <v>2</v>
      </c>
      <c r="N1252">
        <v>0.2</v>
      </c>
      <c r="O1252">
        <v>10.103999999999999</v>
      </c>
      <c r="P1252">
        <v>67.36</v>
      </c>
      <c r="Q1252">
        <v>57.256</v>
      </c>
    </row>
    <row r="1253" spans="1:17" x14ac:dyDescent="0.25">
      <c r="A1253" s="2">
        <v>42203</v>
      </c>
      <c r="B1253" s="2">
        <v>42206</v>
      </c>
      <c r="C1253" s="1" t="s">
        <v>107</v>
      </c>
      <c r="D1253" s="1" t="s">
        <v>884</v>
      </c>
      <c r="E1253" s="1" t="s">
        <v>28</v>
      </c>
      <c r="F1253" s="1" t="s">
        <v>20</v>
      </c>
      <c r="G1253" s="1" t="s">
        <v>126</v>
      </c>
      <c r="H1253" s="1" t="s">
        <v>127</v>
      </c>
      <c r="I1253" s="1" t="s">
        <v>81</v>
      </c>
      <c r="J1253" s="1" t="s">
        <v>32</v>
      </c>
      <c r="K1253" s="1" t="s">
        <v>72</v>
      </c>
      <c r="L1253" s="1" t="s">
        <v>799</v>
      </c>
      <c r="M1253">
        <v>2</v>
      </c>
      <c r="N1253">
        <v>0</v>
      </c>
      <c r="O1253">
        <v>1.6128</v>
      </c>
      <c r="P1253">
        <v>5.76</v>
      </c>
      <c r="Q1253">
        <v>4.1471999999999998</v>
      </c>
    </row>
    <row r="1254" spans="1:17" x14ac:dyDescent="0.25">
      <c r="A1254" s="2">
        <v>41940</v>
      </c>
      <c r="B1254" s="2">
        <v>41944</v>
      </c>
      <c r="C1254" s="1" t="s">
        <v>35</v>
      </c>
      <c r="D1254" s="1" t="s">
        <v>1683</v>
      </c>
      <c r="E1254" s="1" t="s">
        <v>28</v>
      </c>
      <c r="F1254" s="1" t="s">
        <v>20</v>
      </c>
      <c r="G1254" s="1" t="s">
        <v>1946</v>
      </c>
      <c r="H1254" s="1" t="s">
        <v>1798</v>
      </c>
      <c r="I1254" s="1" t="s">
        <v>58</v>
      </c>
      <c r="J1254" s="1" t="s">
        <v>99</v>
      </c>
      <c r="K1254" s="1" t="s">
        <v>100</v>
      </c>
      <c r="L1254" s="1" t="s">
        <v>1947</v>
      </c>
      <c r="M1254">
        <v>2</v>
      </c>
      <c r="N1254">
        <v>0</v>
      </c>
      <c r="O1254">
        <v>74.8142</v>
      </c>
      <c r="P1254">
        <v>257.98</v>
      </c>
      <c r="Q1254">
        <v>183.16580000000002</v>
      </c>
    </row>
    <row r="1255" spans="1:17" x14ac:dyDescent="0.25">
      <c r="A1255" s="2">
        <v>42742</v>
      </c>
      <c r="B1255" s="2">
        <v>42744</v>
      </c>
      <c r="C1255" s="1" t="s">
        <v>17</v>
      </c>
      <c r="D1255" s="1" t="s">
        <v>1341</v>
      </c>
      <c r="E1255" s="1" t="s">
        <v>19</v>
      </c>
      <c r="F1255" s="1" t="s">
        <v>20</v>
      </c>
      <c r="G1255" s="1" t="s">
        <v>400</v>
      </c>
      <c r="H1255" s="1" t="s">
        <v>30</v>
      </c>
      <c r="I1255" s="1" t="s">
        <v>31</v>
      </c>
      <c r="J1255" s="1" t="s">
        <v>32</v>
      </c>
      <c r="K1255" s="1" t="s">
        <v>64</v>
      </c>
      <c r="L1255" s="1" t="s">
        <v>1578</v>
      </c>
      <c r="M1255">
        <v>11</v>
      </c>
      <c r="N1255">
        <v>0</v>
      </c>
      <c r="O1255">
        <v>44.596200000000003</v>
      </c>
      <c r="P1255">
        <v>153.78</v>
      </c>
      <c r="Q1255">
        <v>109.18379999999999</v>
      </c>
    </row>
    <row r="1256" spans="1:17" x14ac:dyDescent="0.25">
      <c r="A1256" s="2">
        <v>42138</v>
      </c>
      <c r="B1256" s="2">
        <v>42143</v>
      </c>
      <c r="C1256" s="1" t="s">
        <v>35</v>
      </c>
      <c r="D1256" s="1" t="s">
        <v>1003</v>
      </c>
      <c r="E1256" s="1" t="s">
        <v>28</v>
      </c>
      <c r="F1256" s="1" t="s">
        <v>20</v>
      </c>
      <c r="G1256" s="1" t="s">
        <v>1948</v>
      </c>
      <c r="H1256" s="1" t="s">
        <v>30</v>
      </c>
      <c r="I1256" s="1" t="s">
        <v>31</v>
      </c>
      <c r="J1256" s="1" t="s">
        <v>24</v>
      </c>
      <c r="K1256" s="1" t="s">
        <v>25</v>
      </c>
      <c r="L1256" s="1" t="s">
        <v>1418</v>
      </c>
      <c r="M1256">
        <v>5</v>
      </c>
      <c r="N1256">
        <v>0.15</v>
      </c>
      <c r="O1256">
        <v>41.996499999999997</v>
      </c>
      <c r="P1256">
        <v>509.95749999999998</v>
      </c>
      <c r="Q1256">
        <v>467.96100000000001</v>
      </c>
    </row>
    <row r="1257" spans="1:17" x14ac:dyDescent="0.25">
      <c r="A1257" s="2">
        <v>42755</v>
      </c>
      <c r="B1257" s="2">
        <v>42756</v>
      </c>
      <c r="C1257" s="1" t="s">
        <v>107</v>
      </c>
      <c r="D1257" s="1" t="s">
        <v>1396</v>
      </c>
      <c r="E1257" s="1" t="s">
        <v>19</v>
      </c>
      <c r="F1257" s="1" t="s">
        <v>20</v>
      </c>
      <c r="G1257" s="1" t="s">
        <v>136</v>
      </c>
      <c r="H1257" s="1" t="s">
        <v>98</v>
      </c>
      <c r="I1257" s="1" t="s">
        <v>58</v>
      </c>
      <c r="J1257" s="1" t="s">
        <v>32</v>
      </c>
      <c r="K1257" s="1" t="s">
        <v>33</v>
      </c>
      <c r="L1257" s="1" t="s">
        <v>1450</v>
      </c>
      <c r="M1257">
        <v>5</v>
      </c>
      <c r="N1257">
        <v>0.2</v>
      </c>
      <c r="O1257">
        <v>4.1760000000000002</v>
      </c>
      <c r="P1257">
        <v>11.52</v>
      </c>
      <c r="Q1257">
        <v>7.3439999999999994</v>
      </c>
    </row>
    <row r="1258" spans="1:17" x14ac:dyDescent="0.25">
      <c r="A1258" s="2">
        <v>42110</v>
      </c>
      <c r="B1258" s="2">
        <v>42112</v>
      </c>
      <c r="C1258" s="1" t="s">
        <v>107</v>
      </c>
      <c r="D1258" s="1" t="s">
        <v>848</v>
      </c>
      <c r="E1258" s="1" t="s">
        <v>19</v>
      </c>
      <c r="F1258" s="1" t="s">
        <v>20</v>
      </c>
      <c r="G1258" s="1" t="s">
        <v>711</v>
      </c>
      <c r="H1258" s="1" t="s">
        <v>144</v>
      </c>
      <c r="I1258" s="1" t="s">
        <v>23</v>
      </c>
      <c r="J1258" s="1" t="s">
        <v>99</v>
      </c>
      <c r="K1258" s="1" t="s">
        <v>100</v>
      </c>
      <c r="L1258" s="1" t="s">
        <v>1949</v>
      </c>
      <c r="M1258">
        <v>2</v>
      </c>
      <c r="N1258">
        <v>0</v>
      </c>
      <c r="O1258">
        <v>148.10640000000001</v>
      </c>
      <c r="P1258">
        <v>569.64</v>
      </c>
      <c r="Q1258">
        <v>421.53359999999998</v>
      </c>
    </row>
    <row r="1259" spans="1:17" x14ac:dyDescent="0.25">
      <c r="A1259" s="2">
        <v>41897</v>
      </c>
      <c r="B1259" s="2">
        <v>41902</v>
      </c>
      <c r="C1259" s="1" t="s">
        <v>35</v>
      </c>
      <c r="D1259" s="1" t="s">
        <v>1009</v>
      </c>
      <c r="E1259" s="1" t="s">
        <v>19</v>
      </c>
      <c r="F1259" s="1" t="s">
        <v>20</v>
      </c>
      <c r="G1259" s="1" t="s">
        <v>126</v>
      </c>
      <c r="H1259" s="1" t="s">
        <v>127</v>
      </c>
      <c r="I1259" s="1" t="s">
        <v>81</v>
      </c>
      <c r="J1259" s="1" t="s">
        <v>32</v>
      </c>
      <c r="K1259" s="1" t="s">
        <v>47</v>
      </c>
      <c r="L1259" s="1" t="s">
        <v>92</v>
      </c>
      <c r="M1259">
        <v>3</v>
      </c>
      <c r="N1259">
        <v>0</v>
      </c>
      <c r="O1259">
        <v>7.0217999999999998</v>
      </c>
      <c r="P1259">
        <v>14.94</v>
      </c>
      <c r="Q1259">
        <v>7.9181999999999997</v>
      </c>
    </row>
    <row r="1260" spans="1:17" x14ac:dyDescent="0.25">
      <c r="A1260" s="2">
        <v>41645</v>
      </c>
      <c r="B1260" s="2">
        <v>41649</v>
      </c>
      <c r="C1260" s="1" t="s">
        <v>35</v>
      </c>
      <c r="D1260" s="1" t="s">
        <v>1566</v>
      </c>
      <c r="E1260" s="1" t="s">
        <v>55</v>
      </c>
      <c r="F1260" s="1" t="s">
        <v>20</v>
      </c>
      <c r="G1260" s="1" t="s">
        <v>21</v>
      </c>
      <c r="H1260" s="1" t="s">
        <v>22</v>
      </c>
      <c r="I1260" s="1" t="s">
        <v>23</v>
      </c>
      <c r="J1260" s="1" t="s">
        <v>24</v>
      </c>
      <c r="K1260" s="1" t="s">
        <v>82</v>
      </c>
      <c r="L1260" s="1" t="s">
        <v>222</v>
      </c>
      <c r="M1260">
        <v>9</v>
      </c>
      <c r="N1260">
        <v>0</v>
      </c>
      <c r="O1260">
        <v>746.40779999999995</v>
      </c>
      <c r="P1260">
        <v>2573.8200000000002</v>
      </c>
      <c r="Q1260">
        <v>1827.4122000000002</v>
      </c>
    </row>
    <row r="1261" spans="1:17" x14ac:dyDescent="0.25">
      <c r="A1261" s="2">
        <v>42989</v>
      </c>
      <c r="B1261" s="2">
        <v>42994</v>
      </c>
      <c r="C1261" s="1" t="s">
        <v>35</v>
      </c>
      <c r="D1261" s="1" t="s">
        <v>1822</v>
      </c>
      <c r="E1261" s="1" t="s">
        <v>19</v>
      </c>
      <c r="F1261" s="1" t="s">
        <v>20</v>
      </c>
      <c r="G1261" s="1" t="s">
        <v>91</v>
      </c>
      <c r="H1261" s="1" t="s">
        <v>57</v>
      </c>
      <c r="I1261" s="1" t="s">
        <v>58</v>
      </c>
      <c r="J1261" s="1" t="s">
        <v>32</v>
      </c>
      <c r="K1261" s="1" t="s">
        <v>47</v>
      </c>
      <c r="L1261" s="1" t="s">
        <v>1630</v>
      </c>
      <c r="M1261">
        <v>3</v>
      </c>
      <c r="N1261">
        <v>0.2</v>
      </c>
      <c r="O1261">
        <v>3.21</v>
      </c>
      <c r="P1261">
        <v>10.272</v>
      </c>
      <c r="Q1261">
        <v>7.0620000000000003</v>
      </c>
    </row>
    <row r="1262" spans="1:17" x14ac:dyDescent="0.25">
      <c r="A1262" s="2">
        <v>41769</v>
      </c>
      <c r="B1262" s="2">
        <v>41773</v>
      </c>
      <c r="C1262" s="1" t="s">
        <v>17</v>
      </c>
      <c r="D1262" s="1" t="s">
        <v>818</v>
      </c>
      <c r="E1262" s="1" t="s">
        <v>19</v>
      </c>
      <c r="F1262" s="1" t="s">
        <v>20</v>
      </c>
      <c r="G1262" s="1" t="s">
        <v>79</v>
      </c>
      <c r="H1262" s="1" t="s">
        <v>80</v>
      </c>
      <c r="I1262" s="1" t="s">
        <v>81</v>
      </c>
      <c r="J1262" s="1" t="s">
        <v>24</v>
      </c>
      <c r="K1262" s="1" t="s">
        <v>25</v>
      </c>
      <c r="L1262" s="1" t="s">
        <v>1826</v>
      </c>
      <c r="M1262">
        <v>7</v>
      </c>
      <c r="N1262">
        <v>0.5</v>
      </c>
      <c r="O1262">
        <v>-216.97829999999999</v>
      </c>
      <c r="P1262">
        <v>349.96499999999997</v>
      </c>
      <c r="Q1262">
        <v>566.94329999999991</v>
      </c>
    </row>
    <row r="1263" spans="1:17" x14ac:dyDescent="0.25">
      <c r="A1263" s="2">
        <v>42399</v>
      </c>
      <c r="B1263" s="2">
        <v>42401</v>
      </c>
      <c r="C1263" s="1" t="s">
        <v>17</v>
      </c>
      <c r="D1263" s="1" t="s">
        <v>1636</v>
      </c>
      <c r="E1263" s="1" t="s">
        <v>19</v>
      </c>
      <c r="F1263" s="1" t="s">
        <v>20</v>
      </c>
      <c r="G1263" s="1" t="s">
        <v>50</v>
      </c>
      <c r="H1263" s="1" t="s">
        <v>51</v>
      </c>
      <c r="I1263" s="1" t="s">
        <v>31</v>
      </c>
      <c r="J1263" s="1" t="s">
        <v>24</v>
      </c>
      <c r="K1263" s="1" t="s">
        <v>82</v>
      </c>
      <c r="L1263" s="1" t="s">
        <v>1950</v>
      </c>
      <c r="M1263">
        <v>4</v>
      </c>
      <c r="N1263">
        <v>0.2</v>
      </c>
      <c r="O1263">
        <v>-59.835599999999999</v>
      </c>
      <c r="P1263">
        <v>435.16800000000001</v>
      </c>
      <c r="Q1263">
        <v>495.00360000000001</v>
      </c>
    </row>
    <row r="1264" spans="1:17" x14ac:dyDescent="0.25">
      <c r="A1264" s="2">
        <v>41692</v>
      </c>
      <c r="B1264" s="2">
        <v>41694</v>
      </c>
      <c r="C1264" s="1" t="s">
        <v>107</v>
      </c>
      <c r="D1264" s="1" t="s">
        <v>548</v>
      </c>
      <c r="E1264" s="1" t="s">
        <v>19</v>
      </c>
      <c r="F1264" s="1" t="s">
        <v>20</v>
      </c>
      <c r="G1264" s="1" t="s">
        <v>1951</v>
      </c>
      <c r="H1264" s="1" t="s">
        <v>30</v>
      </c>
      <c r="I1264" s="1" t="s">
        <v>31</v>
      </c>
      <c r="J1264" s="1" t="s">
        <v>32</v>
      </c>
      <c r="K1264" s="1" t="s">
        <v>47</v>
      </c>
      <c r="L1264" s="1" t="s">
        <v>1952</v>
      </c>
      <c r="M1264">
        <v>3</v>
      </c>
      <c r="N1264">
        <v>0</v>
      </c>
      <c r="O1264">
        <v>9.3312000000000008</v>
      </c>
      <c r="P1264">
        <v>19.440000000000001</v>
      </c>
      <c r="Q1264">
        <v>10.1088</v>
      </c>
    </row>
    <row r="1265" spans="1:17" x14ac:dyDescent="0.25">
      <c r="A1265" s="2">
        <v>42004</v>
      </c>
      <c r="B1265" s="2">
        <v>42011</v>
      </c>
      <c r="C1265" s="1" t="s">
        <v>35</v>
      </c>
      <c r="D1265" s="1" t="s">
        <v>1132</v>
      </c>
      <c r="E1265" s="1" t="s">
        <v>55</v>
      </c>
      <c r="F1265" s="1" t="s">
        <v>20</v>
      </c>
      <c r="G1265" s="1" t="s">
        <v>1068</v>
      </c>
      <c r="H1265" s="1" t="s">
        <v>474</v>
      </c>
      <c r="I1265" s="1" t="s">
        <v>81</v>
      </c>
      <c r="J1265" s="1" t="s">
        <v>32</v>
      </c>
      <c r="K1265" s="1" t="s">
        <v>47</v>
      </c>
      <c r="L1265" s="1" t="s">
        <v>1803</v>
      </c>
      <c r="M1265">
        <v>4</v>
      </c>
      <c r="N1265">
        <v>0</v>
      </c>
      <c r="O1265">
        <v>91.950800000000001</v>
      </c>
      <c r="P1265">
        <v>195.64</v>
      </c>
      <c r="Q1265">
        <v>103.68919999999999</v>
      </c>
    </row>
    <row r="1266" spans="1:17" x14ac:dyDescent="0.25">
      <c r="A1266" s="2">
        <v>42122</v>
      </c>
      <c r="B1266" s="2">
        <v>42125</v>
      </c>
      <c r="C1266" s="1" t="s">
        <v>107</v>
      </c>
      <c r="D1266" s="1" t="s">
        <v>506</v>
      </c>
      <c r="E1266" s="1" t="s">
        <v>55</v>
      </c>
      <c r="F1266" s="1" t="s">
        <v>20</v>
      </c>
      <c r="G1266" s="1" t="s">
        <v>1726</v>
      </c>
      <c r="H1266" s="1" t="s">
        <v>115</v>
      </c>
      <c r="I1266" s="1" t="s">
        <v>58</v>
      </c>
      <c r="J1266" s="1" t="s">
        <v>32</v>
      </c>
      <c r="K1266" s="1" t="s">
        <v>59</v>
      </c>
      <c r="L1266" s="1" t="s">
        <v>1953</v>
      </c>
      <c r="M1266">
        <v>1</v>
      </c>
      <c r="N1266">
        <v>0.1</v>
      </c>
      <c r="O1266">
        <v>41.496000000000002</v>
      </c>
      <c r="P1266">
        <v>186.732</v>
      </c>
      <c r="Q1266">
        <v>145.23599999999999</v>
      </c>
    </row>
    <row r="1267" spans="1:17" x14ac:dyDescent="0.25">
      <c r="A1267" s="2">
        <v>42049</v>
      </c>
      <c r="B1267" s="2">
        <v>42056</v>
      </c>
      <c r="C1267" s="1" t="s">
        <v>35</v>
      </c>
      <c r="D1267" s="1" t="s">
        <v>258</v>
      </c>
      <c r="E1267" s="1" t="s">
        <v>19</v>
      </c>
      <c r="F1267" s="1" t="s">
        <v>20</v>
      </c>
      <c r="G1267" s="1" t="s">
        <v>172</v>
      </c>
      <c r="H1267" s="1" t="s">
        <v>127</v>
      </c>
      <c r="I1267" s="1" t="s">
        <v>81</v>
      </c>
      <c r="J1267" s="1" t="s">
        <v>32</v>
      </c>
      <c r="K1267" s="1" t="s">
        <v>52</v>
      </c>
      <c r="L1267" s="1" t="s">
        <v>1954</v>
      </c>
      <c r="M1267">
        <v>9</v>
      </c>
      <c r="N1267">
        <v>0.2</v>
      </c>
      <c r="O1267">
        <v>9.5786999999999995</v>
      </c>
      <c r="P1267">
        <v>26.423999999999999</v>
      </c>
      <c r="Q1267">
        <v>16.845300000000002</v>
      </c>
    </row>
    <row r="1268" spans="1:17" x14ac:dyDescent="0.25">
      <c r="A1268" s="2">
        <v>42010</v>
      </c>
      <c r="B1268" s="2">
        <v>42016</v>
      </c>
      <c r="C1268" s="1" t="s">
        <v>35</v>
      </c>
      <c r="D1268" s="1" t="s">
        <v>1037</v>
      </c>
      <c r="E1268" s="1" t="s">
        <v>28</v>
      </c>
      <c r="F1268" s="1" t="s">
        <v>20</v>
      </c>
      <c r="G1268" s="1" t="s">
        <v>1123</v>
      </c>
      <c r="H1268" s="1" t="s">
        <v>198</v>
      </c>
      <c r="I1268" s="1" t="s">
        <v>31</v>
      </c>
      <c r="J1268" s="1" t="s">
        <v>32</v>
      </c>
      <c r="K1268" s="1" t="s">
        <v>47</v>
      </c>
      <c r="L1268" s="1" t="s">
        <v>1955</v>
      </c>
      <c r="M1268">
        <v>5</v>
      </c>
      <c r="N1268">
        <v>0.2</v>
      </c>
      <c r="O1268">
        <v>9.25</v>
      </c>
      <c r="P1268">
        <v>29.6</v>
      </c>
      <c r="Q1268">
        <v>20.350000000000001</v>
      </c>
    </row>
    <row r="1269" spans="1:17" x14ac:dyDescent="0.25">
      <c r="A1269" s="2">
        <v>42173</v>
      </c>
      <c r="B1269" s="2">
        <v>42179</v>
      </c>
      <c r="C1269" s="1" t="s">
        <v>35</v>
      </c>
      <c r="D1269" s="1" t="s">
        <v>487</v>
      </c>
      <c r="E1269" s="1" t="s">
        <v>19</v>
      </c>
      <c r="F1269" s="1" t="s">
        <v>20</v>
      </c>
      <c r="G1269" s="1" t="s">
        <v>384</v>
      </c>
      <c r="H1269" s="1" t="s">
        <v>144</v>
      </c>
      <c r="I1269" s="1" t="s">
        <v>23</v>
      </c>
      <c r="J1269" s="1" t="s">
        <v>24</v>
      </c>
      <c r="K1269" s="1" t="s">
        <v>42</v>
      </c>
      <c r="L1269" s="1" t="s">
        <v>1956</v>
      </c>
      <c r="M1269">
        <v>3</v>
      </c>
      <c r="N1269">
        <v>0</v>
      </c>
      <c r="O1269">
        <v>19.468800000000002</v>
      </c>
      <c r="P1269">
        <v>60.84</v>
      </c>
      <c r="Q1269">
        <v>41.371200000000002</v>
      </c>
    </row>
    <row r="1270" spans="1:17" x14ac:dyDescent="0.25">
      <c r="A1270" s="2">
        <v>42038</v>
      </c>
      <c r="B1270" s="2">
        <v>42042</v>
      </c>
      <c r="C1270" s="1" t="s">
        <v>35</v>
      </c>
      <c r="D1270" s="1" t="s">
        <v>1272</v>
      </c>
      <c r="E1270" s="1" t="s">
        <v>19</v>
      </c>
      <c r="F1270" s="1" t="s">
        <v>20</v>
      </c>
      <c r="G1270" s="1" t="s">
        <v>213</v>
      </c>
      <c r="H1270" s="1" t="s">
        <v>429</v>
      </c>
      <c r="I1270" s="1" t="s">
        <v>23</v>
      </c>
      <c r="J1270" s="1" t="s">
        <v>32</v>
      </c>
      <c r="K1270" s="1" t="s">
        <v>94</v>
      </c>
      <c r="L1270" s="1" t="s">
        <v>263</v>
      </c>
      <c r="M1270">
        <v>9</v>
      </c>
      <c r="N1270">
        <v>0</v>
      </c>
      <c r="O1270">
        <v>35.0244</v>
      </c>
      <c r="P1270">
        <v>74.52</v>
      </c>
      <c r="Q1270">
        <v>39.495599999999996</v>
      </c>
    </row>
    <row r="1271" spans="1:17" x14ac:dyDescent="0.25">
      <c r="A1271" s="2">
        <v>42583</v>
      </c>
      <c r="B1271" s="2">
        <v>42583</v>
      </c>
      <c r="C1271" s="1" t="s">
        <v>434</v>
      </c>
      <c r="D1271" s="1" t="s">
        <v>389</v>
      </c>
      <c r="E1271" s="1" t="s">
        <v>28</v>
      </c>
      <c r="F1271" s="1" t="s">
        <v>20</v>
      </c>
      <c r="G1271" s="1" t="s">
        <v>882</v>
      </c>
      <c r="H1271" s="1" t="s">
        <v>30</v>
      </c>
      <c r="I1271" s="1" t="s">
        <v>31</v>
      </c>
      <c r="J1271" s="1" t="s">
        <v>99</v>
      </c>
      <c r="K1271" s="1" t="s">
        <v>100</v>
      </c>
      <c r="L1271" s="1" t="s">
        <v>1282</v>
      </c>
      <c r="M1271">
        <v>2</v>
      </c>
      <c r="N1271">
        <v>0.2</v>
      </c>
      <c r="O1271">
        <v>90.976200000000006</v>
      </c>
      <c r="P1271">
        <v>1039.7280000000001</v>
      </c>
      <c r="Q1271">
        <v>948.7518</v>
      </c>
    </row>
    <row r="1272" spans="1:17" x14ac:dyDescent="0.25">
      <c r="A1272" s="2">
        <v>42197</v>
      </c>
      <c r="B1272" s="2">
        <v>42203</v>
      </c>
      <c r="C1272" s="1" t="s">
        <v>35</v>
      </c>
      <c r="D1272" s="1" t="s">
        <v>1521</v>
      </c>
      <c r="E1272" s="1" t="s">
        <v>19</v>
      </c>
      <c r="F1272" s="1" t="s">
        <v>20</v>
      </c>
      <c r="G1272" s="1" t="s">
        <v>536</v>
      </c>
      <c r="H1272" s="1" t="s">
        <v>57</v>
      </c>
      <c r="I1272" s="1" t="s">
        <v>58</v>
      </c>
      <c r="J1272" s="1" t="s">
        <v>99</v>
      </c>
      <c r="K1272" s="1" t="s">
        <v>100</v>
      </c>
      <c r="L1272" s="1" t="s">
        <v>1957</v>
      </c>
      <c r="M1272">
        <v>4</v>
      </c>
      <c r="N1272">
        <v>0.2</v>
      </c>
      <c r="O1272">
        <v>30.716799999999999</v>
      </c>
      <c r="P1272">
        <v>307.16800000000001</v>
      </c>
      <c r="Q1272">
        <v>276.45120000000003</v>
      </c>
    </row>
    <row r="1273" spans="1:17" x14ac:dyDescent="0.25">
      <c r="A1273" s="2">
        <v>41722</v>
      </c>
      <c r="B1273" s="2">
        <v>41727</v>
      </c>
      <c r="C1273" s="1" t="s">
        <v>17</v>
      </c>
      <c r="D1273" s="1" t="s">
        <v>965</v>
      </c>
      <c r="E1273" s="1" t="s">
        <v>19</v>
      </c>
      <c r="F1273" s="1" t="s">
        <v>20</v>
      </c>
      <c r="G1273" s="1" t="s">
        <v>1047</v>
      </c>
      <c r="H1273" s="1" t="s">
        <v>30</v>
      </c>
      <c r="I1273" s="1" t="s">
        <v>31</v>
      </c>
      <c r="J1273" s="1" t="s">
        <v>24</v>
      </c>
      <c r="K1273" s="1" t="s">
        <v>42</v>
      </c>
      <c r="L1273" s="1" t="s">
        <v>1958</v>
      </c>
      <c r="M1273">
        <v>2</v>
      </c>
      <c r="N1273">
        <v>0</v>
      </c>
      <c r="O1273">
        <v>14.572800000000001</v>
      </c>
      <c r="P1273">
        <v>40.479999999999997</v>
      </c>
      <c r="Q1273">
        <v>25.907199999999996</v>
      </c>
    </row>
    <row r="1274" spans="1:17" x14ac:dyDescent="0.25">
      <c r="A1274" s="2">
        <v>42414</v>
      </c>
      <c r="B1274" s="2">
        <v>42415</v>
      </c>
      <c r="C1274" s="1" t="s">
        <v>107</v>
      </c>
      <c r="D1274" s="1" t="s">
        <v>216</v>
      </c>
      <c r="E1274" s="1" t="s">
        <v>19</v>
      </c>
      <c r="F1274" s="1" t="s">
        <v>20</v>
      </c>
      <c r="G1274" s="1" t="s">
        <v>1125</v>
      </c>
      <c r="H1274" s="1" t="s">
        <v>1024</v>
      </c>
      <c r="I1274" s="1" t="s">
        <v>81</v>
      </c>
      <c r="J1274" s="1" t="s">
        <v>32</v>
      </c>
      <c r="K1274" s="1" t="s">
        <v>47</v>
      </c>
      <c r="L1274" s="1" t="s">
        <v>1959</v>
      </c>
      <c r="M1274">
        <v>1</v>
      </c>
      <c r="N1274">
        <v>0</v>
      </c>
      <c r="O1274">
        <v>2.1465000000000001</v>
      </c>
      <c r="P1274">
        <v>4.7699999999999996</v>
      </c>
      <c r="Q1274">
        <v>2.6234999999999995</v>
      </c>
    </row>
    <row r="1275" spans="1:17" x14ac:dyDescent="0.25">
      <c r="A1275" s="2">
        <v>42028</v>
      </c>
      <c r="B1275" s="2">
        <v>42032</v>
      </c>
      <c r="C1275" s="1" t="s">
        <v>35</v>
      </c>
      <c r="D1275" s="1" t="s">
        <v>1960</v>
      </c>
      <c r="E1275" s="1" t="s">
        <v>55</v>
      </c>
      <c r="F1275" s="1" t="s">
        <v>20</v>
      </c>
      <c r="G1275" s="1" t="s">
        <v>1961</v>
      </c>
      <c r="H1275" s="1" t="s">
        <v>38</v>
      </c>
      <c r="I1275" s="1" t="s">
        <v>23</v>
      </c>
      <c r="J1275" s="1" t="s">
        <v>32</v>
      </c>
      <c r="K1275" s="1" t="s">
        <v>72</v>
      </c>
      <c r="L1275" s="1" t="s">
        <v>459</v>
      </c>
      <c r="M1275">
        <v>5</v>
      </c>
      <c r="N1275">
        <v>0.2</v>
      </c>
      <c r="O1275">
        <v>2.1320000000000001</v>
      </c>
      <c r="P1275">
        <v>13.12</v>
      </c>
      <c r="Q1275">
        <v>10.988</v>
      </c>
    </row>
    <row r="1276" spans="1:17" x14ac:dyDescent="0.25">
      <c r="A1276" s="2">
        <v>42427</v>
      </c>
      <c r="B1276" s="2">
        <v>42431</v>
      </c>
      <c r="C1276" s="1" t="s">
        <v>35</v>
      </c>
      <c r="D1276" s="1" t="s">
        <v>969</v>
      </c>
      <c r="E1276" s="1" t="s">
        <v>19</v>
      </c>
      <c r="F1276" s="1" t="s">
        <v>20</v>
      </c>
      <c r="G1276" s="1" t="s">
        <v>91</v>
      </c>
      <c r="H1276" s="1" t="s">
        <v>57</v>
      </c>
      <c r="I1276" s="1" t="s">
        <v>58</v>
      </c>
      <c r="J1276" s="1" t="s">
        <v>24</v>
      </c>
      <c r="K1276" s="1" t="s">
        <v>42</v>
      </c>
      <c r="L1276" s="1" t="s">
        <v>1962</v>
      </c>
      <c r="M1276">
        <v>2</v>
      </c>
      <c r="N1276">
        <v>0.6</v>
      </c>
      <c r="O1276">
        <v>-6.8815999999999997</v>
      </c>
      <c r="P1276">
        <v>16.192</v>
      </c>
      <c r="Q1276">
        <v>23.073599999999999</v>
      </c>
    </row>
    <row r="1277" spans="1:17" x14ac:dyDescent="0.25">
      <c r="A1277" s="2">
        <v>42598</v>
      </c>
      <c r="B1277" s="2">
        <v>42604</v>
      </c>
      <c r="C1277" s="1" t="s">
        <v>35</v>
      </c>
      <c r="D1277" s="1" t="s">
        <v>538</v>
      </c>
      <c r="E1277" s="1" t="s">
        <v>19</v>
      </c>
      <c r="F1277" s="1" t="s">
        <v>20</v>
      </c>
      <c r="G1277" s="1" t="s">
        <v>1963</v>
      </c>
      <c r="H1277" s="1" t="s">
        <v>30</v>
      </c>
      <c r="I1277" s="1" t="s">
        <v>31</v>
      </c>
      <c r="J1277" s="1" t="s">
        <v>32</v>
      </c>
      <c r="K1277" s="1" t="s">
        <v>47</v>
      </c>
      <c r="L1277" s="1" t="s">
        <v>1301</v>
      </c>
      <c r="M1277">
        <v>5</v>
      </c>
      <c r="N1277">
        <v>0</v>
      </c>
      <c r="O1277">
        <v>15.552</v>
      </c>
      <c r="P1277">
        <v>32.4</v>
      </c>
      <c r="Q1277">
        <v>16.847999999999999</v>
      </c>
    </row>
    <row r="1278" spans="1:17" x14ac:dyDescent="0.25">
      <c r="A1278" s="2">
        <v>42939</v>
      </c>
      <c r="B1278" s="2">
        <v>42946</v>
      </c>
      <c r="C1278" s="1" t="s">
        <v>35</v>
      </c>
      <c r="D1278" s="1" t="s">
        <v>397</v>
      </c>
      <c r="E1278" s="1" t="s">
        <v>55</v>
      </c>
      <c r="F1278" s="1" t="s">
        <v>20</v>
      </c>
      <c r="G1278" s="1" t="s">
        <v>126</v>
      </c>
      <c r="H1278" s="1" t="s">
        <v>127</v>
      </c>
      <c r="I1278" s="1" t="s">
        <v>81</v>
      </c>
      <c r="J1278" s="1" t="s">
        <v>32</v>
      </c>
      <c r="K1278" s="1" t="s">
        <v>52</v>
      </c>
      <c r="L1278" s="1" t="s">
        <v>437</v>
      </c>
      <c r="M1278">
        <v>3</v>
      </c>
      <c r="N1278">
        <v>0.2</v>
      </c>
      <c r="O1278">
        <v>4.3499999999999996</v>
      </c>
      <c r="P1278">
        <v>13.92</v>
      </c>
      <c r="Q1278">
        <v>9.57</v>
      </c>
    </row>
    <row r="1279" spans="1:17" x14ac:dyDescent="0.25">
      <c r="A1279" s="2">
        <v>42488</v>
      </c>
      <c r="B1279" s="2">
        <v>42490</v>
      </c>
      <c r="C1279" s="1" t="s">
        <v>17</v>
      </c>
      <c r="D1279" s="1" t="s">
        <v>700</v>
      </c>
      <c r="E1279" s="1" t="s">
        <v>19</v>
      </c>
      <c r="F1279" s="1" t="s">
        <v>20</v>
      </c>
      <c r="G1279" s="1" t="s">
        <v>1964</v>
      </c>
      <c r="H1279" s="1" t="s">
        <v>98</v>
      </c>
      <c r="I1279" s="1" t="s">
        <v>58</v>
      </c>
      <c r="J1279" s="1" t="s">
        <v>24</v>
      </c>
      <c r="K1279" s="1" t="s">
        <v>42</v>
      </c>
      <c r="L1279" s="1" t="s">
        <v>1154</v>
      </c>
      <c r="M1279">
        <v>2</v>
      </c>
      <c r="N1279">
        <v>0.6</v>
      </c>
      <c r="O1279">
        <v>-31.8612</v>
      </c>
      <c r="P1279">
        <v>30.344000000000001</v>
      </c>
      <c r="Q1279">
        <v>62.205200000000005</v>
      </c>
    </row>
    <row r="1280" spans="1:17" x14ac:dyDescent="0.25">
      <c r="A1280" s="2">
        <v>41763</v>
      </c>
      <c r="B1280" s="2">
        <v>41766</v>
      </c>
      <c r="C1280" s="1" t="s">
        <v>107</v>
      </c>
      <c r="D1280" s="1" t="s">
        <v>1741</v>
      </c>
      <c r="E1280" s="1" t="s">
        <v>28</v>
      </c>
      <c r="F1280" s="1" t="s">
        <v>20</v>
      </c>
      <c r="G1280" s="1" t="s">
        <v>50</v>
      </c>
      <c r="H1280" s="1" t="s">
        <v>51</v>
      </c>
      <c r="I1280" s="1" t="s">
        <v>31</v>
      </c>
      <c r="J1280" s="1" t="s">
        <v>24</v>
      </c>
      <c r="K1280" s="1" t="s">
        <v>42</v>
      </c>
      <c r="L1280" s="1" t="s">
        <v>1005</v>
      </c>
      <c r="M1280">
        <v>7</v>
      </c>
      <c r="N1280">
        <v>0</v>
      </c>
      <c r="O1280">
        <v>3.8976000000000002</v>
      </c>
      <c r="P1280">
        <v>12.18</v>
      </c>
      <c r="Q1280">
        <v>8.2823999999999991</v>
      </c>
    </row>
    <row r="1281" spans="1:17" x14ac:dyDescent="0.25">
      <c r="A1281" s="2">
        <v>41715</v>
      </c>
      <c r="B1281" s="2">
        <v>41718</v>
      </c>
      <c r="C1281" s="1" t="s">
        <v>17</v>
      </c>
      <c r="D1281" s="1" t="s">
        <v>1077</v>
      </c>
      <c r="E1281" s="1" t="s">
        <v>28</v>
      </c>
      <c r="F1281" s="1" t="s">
        <v>20</v>
      </c>
      <c r="G1281" s="1" t="s">
        <v>79</v>
      </c>
      <c r="H1281" s="1" t="s">
        <v>80</v>
      </c>
      <c r="I1281" s="1" t="s">
        <v>81</v>
      </c>
      <c r="J1281" s="1" t="s">
        <v>32</v>
      </c>
      <c r="K1281" s="1" t="s">
        <v>47</v>
      </c>
      <c r="L1281" s="1" t="s">
        <v>1965</v>
      </c>
      <c r="M1281">
        <v>6</v>
      </c>
      <c r="N1281">
        <v>0.2</v>
      </c>
      <c r="O1281">
        <v>41.152799999999999</v>
      </c>
      <c r="P1281">
        <v>126.624</v>
      </c>
      <c r="Q1281">
        <v>85.471199999999996</v>
      </c>
    </row>
    <row r="1282" spans="1:17" x14ac:dyDescent="0.25">
      <c r="A1282" s="2">
        <v>42376</v>
      </c>
      <c r="B1282" s="2">
        <v>42380</v>
      </c>
      <c r="C1282" s="1" t="s">
        <v>35</v>
      </c>
      <c r="D1282" s="1" t="s">
        <v>986</v>
      </c>
      <c r="E1282" s="1" t="s">
        <v>19</v>
      </c>
      <c r="F1282" s="1" t="s">
        <v>20</v>
      </c>
      <c r="G1282" s="1" t="s">
        <v>536</v>
      </c>
      <c r="H1282" s="1" t="s">
        <v>57</v>
      </c>
      <c r="I1282" s="1" t="s">
        <v>58</v>
      </c>
      <c r="J1282" s="1" t="s">
        <v>24</v>
      </c>
      <c r="K1282" s="1" t="s">
        <v>42</v>
      </c>
      <c r="L1282" s="1" t="s">
        <v>1966</v>
      </c>
      <c r="M1282">
        <v>3</v>
      </c>
      <c r="N1282">
        <v>0.6</v>
      </c>
      <c r="O1282">
        <v>-10.9611</v>
      </c>
      <c r="P1282">
        <v>23.076000000000001</v>
      </c>
      <c r="Q1282">
        <v>34.037100000000002</v>
      </c>
    </row>
    <row r="1283" spans="1:17" x14ac:dyDescent="0.25">
      <c r="A1283" s="2">
        <v>42223</v>
      </c>
      <c r="B1283" s="2">
        <v>42225</v>
      </c>
      <c r="C1283" s="1" t="s">
        <v>107</v>
      </c>
      <c r="D1283" s="1" t="s">
        <v>980</v>
      </c>
      <c r="E1283" s="1" t="s">
        <v>28</v>
      </c>
      <c r="F1283" s="1" t="s">
        <v>20</v>
      </c>
      <c r="G1283" s="1" t="s">
        <v>1257</v>
      </c>
      <c r="H1283" s="1" t="s">
        <v>1024</v>
      </c>
      <c r="I1283" s="1" t="s">
        <v>81</v>
      </c>
      <c r="J1283" s="1" t="s">
        <v>32</v>
      </c>
      <c r="K1283" s="1" t="s">
        <v>59</v>
      </c>
      <c r="L1283" s="1" t="s">
        <v>1761</v>
      </c>
      <c r="M1283">
        <v>9</v>
      </c>
      <c r="N1283">
        <v>0</v>
      </c>
      <c r="O1283">
        <v>20.1708</v>
      </c>
      <c r="P1283">
        <v>77.58</v>
      </c>
      <c r="Q1283">
        <v>57.409199999999998</v>
      </c>
    </row>
    <row r="1284" spans="1:17" x14ac:dyDescent="0.25">
      <c r="A1284" s="2">
        <v>42348</v>
      </c>
      <c r="B1284" s="2">
        <v>42352</v>
      </c>
      <c r="C1284" s="1" t="s">
        <v>35</v>
      </c>
      <c r="D1284" s="1" t="s">
        <v>1967</v>
      </c>
      <c r="E1284" s="1" t="s">
        <v>19</v>
      </c>
      <c r="F1284" s="1" t="s">
        <v>20</v>
      </c>
      <c r="G1284" s="1" t="s">
        <v>71</v>
      </c>
      <c r="H1284" s="1" t="s">
        <v>30</v>
      </c>
      <c r="I1284" s="1" t="s">
        <v>31</v>
      </c>
      <c r="J1284" s="1" t="s">
        <v>32</v>
      </c>
      <c r="K1284" s="1" t="s">
        <v>33</v>
      </c>
      <c r="L1284" s="1" t="s">
        <v>1450</v>
      </c>
      <c r="M1284">
        <v>2</v>
      </c>
      <c r="N1284">
        <v>0</v>
      </c>
      <c r="O1284">
        <v>2.8224</v>
      </c>
      <c r="P1284">
        <v>5.76</v>
      </c>
      <c r="Q1284">
        <v>2.9375999999999998</v>
      </c>
    </row>
    <row r="1285" spans="1:17" x14ac:dyDescent="0.25">
      <c r="A1285" s="2">
        <v>41840</v>
      </c>
      <c r="B1285" s="2">
        <v>41843</v>
      </c>
      <c r="C1285" s="1" t="s">
        <v>107</v>
      </c>
      <c r="D1285" s="1" t="s">
        <v>231</v>
      </c>
      <c r="E1285" s="1" t="s">
        <v>28</v>
      </c>
      <c r="F1285" s="1" t="s">
        <v>20</v>
      </c>
      <c r="G1285" s="1" t="s">
        <v>882</v>
      </c>
      <c r="H1285" s="1" t="s">
        <v>30</v>
      </c>
      <c r="I1285" s="1" t="s">
        <v>31</v>
      </c>
      <c r="J1285" s="1" t="s">
        <v>99</v>
      </c>
      <c r="K1285" s="1" t="s">
        <v>111</v>
      </c>
      <c r="L1285" s="1" t="s">
        <v>1968</v>
      </c>
      <c r="M1285">
        <v>2</v>
      </c>
      <c r="N1285">
        <v>0</v>
      </c>
      <c r="O1285">
        <v>15.0984</v>
      </c>
      <c r="P1285">
        <v>41.94</v>
      </c>
      <c r="Q1285">
        <v>26.8416</v>
      </c>
    </row>
    <row r="1286" spans="1:17" x14ac:dyDescent="0.25">
      <c r="A1286" s="2">
        <v>41665</v>
      </c>
      <c r="B1286" s="2">
        <v>41668</v>
      </c>
      <c r="C1286" s="1" t="s">
        <v>107</v>
      </c>
      <c r="D1286" s="1" t="s">
        <v>1969</v>
      </c>
      <c r="E1286" s="1" t="s">
        <v>28</v>
      </c>
      <c r="F1286" s="1" t="s">
        <v>20</v>
      </c>
      <c r="G1286" s="1" t="s">
        <v>1970</v>
      </c>
      <c r="H1286" s="1" t="s">
        <v>1551</v>
      </c>
      <c r="I1286" s="1" t="s">
        <v>58</v>
      </c>
      <c r="J1286" s="1" t="s">
        <v>32</v>
      </c>
      <c r="K1286" s="1" t="s">
        <v>52</v>
      </c>
      <c r="L1286" s="1" t="s">
        <v>1971</v>
      </c>
      <c r="M1286">
        <v>2</v>
      </c>
      <c r="N1286">
        <v>0</v>
      </c>
      <c r="O1286">
        <v>5.0195999999999996</v>
      </c>
      <c r="P1286">
        <v>10.68</v>
      </c>
      <c r="Q1286">
        <v>5.6604000000000001</v>
      </c>
    </row>
    <row r="1287" spans="1:17" x14ac:dyDescent="0.25">
      <c r="A1287" s="2">
        <v>42414</v>
      </c>
      <c r="B1287" s="2">
        <v>42419</v>
      </c>
      <c r="C1287" s="1" t="s">
        <v>35</v>
      </c>
      <c r="D1287" s="1" t="s">
        <v>1521</v>
      </c>
      <c r="E1287" s="1" t="s">
        <v>19</v>
      </c>
      <c r="F1287" s="1" t="s">
        <v>20</v>
      </c>
      <c r="G1287" s="1" t="s">
        <v>148</v>
      </c>
      <c r="H1287" s="1" t="s">
        <v>502</v>
      </c>
      <c r="I1287" s="1" t="s">
        <v>23</v>
      </c>
      <c r="J1287" s="1" t="s">
        <v>32</v>
      </c>
      <c r="K1287" s="1" t="s">
        <v>72</v>
      </c>
      <c r="L1287" s="1" t="s">
        <v>1972</v>
      </c>
      <c r="M1287">
        <v>7</v>
      </c>
      <c r="N1287">
        <v>0</v>
      </c>
      <c r="O1287">
        <v>68.686800000000005</v>
      </c>
      <c r="P1287">
        <v>264.18</v>
      </c>
      <c r="Q1287">
        <v>195.4932</v>
      </c>
    </row>
    <row r="1288" spans="1:17" x14ac:dyDescent="0.25">
      <c r="A1288" s="2">
        <v>41829</v>
      </c>
      <c r="B1288" s="2">
        <v>41833</v>
      </c>
      <c r="C1288" s="1" t="s">
        <v>35</v>
      </c>
      <c r="D1288" s="1" t="s">
        <v>1909</v>
      </c>
      <c r="E1288" s="1" t="s">
        <v>55</v>
      </c>
      <c r="F1288" s="1" t="s">
        <v>20</v>
      </c>
      <c r="G1288" s="1" t="s">
        <v>29</v>
      </c>
      <c r="H1288" s="1" t="s">
        <v>30</v>
      </c>
      <c r="I1288" s="1" t="s">
        <v>31</v>
      </c>
      <c r="J1288" s="1" t="s">
        <v>32</v>
      </c>
      <c r="K1288" s="1" t="s">
        <v>33</v>
      </c>
      <c r="L1288" s="1" t="s">
        <v>1973</v>
      </c>
      <c r="M1288">
        <v>1</v>
      </c>
      <c r="N1288">
        <v>0</v>
      </c>
      <c r="O1288">
        <v>1.4112</v>
      </c>
      <c r="P1288">
        <v>2.88</v>
      </c>
      <c r="Q1288">
        <v>1.4687999999999999</v>
      </c>
    </row>
    <row r="1289" spans="1:17" x14ac:dyDescent="0.25">
      <c r="A1289" s="2">
        <v>42279</v>
      </c>
      <c r="B1289" s="2">
        <v>42282</v>
      </c>
      <c r="C1289" s="1" t="s">
        <v>17</v>
      </c>
      <c r="D1289" s="1" t="s">
        <v>1196</v>
      </c>
      <c r="E1289" s="1" t="s">
        <v>19</v>
      </c>
      <c r="F1289" s="1" t="s">
        <v>20</v>
      </c>
      <c r="G1289" s="1" t="s">
        <v>1023</v>
      </c>
      <c r="H1289" s="1" t="s">
        <v>1024</v>
      </c>
      <c r="I1289" s="1" t="s">
        <v>81</v>
      </c>
      <c r="J1289" s="1" t="s">
        <v>32</v>
      </c>
      <c r="K1289" s="1" t="s">
        <v>47</v>
      </c>
      <c r="L1289" s="1" t="s">
        <v>1974</v>
      </c>
      <c r="M1289">
        <v>3</v>
      </c>
      <c r="N1289">
        <v>0</v>
      </c>
      <c r="O1289">
        <v>9.3312000000000008</v>
      </c>
      <c r="P1289">
        <v>19.440000000000001</v>
      </c>
      <c r="Q1289">
        <v>10.1088</v>
      </c>
    </row>
    <row r="1290" spans="1:17" x14ac:dyDescent="0.25">
      <c r="A1290" s="2">
        <v>41915</v>
      </c>
      <c r="B1290" s="2">
        <v>41919</v>
      </c>
      <c r="C1290" s="1" t="s">
        <v>35</v>
      </c>
      <c r="D1290" s="1" t="s">
        <v>1650</v>
      </c>
      <c r="E1290" s="1" t="s">
        <v>19</v>
      </c>
      <c r="F1290" s="1" t="s">
        <v>20</v>
      </c>
      <c r="G1290" s="1" t="s">
        <v>309</v>
      </c>
      <c r="H1290" s="1" t="s">
        <v>57</v>
      </c>
      <c r="I1290" s="1" t="s">
        <v>58</v>
      </c>
      <c r="J1290" s="1" t="s">
        <v>32</v>
      </c>
      <c r="K1290" s="1" t="s">
        <v>128</v>
      </c>
      <c r="L1290" s="1" t="s">
        <v>1853</v>
      </c>
      <c r="M1290">
        <v>3</v>
      </c>
      <c r="N1290">
        <v>0.2</v>
      </c>
      <c r="O1290">
        <v>0.86880000000000002</v>
      </c>
      <c r="P1290">
        <v>4.3440000000000003</v>
      </c>
      <c r="Q1290">
        <v>3.4752000000000001</v>
      </c>
    </row>
    <row r="1291" spans="1:17" x14ac:dyDescent="0.25">
      <c r="A1291" s="2">
        <v>42421</v>
      </c>
      <c r="B1291" s="2">
        <v>42425</v>
      </c>
      <c r="C1291" s="1" t="s">
        <v>35</v>
      </c>
      <c r="D1291" s="1" t="s">
        <v>1975</v>
      </c>
      <c r="E1291" s="1" t="s">
        <v>55</v>
      </c>
      <c r="F1291" s="1" t="s">
        <v>20</v>
      </c>
      <c r="G1291" s="1" t="s">
        <v>336</v>
      </c>
      <c r="H1291" s="1" t="s">
        <v>38</v>
      </c>
      <c r="I1291" s="1" t="s">
        <v>23</v>
      </c>
      <c r="J1291" s="1" t="s">
        <v>32</v>
      </c>
      <c r="K1291" s="1" t="s">
        <v>52</v>
      </c>
      <c r="L1291" s="1" t="s">
        <v>966</v>
      </c>
      <c r="M1291">
        <v>3</v>
      </c>
      <c r="N1291">
        <v>0.7</v>
      </c>
      <c r="O1291">
        <v>-2.7587999999999999</v>
      </c>
      <c r="P1291">
        <v>3.762</v>
      </c>
      <c r="Q1291">
        <v>6.5207999999999995</v>
      </c>
    </row>
    <row r="1292" spans="1:17" x14ac:dyDescent="0.25">
      <c r="A1292" s="2">
        <v>41709</v>
      </c>
      <c r="B1292" s="2">
        <v>41713</v>
      </c>
      <c r="C1292" s="1" t="s">
        <v>35</v>
      </c>
      <c r="D1292" s="1" t="s">
        <v>1483</v>
      </c>
      <c r="E1292" s="1" t="s">
        <v>19</v>
      </c>
      <c r="F1292" s="1" t="s">
        <v>20</v>
      </c>
      <c r="G1292" s="1" t="s">
        <v>229</v>
      </c>
      <c r="H1292" s="1" t="s">
        <v>30</v>
      </c>
      <c r="I1292" s="1" t="s">
        <v>31</v>
      </c>
      <c r="J1292" s="1" t="s">
        <v>32</v>
      </c>
      <c r="K1292" s="1" t="s">
        <v>72</v>
      </c>
      <c r="L1292" s="1" t="s">
        <v>1976</v>
      </c>
      <c r="M1292">
        <v>3</v>
      </c>
      <c r="N1292">
        <v>0</v>
      </c>
      <c r="O1292">
        <v>2.0748000000000002</v>
      </c>
      <c r="P1292">
        <v>7.98</v>
      </c>
      <c r="Q1292">
        <v>5.9052000000000007</v>
      </c>
    </row>
    <row r="1293" spans="1:17" x14ac:dyDescent="0.25">
      <c r="A1293" s="2">
        <v>42114</v>
      </c>
      <c r="B1293" s="2">
        <v>42118</v>
      </c>
      <c r="C1293" s="1" t="s">
        <v>35</v>
      </c>
      <c r="D1293" s="1" t="s">
        <v>852</v>
      </c>
      <c r="E1293" s="1" t="s">
        <v>19</v>
      </c>
      <c r="F1293" s="1" t="s">
        <v>20</v>
      </c>
      <c r="G1293" s="1" t="s">
        <v>330</v>
      </c>
      <c r="H1293" s="1" t="s">
        <v>115</v>
      </c>
      <c r="I1293" s="1" t="s">
        <v>58</v>
      </c>
      <c r="J1293" s="1" t="s">
        <v>32</v>
      </c>
      <c r="K1293" s="1" t="s">
        <v>94</v>
      </c>
      <c r="L1293" s="1" t="s">
        <v>1501</v>
      </c>
      <c r="M1293">
        <v>2</v>
      </c>
      <c r="N1293">
        <v>0</v>
      </c>
      <c r="O1293">
        <v>81.432000000000002</v>
      </c>
      <c r="P1293">
        <v>180.96</v>
      </c>
      <c r="Q1293">
        <v>99.528000000000006</v>
      </c>
    </row>
    <row r="1294" spans="1:17" x14ac:dyDescent="0.25">
      <c r="A1294" s="2">
        <v>42836</v>
      </c>
      <c r="B1294" s="2">
        <v>42841</v>
      </c>
      <c r="C1294" s="1" t="s">
        <v>35</v>
      </c>
      <c r="D1294" s="1" t="s">
        <v>146</v>
      </c>
      <c r="E1294" s="1" t="s">
        <v>19</v>
      </c>
      <c r="F1294" s="1" t="s">
        <v>20</v>
      </c>
      <c r="G1294" s="1" t="s">
        <v>706</v>
      </c>
      <c r="H1294" s="1" t="s">
        <v>46</v>
      </c>
      <c r="I1294" s="1" t="s">
        <v>23</v>
      </c>
      <c r="J1294" s="1" t="s">
        <v>32</v>
      </c>
      <c r="K1294" s="1" t="s">
        <v>72</v>
      </c>
      <c r="L1294" s="1" t="s">
        <v>1977</v>
      </c>
      <c r="M1294">
        <v>1</v>
      </c>
      <c r="N1294">
        <v>0.2</v>
      </c>
      <c r="O1294">
        <v>0.15329999999999999</v>
      </c>
      <c r="P1294">
        <v>1.752</v>
      </c>
      <c r="Q1294">
        <v>1.5987</v>
      </c>
    </row>
    <row r="1295" spans="1:17" x14ac:dyDescent="0.25">
      <c r="A1295" s="2">
        <v>41820</v>
      </c>
      <c r="B1295" s="2">
        <v>41820</v>
      </c>
      <c r="C1295" s="1" t="s">
        <v>434</v>
      </c>
      <c r="D1295" s="1" t="s">
        <v>1539</v>
      </c>
      <c r="E1295" s="1" t="s">
        <v>19</v>
      </c>
      <c r="F1295" s="1" t="s">
        <v>20</v>
      </c>
      <c r="G1295" s="1" t="s">
        <v>483</v>
      </c>
      <c r="H1295" s="1" t="s">
        <v>46</v>
      </c>
      <c r="I1295" s="1" t="s">
        <v>23</v>
      </c>
      <c r="J1295" s="1" t="s">
        <v>32</v>
      </c>
      <c r="K1295" s="1" t="s">
        <v>47</v>
      </c>
      <c r="L1295" s="1" t="s">
        <v>1978</v>
      </c>
      <c r="M1295">
        <v>7</v>
      </c>
      <c r="N1295">
        <v>0.2</v>
      </c>
      <c r="O1295">
        <v>108.74079999999999</v>
      </c>
      <c r="P1295">
        <v>310.68799999999999</v>
      </c>
      <c r="Q1295">
        <v>201.94720000000001</v>
      </c>
    </row>
    <row r="1296" spans="1:17" x14ac:dyDescent="0.25">
      <c r="A1296" s="2">
        <v>42777</v>
      </c>
      <c r="B1296" s="2">
        <v>42781</v>
      </c>
      <c r="C1296" s="1" t="s">
        <v>35</v>
      </c>
      <c r="D1296" s="1" t="s">
        <v>405</v>
      </c>
      <c r="E1296" s="1" t="s">
        <v>28</v>
      </c>
      <c r="F1296" s="1" t="s">
        <v>20</v>
      </c>
      <c r="G1296" s="1" t="s">
        <v>126</v>
      </c>
      <c r="H1296" s="1" t="s">
        <v>127</v>
      </c>
      <c r="I1296" s="1" t="s">
        <v>81</v>
      </c>
      <c r="J1296" s="1" t="s">
        <v>32</v>
      </c>
      <c r="K1296" s="1" t="s">
        <v>33</v>
      </c>
      <c r="L1296" s="1" t="s">
        <v>624</v>
      </c>
      <c r="M1296">
        <v>2</v>
      </c>
      <c r="N1296">
        <v>0</v>
      </c>
      <c r="O1296">
        <v>9.9359999999999999</v>
      </c>
      <c r="P1296">
        <v>20.7</v>
      </c>
      <c r="Q1296">
        <v>10.763999999999999</v>
      </c>
    </row>
    <row r="1297" spans="1:17" x14ac:dyDescent="0.25">
      <c r="A1297" s="2">
        <v>42064</v>
      </c>
      <c r="B1297" s="2">
        <v>42066</v>
      </c>
      <c r="C1297" s="1" t="s">
        <v>17</v>
      </c>
      <c r="D1297" s="1" t="s">
        <v>1669</v>
      </c>
      <c r="E1297" s="1" t="s">
        <v>28</v>
      </c>
      <c r="F1297" s="1" t="s">
        <v>20</v>
      </c>
      <c r="G1297" s="1" t="s">
        <v>29</v>
      </c>
      <c r="H1297" s="1" t="s">
        <v>30</v>
      </c>
      <c r="I1297" s="1" t="s">
        <v>31</v>
      </c>
      <c r="J1297" s="1" t="s">
        <v>99</v>
      </c>
      <c r="K1297" s="1" t="s">
        <v>100</v>
      </c>
      <c r="L1297" s="1" t="s">
        <v>552</v>
      </c>
      <c r="M1297">
        <v>2</v>
      </c>
      <c r="N1297">
        <v>0.2</v>
      </c>
      <c r="O1297">
        <v>1.1988000000000001</v>
      </c>
      <c r="P1297">
        <v>15.984</v>
      </c>
      <c r="Q1297">
        <v>14.7852</v>
      </c>
    </row>
    <row r="1298" spans="1:17" x14ac:dyDescent="0.25">
      <c r="A1298" s="2">
        <v>42726</v>
      </c>
      <c r="B1298" s="2">
        <v>42730</v>
      </c>
      <c r="C1298" s="1" t="s">
        <v>35</v>
      </c>
      <c r="D1298" s="1" t="s">
        <v>228</v>
      </c>
      <c r="E1298" s="1" t="s">
        <v>19</v>
      </c>
      <c r="F1298" s="1" t="s">
        <v>20</v>
      </c>
      <c r="G1298" s="1" t="s">
        <v>126</v>
      </c>
      <c r="H1298" s="1" t="s">
        <v>127</v>
      </c>
      <c r="I1298" s="1" t="s">
        <v>81</v>
      </c>
      <c r="J1298" s="1" t="s">
        <v>32</v>
      </c>
      <c r="K1298" s="1" t="s">
        <v>52</v>
      </c>
      <c r="L1298" s="1" t="s">
        <v>1979</v>
      </c>
      <c r="M1298">
        <v>2</v>
      </c>
      <c r="N1298">
        <v>0.2</v>
      </c>
      <c r="O1298">
        <v>8.9543999999999997</v>
      </c>
      <c r="P1298">
        <v>25.584</v>
      </c>
      <c r="Q1298">
        <v>16.6296</v>
      </c>
    </row>
    <row r="1299" spans="1:17" x14ac:dyDescent="0.25">
      <c r="A1299" s="2">
        <v>42202</v>
      </c>
      <c r="B1299" s="2">
        <v>42209</v>
      </c>
      <c r="C1299" s="1" t="s">
        <v>35</v>
      </c>
      <c r="D1299" s="1" t="s">
        <v>428</v>
      </c>
      <c r="E1299" s="1" t="s">
        <v>28</v>
      </c>
      <c r="F1299" s="1" t="s">
        <v>20</v>
      </c>
      <c r="G1299" s="1" t="s">
        <v>91</v>
      </c>
      <c r="H1299" s="1" t="s">
        <v>57</v>
      </c>
      <c r="I1299" s="1" t="s">
        <v>58</v>
      </c>
      <c r="J1299" s="1" t="s">
        <v>32</v>
      </c>
      <c r="K1299" s="1" t="s">
        <v>33</v>
      </c>
      <c r="L1299" s="1" t="s">
        <v>1921</v>
      </c>
      <c r="M1299">
        <v>3</v>
      </c>
      <c r="N1299">
        <v>0.2</v>
      </c>
      <c r="O1299">
        <v>2.0358000000000001</v>
      </c>
      <c r="P1299">
        <v>6.2640000000000002</v>
      </c>
      <c r="Q1299">
        <v>4.2282000000000002</v>
      </c>
    </row>
    <row r="1300" spans="1:17" x14ac:dyDescent="0.25">
      <c r="A1300" s="2">
        <v>41789</v>
      </c>
      <c r="B1300" s="2">
        <v>41793</v>
      </c>
      <c r="C1300" s="1" t="s">
        <v>35</v>
      </c>
      <c r="D1300" s="1" t="s">
        <v>1147</v>
      </c>
      <c r="E1300" s="1" t="s">
        <v>28</v>
      </c>
      <c r="F1300" s="1" t="s">
        <v>20</v>
      </c>
      <c r="G1300" s="1" t="s">
        <v>136</v>
      </c>
      <c r="H1300" s="1" t="s">
        <v>98</v>
      </c>
      <c r="I1300" s="1" t="s">
        <v>58</v>
      </c>
      <c r="J1300" s="1" t="s">
        <v>99</v>
      </c>
      <c r="K1300" s="1" t="s">
        <v>573</v>
      </c>
      <c r="L1300" s="1" t="s">
        <v>1980</v>
      </c>
      <c r="M1300">
        <v>3</v>
      </c>
      <c r="N1300">
        <v>0.2</v>
      </c>
      <c r="O1300">
        <v>134.99549999999999</v>
      </c>
      <c r="P1300">
        <v>719.976</v>
      </c>
      <c r="Q1300">
        <v>584.98050000000001</v>
      </c>
    </row>
    <row r="1301" spans="1:17" x14ac:dyDescent="0.25">
      <c r="A1301" s="2">
        <v>42139</v>
      </c>
      <c r="B1301" s="2">
        <v>42146</v>
      </c>
      <c r="C1301" s="1" t="s">
        <v>35</v>
      </c>
      <c r="D1301" s="1" t="s">
        <v>1981</v>
      </c>
      <c r="E1301" s="1" t="s">
        <v>28</v>
      </c>
      <c r="F1301" s="1" t="s">
        <v>20</v>
      </c>
      <c r="G1301" s="1" t="s">
        <v>79</v>
      </c>
      <c r="H1301" s="1" t="s">
        <v>80</v>
      </c>
      <c r="I1301" s="1" t="s">
        <v>81</v>
      </c>
      <c r="J1301" s="1" t="s">
        <v>32</v>
      </c>
      <c r="K1301" s="1" t="s">
        <v>64</v>
      </c>
      <c r="L1301" s="1" t="s">
        <v>1982</v>
      </c>
      <c r="M1301">
        <v>2</v>
      </c>
      <c r="N1301">
        <v>0.2</v>
      </c>
      <c r="O1301">
        <v>-10.393599999999999</v>
      </c>
      <c r="P1301">
        <v>51.968000000000004</v>
      </c>
      <c r="Q1301">
        <v>62.361600000000003</v>
      </c>
    </row>
    <row r="1302" spans="1:17" x14ac:dyDescent="0.25">
      <c r="A1302" s="2">
        <v>42824</v>
      </c>
      <c r="B1302" s="2">
        <v>42826</v>
      </c>
      <c r="C1302" s="1" t="s">
        <v>17</v>
      </c>
      <c r="D1302" s="1" t="s">
        <v>713</v>
      </c>
      <c r="E1302" s="1" t="s">
        <v>19</v>
      </c>
      <c r="F1302" s="1" t="s">
        <v>20</v>
      </c>
      <c r="G1302" s="1" t="s">
        <v>1742</v>
      </c>
      <c r="H1302" s="1" t="s">
        <v>30</v>
      </c>
      <c r="I1302" s="1" t="s">
        <v>31</v>
      </c>
      <c r="J1302" s="1" t="s">
        <v>24</v>
      </c>
      <c r="K1302" s="1" t="s">
        <v>42</v>
      </c>
      <c r="L1302" s="1" t="s">
        <v>1379</v>
      </c>
      <c r="M1302">
        <v>5</v>
      </c>
      <c r="N1302">
        <v>0</v>
      </c>
      <c r="O1302">
        <v>39.564</v>
      </c>
      <c r="P1302">
        <v>94.2</v>
      </c>
      <c r="Q1302">
        <v>54.636000000000003</v>
      </c>
    </row>
    <row r="1303" spans="1:17" x14ac:dyDescent="0.25">
      <c r="A1303" s="2">
        <v>41874</v>
      </c>
      <c r="B1303" s="2">
        <v>41879</v>
      </c>
      <c r="C1303" s="1" t="s">
        <v>17</v>
      </c>
      <c r="D1303" s="1" t="s">
        <v>1983</v>
      </c>
      <c r="E1303" s="1" t="s">
        <v>55</v>
      </c>
      <c r="F1303" s="1" t="s">
        <v>20</v>
      </c>
      <c r="G1303" s="1" t="s">
        <v>1610</v>
      </c>
      <c r="H1303" s="1" t="s">
        <v>115</v>
      </c>
      <c r="I1303" s="1" t="s">
        <v>58</v>
      </c>
      <c r="J1303" s="1" t="s">
        <v>32</v>
      </c>
      <c r="K1303" s="1" t="s">
        <v>47</v>
      </c>
      <c r="L1303" s="1" t="s">
        <v>682</v>
      </c>
      <c r="M1303">
        <v>3</v>
      </c>
      <c r="N1303">
        <v>0</v>
      </c>
      <c r="O1303">
        <v>9.5256000000000007</v>
      </c>
      <c r="P1303">
        <v>19.440000000000001</v>
      </c>
      <c r="Q1303">
        <v>9.9144000000000005</v>
      </c>
    </row>
    <row r="1304" spans="1:17" x14ac:dyDescent="0.25">
      <c r="A1304" s="2">
        <v>42927</v>
      </c>
      <c r="B1304" s="2">
        <v>42932</v>
      </c>
      <c r="C1304" s="1" t="s">
        <v>35</v>
      </c>
      <c r="D1304" s="1" t="s">
        <v>1984</v>
      </c>
      <c r="E1304" s="1" t="s">
        <v>28</v>
      </c>
      <c r="F1304" s="1" t="s">
        <v>20</v>
      </c>
      <c r="G1304" s="1" t="s">
        <v>345</v>
      </c>
      <c r="H1304" s="1" t="s">
        <v>30</v>
      </c>
      <c r="I1304" s="1" t="s">
        <v>31</v>
      </c>
      <c r="J1304" s="1" t="s">
        <v>99</v>
      </c>
      <c r="K1304" s="1" t="s">
        <v>100</v>
      </c>
      <c r="L1304" s="1" t="s">
        <v>753</v>
      </c>
      <c r="M1304">
        <v>6</v>
      </c>
      <c r="N1304">
        <v>0.2</v>
      </c>
      <c r="O1304">
        <v>5.3963999999999999</v>
      </c>
      <c r="P1304">
        <v>71.951999999999998</v>
      </c>
      <c r="Q1304">
        <v>66.555599999999998</v>
      </c>
    </row>
    <row r="1305" spans="1:17" x14ac:dyDescent="0.25">
      <c r="A1305" s="2">
        <v>41677</v>
      </c>
      <c r="B1305" s="2">
        <v>41680</v>
      </c>
      <c r="C1305" s="1" t="s">
        <v>17</v>
      </c>
      <c r="D1305" s="1" t="s">
        <v>767</v>
      </c>
      <c r="E1305" s="1" t="s">
        <v>28</v>
      </c>
      <c r="F1305" s="1" t="s">
        <v>20</v>
      </c>
      <c r="G1305" s="1" t="s">
        <v>126</v>
      </c>
      <c r="H1305" s="1" t="s">
        <v>127</v>
      </c>
      <c r="I1305" s="1" t="s">
        <v>81</v>
      </c>
      <c r="J1305" s="1" t="s">
        <v>32</v>
      </c>
      <c r="K1305" s="1" t="s">
        <v>64</v>
      </c>
      <c r="L1305" s="1" t="s">
        <v>1985</v>
      </c>
      <c r="M1305">
        <v>4</v>
      </c>
      <c r="N1305">
        <v>0</v>
      </c>
      <c r="O1305">
        <v>9.7439999999999998</v>
      </c>
      <c r="P1305">
        <v>64.959999999999994</v>
      </c>
      <c r="Q1305">
        <v>55.215999999999994</v>
      </c>
    </row>
    <row r="1306" spans="1:17" x14ac:dyDescent="0.25">
      <c r="A1306" s="2">
        <v>42400</v>
      </c>
      <c r="B1306" s="2">
        <v>42406</v>
      </c>
      <c r="C1306" s="1" t="s">
        <v>35</v>
      </c>
      <c r="D1306" s="1" t="s">
        <v>1038</v>
      </c>
      <c r="E1306" s="1" t="s">
        <v>55</v>
      </c>
      <c r="F1306" s="1" t="s">
        <v>20</v>
      </c>
      <c r="G1306" s="1" t="s">
        <v>564</v>
      </c>
      <c r="H1306" s="1" t="s">
        <v>429</v>
      </c>
      <c r="I1306" s="1" t="s">
        <v>23</v>
      </c>
      <c r="J1306" s="1" t="s">
        <v>32</v>
      </c>
      <c r="K1306" s="1" t="s">
        <v>52</v>
      </c>
      <c r="L1306" s="1" t="s">
        <v>1941</v>
      </c>
      <c r="M1306">
        <v>1</v>
      </c>
      <c r="N1306">
        <v>0</v>
      </c>
      <c r="O1306">
        <v>635.495</v>
      </c>
      <c r="P1306">
        <v>1270.99</v>
      </c>
      <c r="Q1306">
        <v>635.495</v>
      </c>
    </row>
    <row r="1307" spans="1:17" x14ac:dyDescent="0.25">
      <c r="A1307" s="2">
        <v>42269</v>
      </c>
      <c r="B1307" s="2">
        <v>42272</v>
      </c>
      <c r="C1307" s="1" t="s">
        <v>107</v>
      </c>
      <c r="D1307" s="1" t="s">
        <v>1272</v>
      </c>
      <c r="E1307" s="1" t="s">
        <v>19</v>
      </c>
      <c r="F1307" s="1" t="s">
        <v>20</v>
      </c>
      <c r="G1307" s="1" t="s">
        <v>79</v>
      </c>
      <c r="H1307" s="1" t="s">
        <v>80</v>
      </c>
      <c r="I1307" s="1" t="s">
        <v>81</v>
      </c>
      <c r="J1307" s="1" t="s">
        <v>32</v>
      </c>
      <c r="K1307" s="1" t="s">
        <v>476</v>
      </c>
      <c r="L1307" s="1" t="s">
        <v>1886</v>
      </c>
      <c r="M1307">
        <v>5</v>
      </c>
      <c r="N1307">
        <v>0.2</v>
      </c>
      <c r="O1307">
        <v>6.2549999999999999</v>
      </c>
      <c r="P1307">
        <v>55.6</v>
      </c>
      <c r="Q1307">
        <v>49.344999999999999</v>
      </c>
    </row>
    <row r="1308" spans="1:17" x14ac:dyDescent="0.25">
      <c r="A1308" s="2">
        <v>42030</v>
      </c>
      <c r="B1308" s="2">
        <v>42036</v>
      </c>
      <c r="C1308" s="1" t="s">
        <v>35</v>
      </c>
      <c r="D1308" s="1" t="s">
        <v>1986</v>
      </c>
      <c r="E1308" s="1" t="s">
        <v>28</v>
      </c>
      <c r="F1308" s="1" t="s">
        <v>20</v>
      </c>
      <c r="G1308" s="1" t="s">
        <v>1951</v>
      </c>
      <c r="H1308" s="1" t="s">
        <v>30</v>
      </c>
      <c r="I1308" s="1" t="s">
        <v>31</v>
      </c>
      <c r="J1308" s="1" t="s">
        <v>32</v>
      </c>
      <c r="K1308" s="1" t="s">
        <v>47</v>
      </c>
      <c r="L1308" s="1" t="s">
        <v>1404</v>
      </c>
      <c r="M1308">
        <v>8</v>
      </c>
      <c r="N1308">
        <v>0</v>
      </c>
      <c r="O1308">
        <v>84.051199999999994</v>
      </c>
      <c r="P1308">
        <v>182.72</v>
      </c>
      <c r="Q1308">
        <v>98.668800000000005</v>
      </c>
    </row>
    <row r="1309" spans="1:17" x14ac:dyDescent="0.25">
      <c r="A1309" s="2">
        <v>41859</v>
      </c>
      <c r="B1309" s="2">
        <v>41861</v>
      </c>
      <c r="C1309" s="1" t="s">
        <v>17</v>
      </c>
      <c r="D1309" s="1" t="s">
        <v>1987</v>
      </c>
      <c r="E1309" s="1" t="s">
        <v>19</v>
      </c>
      <c r="F1309" s="1" t="s">
        <v>20</v>
      </c>
      <c r="G1309" s="1" t="s">
        <v>516</v>
      </c>
      <c r="H1309" s="1" t="s">
        <v>38</v>
      </c>
      <c r="I1309" s="1" t="s">
        <v>23</v>
      </c>
      <c r="J1309" s="1" t="s">
        <v>24</v>
      </c>
      <c r="K1309" s="1" t="s">
        <v>25</v>
      </c>
      <c r="L1309" s="1" t="s">
        <v>1327</v>
      </c>
      <c r="M1309">
        <v>4</v>
      </c>
      <c r="N1309">
        <v>0.2</v>
      </c>
      <c r="O1309">
        <v>-7.7728000000000002</v>
      </c>
      <c r="P1309">
        <v>155.45599999999999</v>
      </c>
      <c r="Q1309">
        <v>163.22879999999998</v>
      </c>
    </row>
    <row r="1310" spans="1:17" x14ac:dyDescent="0.25">
      <c r="A1310" s="2">
        <v>41866</v>
      </c>
      <c r="B1310" s="2">
        <v>41868</v>
      </c>
      <c r="C1310" s="1" t="s">
        <v>107</v>
      </c>
      <c r="D1310" s="1" t="s">
        <v>1055</v>
      </c>
      <c r="E1310" s="1" t="s">
        <v>19</v>
      </c>
      <c r="F1310" s="1" t="s">
        <v>20</v>
      </c>
      <c r="G1310" s="1" t="s">
        <v>1988</v>
      </c>
      <c r="H1310" s="1" t="s">
        <v>38</v>
      </c>
      <c r="I1310" s="1" t="s">
        <v>23</v>
      </c>
      <c r="J1310" s="1" t="s">
        <v>32</v>
      </c>
      <c r="K1310" s="1" t="s">
        <v>47</v>
      </c>
      <c r="L1310" s="1" t="s">
        <v>1989</v>
      </c>
      <c r="M1310">
        <v>5</v>
      </c>
      <c r="N1310">
        <v>0.2</v>
      </c>
      <c r="O1310">
        <v>29.692</v>
      </c>
      <c r="P1310">
        <v>91.36</v>
      </c>
      <c r="Q1310">
        <v>61.667999999999999</v>
      </c>
    </row>
    <row r="1311" spans="1:17" x14ac:dyDescent="0.25">
      <c r="A1311" s="2">
        <v>42099</v>
      </c>
      <c r="B1311" s="2">
        <v>42100</v>
      </c>
      <c r="C1311" s="1" t="s">
        <v>434</v>
      </c>
      <c r="D1311" s="1" t="s">
        <v>623</v>
      </c>
      <c r="E1311" s="1" t="s">
        <v>19</v>
      </c>
      <c r="F1311" s="1" t="s">
        <v>20</v>
      </c>
      <c r="G1311" s="1" t="s">
        <v>1305</v>
      </c>
      <c r="H1311" s="1" t="s">
        <v>51</v>
      </c>
      <c r="I1311" s="1" t="s">
        <v>31</v>
      </c>
      <c r="J1311" s="1" t="s">
        <v>99</v>
      </c>
      <c r="K1311" s="1" t="s">
        <v>111</v>
      </c>
      <c r="L1311" s="1" t="s">
        <v>1990</v>
      </c>
      <c r="M1311">
        <v>6</v>
      </c>
      <c r="N1311">
        <v>0</v>
      </c>
      <c r="O1311">
        <v>26.3934</v>
      </c>
      <c r="P1311">
        <v>239.94</v>
      </c>
      <c r="Q1311">
        <v>213.54660000000001</v>
      </c>
    </row>
    <row r="1312" spans="1:17" x14ac:dyDescent="0.25">
      <c r="A1312" s="2">
        <v>41750</v>
      </c>
      <c r="B1312" s="2">
        <v>41755</v>
      </c>
      <c r="C1312" s="1" t="s">
        <v>35</v>
      </c>
      <c r="D1312" s="1" t="s">
        <v>1991</v>
      </c>
      <c r="E1312" s="1" t="s">
        <v>28</v>
      </c>
      <c r="F1312" s="1" t="s">
        <v>20</v>
      </c>
      <c r="G1312" s="1" t="s">
        <v>21</v>
      </c>
      <c r="H1312" s="1" t="s">
        <v>22</v>
      </c>
      <c r="I1312" s="1" t="s">
        <v>23</v>
      </c>
      <c r="J1312" s="1" t="s">
        <v>32</v>
      </c>
      <c r="K1312" s="1" t="s">
        <v>64</v>
      </c>
      <c r="L1312" s="1" t="s">
        <v>1929</v>
      </c>
      <c r="M1312">
        <v>6</v>
      </c>
      <c r="N1312">
        <v>0</v>
      </c>
      <c r="O1312">
        <v>0</v>
      </c>
      <c r="P1312">
        <v>828.84</v>
      </c>
      <c r="Q1312">
        <v>828.84</v>
      </c>
    </row>
    <row r="1313" spans="1:17" x14ac:dyDescent="0.25">
      <c r="A1313" s="2">
        <v>42041</v>
      </c>
      <c r="B1313" s="2">
        <v>42043</v>
      </c>
      <c r="C1313" s="1" t="s">
        <v>107</v>
      </c>
      <c r="D1313" s="1" t="s">
        <v>1992</v>
      </c>
      <c r="E1313" s="1" t="s">
        <v>28</v>
      </c>
      <c r="F1313" s="1" t="s">
        <v>20</v>
      </c>
      <c r="G1313" s="1" t="s">
        <v>1254</v>
      </c>
      <c r="H1313" s="1" t="s">
        <v>144</v>
      </c>
      <c r="I1313" s="1" t="s">
        <v>23</v>
      </c>
      <c r="J1313" s="1" t="s">
        <v>32</v>
      </c>
      <c r="K1313" s="1" t="s">
        <v>64</v>
      </c>
      <c r="L1313" s="1" t="s">
        <v>1993</v>
      </c>
      <c r="M1313">
        <v>3</v>
      </c>
      <c r="N1313">
        <v>0</v>
      </c>
      <c r="O1313">
        <v>2.9346000000000001</v>
      </c>
      <c r="P1313">
        <v>146.72999999999999</v>
      </c>
      <c r="Q1313">
        <v>143.7954</v>
      </c>
    </row>
    <row r="1314" spans="1:17" x14ac:dyDescent="0.25">
      <c r="A1314" s="2">
        <v>42754</v>
      </c>
      <c r="B1314" s="2">
        <v>42759</v>
      </c>
      <c r="C1314" s="1" t="s">
        <v>17</v>
      </c>
      <c r="D1314" s="1" t="s">
        <v>1400</v>
      </c>
      <c r="E1314" s="1" t="s">
        <v>19</v>
      </c>
      <c r="F1314" s="1" t="s">
        <v>20</v>
      </c>
      <c r="G1314" s="1" t="s">
        <v>79</v>
      </c>
      <c r="H1314" s="1" t="s">
        <v>80</v>
      </c>
      <c r="I1314" s="1" t="s">
        <v>81</v>
      </c>
      <c r="J1314" s="1" t="s">
        <v>99</v>
      </c>
      <c r="K1314" s="1" t="s">
        <v>100</v>
      </c>
      <c r="L1314" s="1" t="s">
        <v>1994</v>
      </c>
      <c r="M1314">
        <v>2</v>
      </c>
      <c r="N1314">
        <v>0.4</v>
      </c>
      <c r="O1314">
        <v>-93.08</v>
      </c>
      <c r="P1314">
        <v>429.6</v>
      </c>
      <c r="Q1314">
        <v>522.68000000000006</v>
      </c>
    </row>
    <row r="1315" spans="1:17" x14ac:dyDescent="0.25">
      <c r="A1315" s="2">
        <v>41884</v>
      </c>
      <c r="B1315" s="2">
        <v>41890</v>
      </c>
      <c r="C1315" s="1" t="s">
        <v>35</v>
      </c>
      <c r="D1315" s="1" t="s">
        <v>774</v>
      </c>
      <c r="E1315" s="1" t="s">
        <v>19</v>
      </c>
      <c r="F1315" s="1" t="s">
        <v>20</v>
      </c>
      <c r="G1315" s="1" t="s">
        <v>1995</v>
      </c>
      <c r="H1315" s="1" t="s">
        <v>98</v>
      </c>
      <c r="I1315" s="1" t="s">
        <v>58</v>
      </c>
      <c r="J1315" s="1" t="s">
        <v>99</v>
      </c>
      <c r="K1315" s="1" t="s">
        <v>111</v>
      </c>
      <c r="L1315" s="1" t="s">
        <v>205</v>
      </c>
      <c r="M1315">
        <v>7</v>
      </c>
      <c r="N1315">
        <v>0.2</v>
      </c>
      <c r="O1315">
        <v>95.188800000000001</v>
      </c>
      <c r="P1315">
        <v>475.94400000000002</v>
      </c>
      <c r="Q1315">
        <v>380.7552</v>
      </c>
    </row>
    <row r="1316" spans="1:17" x14ac:dyDescent="0.25">
      <c r="A1316" s="2">
        <v>41662</v>
      </c>
      <c r="B1316" s="2">
        <v>41667</v>
      </c>
      <c r="C1316" s="1" t="s">
        <v>35</v>
      </c>
      <c r="D1316" s="1" t="s">
        <v>1996</v>
      </c>
      <c r="E1316" s="1" t="s">
        <v>19</v>
      </c>
      <c r="F1316" s="1" t="s">
        <v>20</v>
      </c>
      <c r="G1316" s="1" t="s">
        <v>469</v>
      </c>
      <c r="H1316" s="1" t="s">
        <v>470</v>
      </c>
      <c r="I1316" s="1" t="s">
        <v>31</v>
      </c>
      <c r="J1316" s="1" t="s">
        <v>32</v>
      </c>
      <c r="K1316" s="1" t="s">
        <v>47</v>
      </c>
      <c r="L1316" s="1" t="s">
        <v>230</v>
      </c>
      <c r="M1316">
        <v>6</v>
      </c>
      <c r="N1316">
        <v>0</v>
      </c>
      <c r="O1316">
        <v>19.238399999999999</v>
      </c>
      <c r="P1316">
        <v>40.08</v>
      </c>
      <c r="Q1316">
        <v>20.8416</v>
      </c>
    </row>
    <row r="1317" spans="1:17" x14ac:dyDescent="0.25">
      <c r="A1317" s="2">
        <v>42787</v>
      </c>
      <c r="B1317" s="2">
        <v>42792</v>
      </c>
      <c r="C1317" s="1" t="s">
        <v>35</v>
      </c>
      <c r="D1317" s="1" t="s">
        <v>216</v>
      </c>
      <c r="E1317" s="1" t="s">
        <v>19</v>
      </c>
      <c r="F1317" s="1" t="s">
        <v>20</v>
      </c>
      <c r="G1317" s="1" t="s">
        <v>1329</v>
      </c>
      <c r="H1317" s="1" t="s">
        <v>57</v>
      </c>
      <c r="I1317" s="1" t="s">
        <v>58</v>
      </c>
      <c r="J1317" s="1" t="s">
        <v>99</v>
      </c>
      <c r="K1317" s="1" t="s">
        <v>111</v>
      </c>
      <c r="L1317" s="1" t="s">
        <v>1997</v>
      </c>
      <c r="M1317">
        <v>1</v>
      </c>
      <c r="N1317">
        <v>0.2</v>
      </c>
      <c r="O1317">
        <v>-2.9940000000000002</v>
      </c>
      <c r="P1317">
        <v>47.904000000000003</v>
      </c>
      <c r="Q1317">
        <v>50.898000000000003</v>
      </c>
    </row>
    <row r="1318" spans="1:17" x14ac:dyDescent="0.25">
      <c r="A1318" s="2">
        <v>42974</v>
      </c>
      <c r="B1318" s="2">
        <v>42978</v>
      </c>
      <c r="C1318" s="1" t="s">
        <v>35</v>
      </c>
      <c r="D1318" s="1" t="s">
        <v>625</v>
      </c>
      <c r="E1318" s="1" t="s">
        <v>19</v>
      </c>
      <c r="F1318" s="1" t="s">
        <v>20</v>
      </c>
      <c r="G1318" s="1" t="s">
        <v>594</v>
      </c>
      <c r="H1318" s="1" t="s">
        <v>140</v>
      </c>
      <c r="I1318" s="1" t="s">
        <v>31</v>
      </c>
      <c r="J1318" s="1" t="s">
        <v>24</v>
      </c>
      <c r="K1318" s="1" t="s">
        <v>42</v>
      </c>
      <c r="L1318" s="1" t="s">
        <v>1379</v>
      </c>
      <c r="M1318">
        <v>8</v>
      </c>
      <c r="N1318">
        <v>0.2</v>
      </c>
      <c r="O1318">
        <v>33.1584</v>
      </c>
      <c r="P1318">
        <v>120.57599999999999</v>
      </c>
      <c r="Q1318">
        <v>87.417599999999993</v>
      </c>
    </row>
    <row r="1319" spans="1:17" x14ac:dyDescent="0.25">
      <c r="A1319" s="2">
        <v>42302</v>
      </c>
      <c r="B1319" s="2">
        <v>42302</v>
      </c>
      <c r="C1319" s="1" t="s">
        <v>434</v>
      </c>
      <c r="D1319" s="1" t="s">
        <v>950</v>
      </c>
      <c r="E1319" s="1" t="s">
        <v>28</v>
      </c>
      <c r="F1319" s="1" t="s">
        <v>20</v>
      </c>
      <c r="G1319" s="1" t="s">
        <v>306</v>
      </c>
      <c r="H1319" s="1" t="s">
        <v>198</v>
      </c>
      <c r="I1319" s="1" t="s">
        <v>31</v>
      </c>
      <c r="J1319" s="1" t="s">
        <v>24</v>
      </c>
      <c r="K1319" s="1" t="s">
        <v>82</v>
      </c>
      <c r="L1319" s="1" t="s">
        <v>1567</v>
      </c>
      <c r="M1319">
        <v>8</v>
      </c>
      <c r="N1319">
        <v>0.2</v>
      </c>
      <c r="O1319">
        <v>-29.116800000000001</v>
      </c>
      <c r="P1319">
        <v>582.33600000000001</v>
      </c>
      <c r="Q1319">
        <v>611.45280000000002</v>
      </c>
    </row>
    <row r="1320" spans="1:17" x14ac:dyDescent="0.25">
      <c r="A1320" s="2">
        <v>41697</v>
      </c>
      <c r="B1320" s="2">
        <v>41701</v>
      </c>
      <c r="C1320" s="1" t="s">
        <v>107</v>
      </c>
      <c r="D1320" s="1" t="s">
        <v>1881</v>
      </c>
      <c r="E1320" s="1" t="s">
        <v>19</v>
      </c>
      <c r="F1320" s="1" t="s">
        <v>20</v>
      </c>
      <c r="G1320" s="1" t="s">
        <v>213</v>
      </c>
      <c r="H1320" s="1" t="s">
        <v>214</v>
      </c>
      <c r="I1320" s="1" t="s">
        <v>81</v>
      </c>
      <c r="J1320" s="1" t="s">
        <v>32</v>
      </c>
      <c r="K1320" s="1" t="s">
        <v>72</v>
      </c>
      <c r="L1320" s="1" t="s">
        <v>616</v>
      </c>
      <c r="M1320">
        <v>4</v>
      </c>
      <c r="N1320">
        <v>0.2</v>
      </c>
      <c r="O1320">
        <v>3.4047999999999998</v>
      </c>
      <c r="P1320">
        <v>19.456</v>
      </c>
      <c r="Q1320">
        <v>16.051200000000001</v>
      </c>
    </row>
    <row r="1321" spans="1:17" x14ac:dyDescent="0.25">
      <c r="A1321" s="2">
        <v>42738</v>
      </c>
      <c r="B1321" s="2">
        <v>42742</v>
      </c>
      <c r="C1321" s="1" t="s">
        <v>35</v>
      </c>
      <c r="D1321" s="1" t="s">
        <v>563</v>
      </c>
      <c r="E1321" s="1" t="s">
        <v>19</v>
      </c>
      <c r="F1321" s="1" t="s">
        <v>20</v>
      </c>
      <c r="G1321" s="1" t="s">
        <v>71</v>
      </c>
      <c r="H1321" s="1" t="s">
        <v>30</v>
      </c>
      <c r="I1321" s="1" t="s">
        <v>31</v>
      </c>
      <c r="J1321" s="1" t="s">
        <v>32</v>
      </c>
      <c r="K1321" s="1" t="s">
        <v>52</v>
      </c>
      <c r="L1321" s="1" t="s">
        <v>513</v>
      </c>
      <c r="M1321">
        <v>8</v>
      </c>
      <c r="N1321">
        <v>0.2</v>
      </c>
      <c r="O1321">
        <v>682.51679999999999</v>
      </c>
      <c r="P1321">
        <v>2022.2719999999999</v>
      </c>
      <c r="Q1321">
        <v>1339.7552000000001</v>
      </c>
    </row>
    <row r="1322" spans="1:17" x14ac:dyDescent="0.25">
      <c r="A1322" s="2">
        <v>42759</v>
      </c>
      <c r="B1322" s="2">
        <v>42764</v>
      </c>
      <c r="C1322" s="1" t="s">
        <v>35</v>
      </c>
      <c r="D1322" s="1" t="s">
        <v>1724</v>
      </c>
      <c r="E1322" s="1" t="s">
        <v>28</v>
      </c>
      <c r="F1322" s="1" t="s">
        <v>20</v>
      </c>
      <c r="G1322" s="1" t="s">
        <v>249</v>
      </c>
      <c r="H1322" s="1" t="s">
        <v>30</v>
      </c>
      <c r="I1322" s="1" t="s">
        <v>31</v>
      </c>
      <c r="J1322" s="1" t="s">
        <v>32</v>
      </c>
      <c r="K1322" s="1" t="s">
        <v>59</v>
      </c>
      <c r="L1322" s="1" t="s">
        <v>1761</v>
      </c>
      <c r="M1322">
        <v>3</v>
      </c>
      <c r="N1322">
        <v>0</v>
      </c>
      <c r="O1322">
        <v>6.7236000000000002</v>
      </c>
      <c r="P1322">
        <v>25.86</v>
      </c>
      <c r="Q1322">
        <v>19.136399999999998</v>
      </c>
    </row>
    <row r="1323" spans="1:17" x14ac:dyDescent="0.25">
      <c r="A1323" s="2">
        <v>42538</v>
      </c>
      <c r="B1323" s="2">
        <v>42544</v>
      </c>
      <c r="C1323" s="1" t="s">
        <v>35</v>
      </c>
      <c r="D1323" s="1" t="s">
        <v>1708</v>
      </c>
      <c r="E1323" s="1" t="s">
        <v>28</v>
      </c>
      <c r="F1323" s="1" t="s">
        <v>20</v>
      </c>
      <c r="G1323" s="1" t="s">
        <v>172</v>
      </c>
      <c r="H1323" s="1" t="s">
        <v>127</v>
      </c>
      <c r="I1323" s="1" t="s">
        <v>81</v>
      </c>
      <c r="J1323" s="1" t="s">
        <v>24</v>
      </c>
      <c r="K1323" s="1" t="s">
        <v>39</v>
      </c>
      <c r="L1323" s="1" t="s">
        <v>1998</v>
      </c>
      <c r="M1323">
        <v>3</v>
      </c>
      <c r="N1323">
        <v>0.4</v>
      </c>
      <c r="O1323">
        <v>-213.5574</v>
      </c>
      <c r="P1323">
        <v>376.86599999999999</v>
      </c>
      <c r="Q1323">
        <v>590.42340000000002</v>
      </c>
    </row>
    <row r="1324" spans="1:17" x14ac:dyDescent="0.25">
      <c r="A1324" s="2">
        <v>42032</v>
      </c>
      <c r="B1324" s="2">
        <v>42035</v>
      </c>
      <c r="C1324" s="1" t="s">
        <v>17</v>
      </c>
      <c r="D1324" s="1" t="s">
        <v>316</v>
      </c>
      <c r="E1324" s="1" t="s">
        <v>19</v>
      </c>
      <c r="F1324" s="1" t="s">
        <v>20</v>
      </c>
      <c r="G1324" s="1" t="s">
        <v>45</v>
      </c>
      <c r="H1324" s="1" t="s">
        <v>46</v>
      </c>
      <c r="I1324" s="1" t="s">
        <v>23</v>
      </c>
      <c r="J1324" s="1" t="s">
        <v>24</v>
      </c>
      <c r="K1324" s="1" t="s">
        <v>39</v>
      </c>
      <c r="L1324" s="1" t="s">
        <v>738</v>
      </c>
      <c r="M1324">
        <v>13</v>
      </c>
      <c r="N1324">
        <v>0.4</v>
      </c>
      <c r="O1324">
        <v>-1862.3124</v>
      </c>
      <c r="P1324">
        <v>4297.6440000000002</v>
      </c>
      <c r="Q1324">
        <v>6159.9564</v>
      </c>
    </row>
    <row r="1325" spans="1:17" x14ac:dyDescent="0.25">
      <c r="A1325" s="2">
        <v>41705</v>
      </c>
      <c r="B1325" s="2">
        <v>41710</v>
      </c>
      <c r="C1325" s="1" t="s">
        <v>35</v>
      </c>
      <c r="D1325" s="1" t="s">
        <v>1999</v>
      </c>
      <c r="E1325" s="1" t="s">
        <v>28</v>
      </c>
      <c r="F1325" s="1" t="s">
        <v>20</v>
      </c>
      <c r="G1325" s="1" t="s">
        <v>50</v>
      </c>
      <c r="H1325" s="1" t="s">
        <v>51</v>
      </c>
      <c r="I1325" s="1" t="s">
        <v>31</v>
      </c>
      <c r="J1325" s="1" t="s">
        <v>32</v>
      </c>
      <c r="K1325" s="1" t="s">
        <v>72</v>
      </c>
      <c r="L1325" s="1" t="s">
        <v>1395</v>
      </c>
      <c r="M1325">
        <v>5</v>
      </c>
      <c r="N1325">
        <v>0</v>
      </c>
      <c r="O1325">
        <v>9.4990000000000006</v>
      </c>
      <c r="P1325">
        <v>20.65</v>
      </c>
      <c r="Q1325">
        <v>11.150999999999998</v>
      </c>
    </row>
    <row r="1326" spans="1:17" x14ac:dyDescent="0.25">
      <c r="A1326" s="2">
        <v>42827</v>
      </c>
      <c r="B1326" s="2">
        <v>42831</v>
      </c>
      <c r="C1326" s="1" t="s">
        <v>35</v>
      </c>
      <c r="D1326" s="1" t="s">
        <v>1884</v>
      </c>
      <c r="E1326" s="1" t="s">
        <v>19</v>
      </c>
      <c r="F1326" s="1" t="s">
        <v>20</v>
      </c>
      <c r="G1326" s="1" t="s">
        <v>158</v>
      </c>
      <c r="H1326" s="1" t="s">
        <v>159</v>
      </c>
      <c r="I1326" s="1" t="s">
        <v>23</v>
      </c>
      <c r="J1326" s="1" t="s">
        <v>32</v>
      </c>
      <c r="K1326" s="1" t="s">
        <v>33</v>
      </c>
      <c r="L1326" s="1" t="s">
        <v>786</v>
      </c>
      <c r="M1326">
        <v>3</v>
      </c>
      <c r="N1326">
        <v>0</v>
      </c>
      <c r="O1326">
        <v>6.8723999999999998</v>
      </c>
      <c r="P1326">
        <v>14.94</v>
      </c>
      <c r="Q1326">
        <v>8.0675999999999988</v>
      </c>
    </row>
    <row r="1327" spans="1:17" x14ac:dyDescent="0.25">
      <c r="A1327" s="2">
        <v>42133</v>
      </c>
      <c r="B1327" s="2">
        <v>42137</v>
      </c>
      <c r="C1327" s="1" t="s">
        <v>35</v>
      </c>
      <c r="D1327" s="1" t="s">
        <v>669</v>
      </c>
      <c r="E1327" s="1" t="s">
        <v>19</v>
      </c>
      <c r="F1327" s="1" t="s">
        <v>20</v>
      </c>
      <c r="G1327" s="1" t="s">
        <v>499</v>
      </c>
      <c r="H1327" s="1" t="s">
        <v>22</v>
      </c>
      <c r="I1327" s="1" t="s">
        <v>23</v>
      </c>
      <c r="J1327" s="1" t="s">
        <v>32</v>
      </c>
      <c r="K1327" s="1" t="s">
        <v>52</v>
      </c>
      <c r="L1327" s="1" t="s">
        <v>1821</v>
      </c>
      <c r="M1327">
        <v>3</v>
      </c>
      <c r="N1327">
        <v>0</v>
      </c>
      <c r="O1327">
        <v>23.916899999999998</v>
      </c>
      <c r="P1327">
        <v>48.81</v>
      </c>
      <c r="Q1327">
        <v>24.893100000000004</v>
      </c>
    </row>
    <row r="1328" spans="1:17" x14ac:dyDescent="0.25">
      <c r="A1328" s="2">
        <v>41866</v>
      </c>
      <c r="B1328" s="2">
        <v>41870</v>
      </c>
      <c r="C1328" s="1" t="s">
        <v>35</v>
      </c>
      <c r="D1328" s="1" t="s">
        <v>578</v>
      </c>
      <c r="E1328" s="1" t="s">
        <v>19</v>
      </c>
      <c r="F1328" s="1" t="s">
        <v>20</v>
      </c>
      <c r="G1328" s="1" t="s">
        <v>71</v>
      </c>
      <c r="H1328" s="1" t="s">
        <v>30</v>
      </c>
      <c r="I1328" s="1" t="s">
        <v>31</v>
      </c>
      <c r="J1328" s="1" t="s">
        <v>32</v>
      </c>
      <c r="K1328" s="1" t="s">
        <v>59</v>
      </c>
      <c r="L1328" s="1" t="s">
        <v>2000</v>
      </c>
      <c r="M1328">
        <v>3</v>
      </c>
      <c r="N1328">
        <v>0</v>
      </c>
      <c r="O1328">
        <v>42.814799999999998</v>
      </c>
      <c r="P1328">
        <v>152.91</v>
      </c>
      <c r="Q1328">
        <v>110.09520000000001</v>
      </c>
    </row>
    <row r="1329" spans="1:17" x14ac:dyDescent="0.25">
      <c r="A1329" s="2">
        <v>42749</v>
      </c>
      <c r="B1329" s="2">
        <v>42755</v>
      </c>
      <c r="C1329" s="1" t="s">
        <v>35</v>
      </c>
      <c r="D1329" s="1" t="s">
        <v>932</v>
      </c>
      <c r="E1329" s="1" t="s">
        <v>55</v>
      </c>
      <c r="F1329" s="1" t="s">
        <v>20</v>
      </c>
      <c r="G1329" s="1" t="s">
        <v>496</v>
      </c>
      <c r="H1329" s="1" t="s">
        <v>123</v>
      </c>
      <c r="I1329" s="1" t="s">
        <v>58</v>
      </c>
      <c r="J1329" s="1" t="s">
        <v>32</v>
      </c>
      <c r="K1329" s="1" t="s">
        <v>64</v>
      </c>
      <c r="L1329" s="1" t="s">
        <v>1078</v>
      </c>
      <c r="M1329">
        <v>5</v>
      </c>
      <c r="N1329">
        <v>0</v>
      </c>
      <c r="O1329">
        <v>17.524000000000001</v>
      </c>
      <c r="P1329">
        <v>67.400000000000006</v>
      </c>
      <c r="Q1329">
        <v>49.876000000000005</v>
      </c>
    </row>
    <row r="1330" spans="1:17" x14ac:dyDescent="0.25">
      <c r="A1330" s="2">
        <v>42089</v>
      </c>
      <c r="B1330" s="2">
        <v>42091</v>
      </c>
      <c r="C1330" s="1" t="s">
        <v>17</v>
      </c>
      <c r="D1330" s="1" t="s">
        <v>1594</v>
      </c>
      <c r="E1330" s="1" t="s">
        <v>28</v>
      </c>
      <c r="F1330" s="1" t="s">
        <v>20</v>
      </c>
      <c r="G1330" s="1" t="s">
        <v>126</v>
      </c>
      <c r="H1330" s="1" t="s">
        <v>127</v>
      </c>
      <c r="I1330" s="1" t="s">
        <v>81</v>
      </c>
      <c r="J1330" s="1" t="s">
        <v>32</v>
      </c>
      <c r="K1330" s="1" t="s">
        <v>64</v>
      </c>
      <c r="L1330" s="1" t="s">
        <v>1839</v>
      </c>
      <c r="M1330">
        <v>7</v>
      </c>
      <c r="N1330">
        <v>0</v>
      </c>
      <c r="O1330">
        <v>282.20920000000001</v>
      </c>
      <c r="P1330">
        <v>1085.42</v>
      </c>
      <c r="Q1330">
        <v>803.21080000000006</v>
      </c>
    </row>
    <row r="1331" spans="1:17" x14ac:dyDescent="0.25">
      <c r="A1331" s="2">
        <v>42603</v>
      </c>
      <c r="B1331" s="2">
        <v>42607</v>
      </c>
      <c r="C1331" s="1" t="s">
        <v>35</v>
      </c>
      <c r="D1331" s="1" t="s">
        <v>718</v>
      </c>
      <c r="E1331" s="1" t="s">
        <v>19</v>
      </c>
      <c r="F1331" s="1" t="s">
        <v>20</v>
      </c>
      <c r="G1331" s="1" t="s">
        <v>126</v>
      </c>
      <c r="H1331" s="1" t="s">
        <v>127</v>
      </c>
      <c r="I1331" s="1" t="s">
        <v>81</v>
      </c>
      <c r="J1331" s="1" t="s">
        <v>24</v>
      </c>
      <c r="K1331" s="1" t="s">
        <v>82</v>
      </c>
      <c r="L1331" s="1" t="s">
        <v>1118</v>
      </c>
      <c r="M1331">
        <v>7</v>
      </c>
      <c r="N1331">
        <v>0.1</v>
      </c>
      <c r="O1331">
        <v>63.686</v>
      </c>
      <c r="P1331">
        <v>573.17399999999998</v>
      </c>
      <c r="Q1331">
        <v>509.488</v>
      </c>
    </row>
    <row r="1332" spans="1:17" x14ac:dyDescent="0.25">
      <c r="A1332" s="2">
        <v>41662</v>
      </c>
      <c r="B1332" s="2">
        <v>41666</v>
      </c>
      <c r="C1332" s="1" t="s">
        <v>35</v>
      </c>
      <c r="D1332" s="1" t="s">
        <v>1445</v>
      </c>
      <c r="E1332" s="1" t="s">
        <v>19</v>
      </c>
      <c r="F1332" s="1" t="s">
        <v>20</v>
      </c>
      <c r="G1332" s="1" t="s">
        <v>1326</v>
      </c>
      <c r="H1332" s="1" t="s">
        <v>123</v>
      </c>
      <c r="I1332" s="1" t="s">
        <v>58</v>
      </c>
      <c r="J1332" s="1" t="s">
        <v>32</v>
      </c>
      <c r="K1332" s="1" t="s">
        <v>128</v>
      </c>
      <c r="L1332" s="1" t="s">
        <v>620</v>
      </c>
      <c r="M1332">
        <v>3</v>
      </c>
      <c r="N1332">
        <v>0</v>
      </c>
      <c r="O1332">
        <v>0</v>
      </c>
      <c r="P1332">
        <v>5.94</v>
      </c>
      <c r="Q1332">
        <v>5.94</v>
      </c>
    </row>
    <row r="1333" spans="1:17" x14ac:dyDescent="0.25">
      <c r="A1333" s="2">
        <v>42141</v>
      </c>
      <c r="B1333" s="2">
        <v>42147</v>
      </c>
      <c r="C1333" s="1" t="s">
        <v>35</v>
      </c>
      <c r="D1333" s="1" t="s">
        <v>634</v>
      </c>
      <c r="E1333" s="1" t="s">
        <v>19</v>
      </c>
      <c r="F1333" s="1" t="s">
        <v>20</v>
      </c>
      <c r="G1333" s="1" t="s">
        <v>400</v>
      </c>
      <c r="H1333" s="1" t="s">
        <v>127</v>
      </c>
      <c r="I1333" s="1" t="s">
        <v>81</v>
      </c>
      <c r="J1333" s="1" t="s">
        <v>32</v>
      </c>
      <c r="K1333" s="1" t="s">
        <v>33</v>
      </c>
      <c r="L1333" s="1" t="s">
        <v>989</v>
      </c>
      <c r="M1333">
        <v>10</v>
      </c>
      <c r="N1333">
        <v>0</v>
      </c>
      <c r="O1333">
        <v>15.12</v>
      </c>
      <c r="P1333">
        <v>31.5</v>
      </c>
      <c r="Q1333">
        <v>16.380000000000003</v>
      </c>
    </row>
    <row r="1334" spans="1:17" x14ac:dyDescent="0.25">
      <c r="A1334" s="2">
        <v>41660</v>
      </c>
      <c r="B1334" s="2">
        <v>41662</v>
      </c>
      <c r="C1334" s="1" t="s">
        <v>17</v>
      </c>
      <c r="D1334" s="1" t="s">
        <v>1178</v>
      </c>
      <c r="E1334" s="1" t="s">
        <v>19</v>
      </c>
      <c r="F1334" s="1" t="s">
        <v>20</v>
      </c>
      <c r="G1334" s="1" t="s">
        <v>481</v>
      </c>
      <c r="H1334" s="1" t="s">
        <v>38</v>
      </c>
      <c r="I1334" s="1" t="s">
        <v>23</v>
      </c>
      <c r="J1334" s="1" t="s">
        <v>24</v>
      </c>
      <c r="K1334" s="1" t="s">
        <v>42</v>
      </c>
      <c r="L1334" s="1" t="s">
        <v>2001</v>
      </c>
      <c r="M1334">
        <v>3</v>
      </c>
      <c r="N1334">
        <v>0.2</v>
      </c>
      <c r="O1334">
        <v>4.1028000000000002</v>
      </c>
      <c r="P1334">
        <v>25.248000000000001</v>
      </c>
      <c r="Q1334">
        <v>21.145200000000003</v>
      </c>
    </row>
    <row r="1335" spans="1:17" x14ac:dyDescent="0.25">
      <c r="A1335" s="2">
        <v>42792</v>
      </c>
      <c r="B1335" s="2">
        <v>42797</v>
      </c>
      <c r="C1335" s="1" t="s">
        <v>35</v>
      </c>
      <c r="D1335" s="1" t="s">
        <v>253</v>
      </c>
      <c r="E1335" s="1" t="s">
        <v>19</v>
      </c>
      <c r="F1335" s="1" t="s">
        <v>20</v>
      </c>
      <c r="G1335" s="1" t="s">
        <v>557</v>
      </c>
      <c r="H1335" s="1" t="s">
        <v>30</v>
      </c>
      <c r="I1335" s="1" t="s">
        <v>31</v>
      </c>
      <c r="J1335" s="1" t="s">
        <v>24</v>
      </c>
      <c r="K1335" s="1" t="s">
        <v>42</v>
      </c>
      <c r="L1335" s="1" t="s">
        <v>2002</v>
      </c>
      <c r="M1335">
        <v>2</v>
      </c>
      <c r="N1335">
        <v>0</v>
      </c>
      <c r="O1335">
        <v>15.6332</v>
      </c>
      <c r="P1335">
        <v>91.96</v>
      </c>
      <c r="Q1335">
        <v>76.326799999999992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472F-61A6-4F66-AB6E-C02A920702B2}">
  <dimension ref="H7:I21"/>
  <sheetViews>
    <sheetView showGridLines="0" showRowColHeaders="0" zoomScaleNormal="100" workbookViewId="0">
      <selection activeCell="I13" sqref="I13"/>
    </sheetView>
  </sheetViews>
  <sheetFormatPr defaultRowHeight="15" x14ac:dyDescent="0.25"/>
  <cols>
    <col min="1" max="4" width="9.140625" style="13"/>
    <col min="5" max="5" width="11" style="13" customWidth="1"/>
    <col min="6" max="6" width="11.140625" style="13" customWidth="1"/>
    <col min="7" max="7" width="1.85546875" style="13" customWidth="1"/>
    <col min="8" max="8" width="12.140625" style="13" customWidth="1"/>
    <col min="9" max="9" width="56.42578125" style="13" customWidth="1"/>
    <col min="10" max="16384" width="9.140625" style="13"/>
  </cols>
  <sheetData>
    <row r="7" spans="8:9" x14ac:dyDescent="0.25">
      <c r="H7" s="18" t="s">
        <v>2018</v>
      </c>
      <c r="I7" s="19"/>
    </row>
    <row r="8" spans="8:9" x14ac:dyDescent="0.25">
      <c r="H8" s="20"/>
      <c r="I8" s="20"/>
    </row>
    <row r="9" spans="8:9" ht="18.75" x14ac:dyDescent="0.3">
      <c r="H9" s="14" t="s">
        <v>2017</v>
      </c>
      <c r="I9" s="15" t="s">
        <v>2037</v>
      </c>
    </row>
    <row r="10" spans="8:9" ht="15.75" x14ac:dyDescent="0.25">
      <c r="H10" s="16">
        <v>1</v>
      </c>
      <c r="I10" s="17" t="s">
        <v>2019</v>
      </c>
    </row>
    <row r="11" spans="8:9" ht="15.75" x14ac:dyDescent="0.25">
      <c r="H11" s="16">
        <v>2</v>
      </c>
      <c r="I11" s="17" t="s">
        <v>2031</v>
      </c>
    </row>
    <row r="12" spans="8:9" ht="15.75" x14ac:dyDescent="0.25">
      <c r="H12" s="16">
        <v>3</v>
      </c>
      <c r="I12" s="17" t="s">
        <v>2032</v>
      </c>
    </row>
    <row r="13" spans="8:9" ht="15.75" x14ac:dyDescent="0.25">
      <c r="H13" s="16">
        <v>4</v>
      </c>
      <c r="I13" s="17" t="s">
        <v>2033</v>
      </c>
    </row>
    <row r="14" spans="8:9" ht="15.75" x14ac:dyDescent="0.25">
      <c r="H14" s="16">
        <v>5</v>
      </c>
      <c r="I14" s="17" t="s">
        <v>2034</v>
      </c>
    </row>
    <row r="15" spans="8:9" ht="15.75" x14ac:dyDescent="0.25">
      <c r="H15" s="16">
        <v>6</v>
      </c>
      <c r="I15" s="17" t="s">
        <v>2035</v>
      </c>
    </row>
    <row r="16" spans="8:9" ht="15.75" x14ac:dyDescent="0.25">
      <c r="H16" s="16">
        <v>7</v>
      </c>
      <c r="I16" s="17" t="s">
        <v>2036</v>
      </c>
    </row>
    <row r="21" spans="9:9" x14ac:dyDescent="0.25">
      <c r="I21" s="13" t="s">
        <v>2016</v>
      </c>
    </row>
  </sheetData>
  <mergeCells count="1">
    <mergeCell ref="H7:I8"/>
  </mergeCells>
  <hyperlinks>
    <hyperlink ref="I10" location="'KPI Deshboard'!A1" display="KPI Vs Analysis" xr:uid="{1D113562-DA50-4184-A622-F792805ED271}"/>
    <hyperlink ref="I11" location="'Category Vs Analysis'!A1" display="Category Vs Analysis" xr:uid="{709A364F-D573-4BBF-957A-EA55F4DF52E6}"/>
    <hyperlink ref="I12" location="'City Vs Analysis'!A1" display="City Vs Analysis" xr:uid="{1C1DB4FA-6DA7-4FF1-8890-0385FBD0A5D3}"/>
    <hyperlink ref="I13" location="'Region vs analysis'!A1" display="Region Vs Analysis" xr:uid="{6BB68DD6-8580-4315-8E3F-6C73E6C21DD6}"/>
    <hyperlink ref="I14" location="'State Vs analysis'!A1" display="State VS Analysis" xr:uid="{763CDDEB-985A-4249-BF40-E9E4B341C041}"/>
    <hyperlink ref="I15" location="'Sheap Mode Vs Analysis'!A1" display="Sheap Mode Vs Analysis" xr:uid="{D8A89553-070E-4C1E-9E67-BA44C06420BE}"/>
    <hyperlink ref="I16" location="'Date Vs Analysis'!A1" display="Date Vs Analysis  ( Quarter and Year) " xr:uid="{F9A3CB8B-B1A5-4D43-9B7F-C389A20C1B9B}"/>
  </hyperlinks>
  <pageMargins left="0.7" right="0.7" top="0.75" bottom="0.75" header="0.3" footer="0.3"/>
  <pageSetup paperSize="0" orientation="portrait" horizontalDpi="0" verticalDpi="0" copies="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DE7C-5C32-4DA1-922E-D3DBA140B3DD}">
  <dimension ref="J3:N15"/>
  <sheetViews>
    <sheetView workbookViewId="0"/>
  </sheetViews>
  <sheetFormatPr defaultRowHeight="15" x14ac:dyDescent="0.25"/>
  <cols>
    <col min="1" max="8" width="9.140625" style="9"/>
    <col min="9" max="9" width="8" style="9" customWidth="1"/>
    <col min="10" max="12" width="9.140625" style="9" hidden="1" customWidth="1"/>
    <col min="13" max="13" width="25.140625" style="9" customWidth="1"/>
    <col min="14" max="14" width="29.85546875" style="9" customWidth="1"/>
    <col min="15" max="16384" width="9.140625" style="9"/>
  </cols>
  <sheetData>
    <row r="3" spans="13:14" ht="31.5" customHeight="1" x14ac:dyDescent="0.25">
      <c r="M3" s="21" t="s">
        <v>2020</v>
      </c>
      <c r="N3" s="21"/>
    </row>
    <row r="4" spans="13:14" ht="24.75" customHeight="1" x14ac:dyDescent="0.3">
      <c r="M4" s="12" t="str">
        <f>kpi!A1</f>
        <v>Total Sales</v>
      </c>
      <c r="N4" s="11">
        <f>kpi!B1</f>
        <v>307800.32910000056</v>
      </c>
    </row>
    <row r="5" spans="13:14" ht="28.5" customHeight="1" x14ac:dyDescent="0.3">
      <c r="M5" s="12" t="str">
        <f>kpi!A2</f>
        <v>Average Sales</v>
      </c>
      <c r="N5" s="11">
        <f>kpi!B2</f>
        <v>230.56204426966335</v>
      </c>
    </row>
    <row r="6" spans="13:14" ht="27.75" customHeight="1" x14ac:dyDescent="0.3">
      <c r="M6" s="12" t="str">
        <f>kpi!A3</f>
        <v>Total Order</v>
      </c>
      <c r="N6" s="10">
        <f>kpi!B3</f>
        <v>1335</v>
      </c>
    </row>
    <row r="7" spans="13:14" ht="24" customHeight="1" x14ac:dyDescent="0.3">
      <c r="M7" s="12" t="str">
        <f>kpi!A4</f>
        <v>Total Profit</v>
      </c>
      <c r="N7" s="11">
        <f>kpi!B4</f>
        <v>24962.700500000003</v>
      </c>
    </row>
    <row r="8" spans="13:14" ht="27.75" customHeight="1" x14ac:dyDescent="0.3">
      <c r="M8" s="12" t="str">
        <f>kpi!A5</f>
        <v>Total Cost</v>
      </c>
      <c r="N8" s="11">
        <f>kpi!B5</f>
        <v>282837.62860000017</v>
      </c>
    </row>
    <row r="9" spans="13:14" ht="18.75" x14ac:dyDescent="0.3">
      <c r="M9" s="12" t="str">
        <f>kpi!A6</f>
        <v>Total Quantity</v>
      </c>
      <c r="N9" s="10">
        <f>kpi!B6</f>
        <v>5108</v>
      </c>
    </row>
    <row r="10" spans="13:14" ht="23.25" customHeight="1" x14ac:dyDescent="0.3">
      <c r="M10" s="12" t="str">
        <f>kpi!A7</f>
        <v>Home Offfice Sales</v>
      </c>
      <c r="N10" s="11">
        <f>kpi!B7</f>
        <v>55597.594000000026</v>
      </c>
    </row>
    <row r="11" spans="13:14" ht="23.25" customHeight="1" x14ac:dyDescent="0.3">
      <c r="M11" s="12" t="str">
        <f>kpi!A8</f>
        <v>consumer  Sales</v>
      </c>
      <c r="N11" s="11">
        <f>kpi!B8</f>
        <v>144286.99399999989</v>
      </c>
    </row>
    <row r="12" spans="13:14" ht="27" customHeight="1" x14ac:dyDescent="0.3">
      <c r="M12" s="12" t="str">
        <f>kpi!A9</f>
        <v>Corporate Sales</v>
      </c>
      <c r="N12" s="11">
        <f>kpi!B9</f>
        <v>107915.74109999993</v>
      </c>
    </row>
    <row r="15" spans="13:14" x14ac:dyDescent="0.25">
      <c r="N15" s="9" t="s">
        <v>2016</v>
      </c>
    </row>
  </sheetData>
  <mergeCells count="1">
    <mergeCell ref="M3:N3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E260C-B3A3-460B-84C2-FD39D9A23B8C}">
  <dimension ref="A1:Z27"/>
  <sheetViews>
    <sheetView workbookViewId="0"/>
  </sheetViews>
  <sheetFormatPr defaultRowHeight="15" x14ac:dyDescent="0.25"/>
  <sheetData>
    <row r="1" spans="1:26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48DF-7366-4930-AB03-D12AAA89592D}">
  <dimension ref="A1:Z27"/>
  <sheetViews>
    <sheetView zoomScaleNormal="100" workbookViewId="0"/>
  </sheetViews>
  <sheetFormatPr defaultRowHeight="15" x14ac:dyDescent="0.25"/>
  <sheetData>
    <row r="1" spans="1:26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7D1B-28F9-49A4-BB75-9395E01C9315}">
  <dimension ref="A1:Z27"/>
  <sheetViews>
    <sheetView workbookViewId="0"/>
  </sheetViews>
  <sheetFormatPr defaultRowHeight="15" x14ac:dyDescent="0.25"/>
  <sheetData>
    <row r="1" spans="1:26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F937-2468-4171-AF8F-F3667C8DAC7F}">
  <dimension ref="A1:Z27"/>
  <sheetViews>
    <sheetView workbookViewId="0">
      <selection activeCell="R10" sqref="R10"/>
    </sheetView>
  </sheetViews>
  <sheetFormatPr defaultRowHeight="15" x14ac:dyDescent="0.25"/>
  <sheetData>
    <row r="1" spans="1:26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F5D9D-EEF3-486E-A141-C163CF100BF7}">
  <dimension ref="A1:Z27"/>
  <sheetViews>
    <sheetView workbookViewId="0"/>
  </sheetViews>
  <sheetFormatPr defaultRowHeight="15" x14ac:dyDescent="0.25"/>
  <sheetData>
    <row r="1" spans="1:26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271D-0B20-42CD-B186-F336B5B9D300}">
  <dimension ref="A1:Z27"/>
  <sheetViews>
    <sheetView workbookViewId="0"/>
  </sheetViews>
  <sheetFormatPr defaultRowHeight="15" x14ac:dyDescent="0.25"/>
  <sheetData>
    <row r="1" spans="1:26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DA9A-FEB9-431B-8181-EAFC29BC7E21}">
  <dimension ref="A1:Z27"/>
  <sheetViews>
    <sheetView workbookViewId="0"/>
  </sheetViews>
  <sheetFormatPr defaultRowHeight="15" x14ac:dyDescent="0.25"/>
  <sheetData>
    <row r="1" spans="1:26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BA3B-694B-4CFF-B439-822E2F030459}">
  <dimension ref="A1:CB27"/>
  <sheetViews>
    <sheetView workbookViewId="0"/>
  </sheetViews>
  <sheetFormatPr defaultRowHeight="15" x14ac:dyDescent="0.25"/>
  <cols>
    <col min="26" max="80" width="9.140625" style="9"/>
  </cols>
  <sheetData>
    <row r="1" spans="1:25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 t="s">
        <v>2016</v>
      </c>
      <c r="V8" s="9"/>
      <c r="W8" s="9"/>
      <c r="X8" s="9"/>
      <c r="Y8" s="9"/>
    </row>
    <row r="9" spans="1:25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6E36-F993-46DB-B719-AFF1DD97FFCA}">
  <dimension ref="A1:CB27"/>
  <sheetViews>
    <sheetView workbookViewId="0"/>
  </sheetViews>
  <sheetFormatPr defaultRowHeight="15" x14ac:dyDescent="0.25"/>
  <cols>
    <col min="26" max="80" width="9.140625" style="9"/>
  </cols>
  <sheetData>
    <row r="1" spans="1:25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 t="s">
        <v>2016</v>
      </c>
      <c r="V8" s="9"/>
      <c r="W8" s="9"/>
      <c r="X8" s="9"/>
      <c r="Y8" s="9"/>
    </row>
    <row r="9" spans="1:25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189A-E2F3-48A2-95BA-E126FB3FAEC5}">
  <dimension ref="A1:CB27"/>
  <sheetViews>
    <sheetView workbookViewId="0"/>
  </sheetViews>
  <sheetFormatPr defaultRowHeight="15" x14ac:dyDescent="0.25"/>
  <cols>
    <col min="26" max="80" width="9.140625" style="9"/>
  </cols>
  <sheetData>
    <row r="1" spans="1:25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 t="s">
        <v>2016</v>
      </c>
      <c r="V8" s="9"/>
      <c r="W8" s="9"/>
      <c r="X8" s="9"/>
      <c r="Y8" s="9"/>
    </row>
    <row r="9" spans="1:25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61825-19B9-4B38-8A55-697D58C7E588}">
  <dimension ref="A1:CB27"/>
  <sheetViews>
    <sheetView tabSelected="1" workbookViewId="0"/>
  </sheetViews>
  <sheetFormatPr defaultRowHeight="15" x14ac:dyDescent="0.25"/>
  <cols>
    <col min="26" max="80" width="9.140625" style="9"/>
  </cols>
  <sheetData>
    <row r="1" spans="1:25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 t="s">
        <v>2016</v>
      </c>
      <c r="V8" s="9"/>
      <c r="W8" s="9"/>
      <c r="X8" s="9"/>
      <c r="Y8" s="9"/>
    </row>
    <row r="9" spans="1:25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25BC31-D79C-450E-B7D5-227810C5CF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pivot Table</vt:lpstr>
      <vt:lpstr>kpi</vt:lpstr>
      <vt:lpstr>Data set</vt:lpstr>
      <vt:lpstr>Index  of Deshboard</vt:lpstr>
      <vt:lpstr>KPI Deshboard</vt:lpstr>
      <vt:lpstr>Category Vs Analysis</vt:lpstr>
      <vt:lpstr>Category Vs profit</vt:lpstr>
      <vt:lpstr>Category Vs Sales</vt:lpstr>
      <vt:lpstr>Category vs Cost</vt:lpstr>
      <vt:lpstr>City Vs Analysis</vt:lpstr>
      <vt:lpstr>City Vs Profit</vt:lpstr>
      <vt:lpstr>Region vs analysis</vt:lpstr>
      <vt:lpstr>State Vs analysis</vt:lpstr>
      <vt:lpstr>Stats Vs profit</vt:lpstr>
      <vt:lpstr>Sheap Mode Vs Analysis</vt:lpstr>
      <vt:lpstr>Date Vs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2026-05-24T05:21:15Z</dcterms:created>
  <dcterms:modified xsi:type="dcterms:W3CDTF">2026-07-08T02:11:21Z</dcterms:modified>
</cp:coreProperties>
</file>